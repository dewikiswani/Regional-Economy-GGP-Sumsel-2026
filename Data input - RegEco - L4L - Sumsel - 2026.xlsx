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icrafcifor-my.sharepoint.com/personal/d_bodro_landscapealliance_org/Documents/Documents/GitHub/Regional-Economy-GGP-Sumsel-2026/"/>
    </mc:Choice>
  </mc:AlternateContent>
  <xr:revisionPtr revIDLastSave="524" documentId="8_{7502310D-9C21-47FE-9F85-D887AF9F69FA}" xr6:coauthVersionLast="47" xr6:coauthVersionMax="47" xr10:uidLastSave="{B5CFC2BB-EC3A-4C2B-B53C-1D7ED109BCD2}"/>
  <bookViews>
    <workbookView xWindow="-110" yWindow="-110" windowWidth="19420" windowHeight="10300" tabRatio="599" firstSheet="1" activeTab="1" xr2:uid="{00000000-000D-0000-FFFF-FFFF00000000}"/>
  </bookViews>
  <sheets>
    <sheet name="IO_Table_2025(RAW)" sheetId="1" r:id="rId1"/>
    <sheet name="IO_Table_2025(CEK)" sheetId="13" r:id="rId2"/>
    <sheet name="DeskripsiSektor" sheetId="8" r:id="rId3"/>
    <sheet name="LDC Draft" sheetId="12" r:id="rId4"/>
    <sheet name="BAU_Lahan" sheetId="10" r:id="rId5"/>
    <sheet name="LAS_Lahan" sheetId="11" r:id="rId6"/>
    <sheet name="Populasi" sheetId="20" r:id="rId7"/>
    <sheet name="LDM" sheetId="14" r:id="rId8"/>
    <sheet name="Linkage" sheetId="19" r:id="rId9"/>
    <sheet name="Stype1" sheetId="18" r:id="rId10"/>
    <sheet name="Stype2" sheetId="16" r:id="rId11"/>
    <sheet name="populasiPenduduk" sheetId="21" r:id="rId12"/>
    <sheet name="Stype3" sheetId="17" r:id="rId13"/>
    <sheet name="Technical_Coeffs_A_2025" sheetId="2" r:id="rId14"/>
    <sheet name="Technical_Coeffs_A_2020" sheetId="3" r:id="rId15"/>
    <sheet name="Leontief_Inverse_L_2025" sheetId="4" r:id="rId16"/>
    <sheet name="Margins_Check" sheetId="5" r:id="rId17"/>
    <sheet name="Balance_Check" sheetId="6" r:id="rId18"/>
    <sheet name="Concordance" sheetId="7" r:id="rId19"/>
    <sheet name="growth pdrb" sheetId="9"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3" i="13" l="1"/>
  <c r="BS4" i="13"/>
  <c r="BS5" i="13"/>
  <c r="BS6" i="13"/>
  <c r="BS7" i="13"/>
  <c r="BS8" i="13"/>
  <c r="BS9" i="13"/>
  <c r="BS10" i="13"/>
  <c r="BS11" i="13"/>
  <c r="BS12" i="13"/>
  <c r="BS13" i="13"/>
  <c r="BS14" i="13"/>
  <c r="BS15" i="13"/>
  <c r="BS16" i="13"/>
  <c r="BS17" i="13"/>
  <c r="BS18" i="13"/>
  <c r="BS19" i="13"/>
  <c r="BS20" i="13"/>
  <c r="BS21" i="13"/>
  <c r="BS22" i="13"/>
  <c r="BS23" i="13"/>
  <c r="BS24" i="13"/>
  <c r="BS25" i="13"/>
  <c r="BS26" i="13"/>
  <c r="BS27" i="13"/>
  <c r="BS28" i="13"/>
  <c r="BS29" i="13"/>
  <c r="BS30" i="13"/>
  <c r="BS31" i="13"/>
  <c r="BS32" i="13"/>
  <c r="BS33" i="13"/>
  <c r="BS34" i="13"/>
  <c r="BS35" i="13"/>
  <c r="BS36" i="13"/>
  <c r="BS37" i="13"/>
  <c r="BS38" i="13"/>
  <c r="BS39" i="13"/>
  <c r="BS40" i="13"/>
  <c r="BS41" i="13"/>
  <c r="BS42" i="13"/>
  <c r="BS43" i="13"/>
  <c r="BS44" i="13"/>
  <c r="BS45" i="13"/>
  <c r="BS46" i="13"/>
  <c r="BS47" i="13"/>
  <c r="BS48" i="13"/>
  <c r="BS49" i="13"/>
  <c r="BS50" i="13"/>
  <c r="BS51" i="13"/>
  <c r="BS52" i="13"/>
  <c r="BS53" i="13"/>
  <c r="BS54" i="13"/>
  <c r="BS55" i="13"/>
  <c r="BS56" i="13"/>
  <c r="BS2" i="13"/>
  <c r="A2" i="21"/>
  <c r="B2" i="21"/>
  <c r="A3" i="21"/>
  <c r="B3" i="21"/>
  <c r="A4" i="21"/>
  <c r="B4" i="21"/>
  <c r="A5" i="21"/>
  <c r="B5" i="21"/>
  <c r="A6" i="21"/>
  <c r="B6" i="21"/>
  <c r="A7" i="21"/>
  <c r="B7" i="21"/>
  <c r="A8" i="21"/>
  <c r="B8" i="21"/>
  <c r="A9" i="21"/>
  <c r="B9" i="21"/>
  <c r="A10" i="21"/>
  <c r="B10" i="21"/>
  <c r="A11" i="21"/>
  <c r="B11" i="21"/>
  <c r="A12" i="21"/>
  <c r="B12" i="21"/>
  <c r="A13" i="21"/>
  <c r="B13" i="21"/>
  <c r="A14" i="21"/>
  <c r="B14" i="21"/>
  <c r="A15" i="21"/>
  <c r="B15" i="21"/>
  <c r="A16" i="21"/>
  <c r="B16" i="21"/>
  <c r="A17" i="21"/>
  <c r="B17" i="21"/>
  <c r="A18" i="21"/>
  <c r="B18" i="21"/>
  <c r="A19" i="21"/>
  <c r="B19" i="21"/>
  <c r="A20" i="21"/>
  <c r="B20" i="21"/>
  <c r="A21" i="21"/>
  <c r="B21" i="21"/>
  <c r="A22" i="21"/>
  <c r="B22" i="21"/>
  <c r="B1" i="21"/>
  <c r="A1" i="21"/>
  <c r="B11" i="20" a="1"/>
  <c r="A11" i="20" a="1"/>
  <c r="BT3" i="13"/>
  <c r="BT4" i="13"/>
  <c r="BT5" i="13"/>
  <c r="BT6" i="13"/>
  <c r="BT7" i="13"/>
  <c r="BT8" i="13"/>
  <c r="BT9" i="13"/>
  <c r="BT10" i="13"/>
  <c r="BT11" i="13"/>
  <c r="BT12" i="13"/>
  <c r="BT13" i="13"/>
  <c r="BT14" i="13"/>
  <c r="BT15" i="13"/>
  <c r="BT16" i="13"/>
  <c r="BT17" i="13"/>
  <c r="BT18" i="13"/>
  <c r="BT19" i="13"/>
  <c r="BT20" i="13"/>
  <c r="BT21" i="13"/>
  <c r="BT22" i="13"/>
  <c r="BT23" i="13"/>
  <c r="BT24" i="13"/>
  <c r="BT25" i="13"/>
  <c r="BT26" i="13"/>
  <c r="BT27" i="13"/>
  <c r="BT28" i="13"/>
  <c r="BT29" i="13"/>
  <c r="BT30" i="13"/>
  <c r="BT31" i="13"/>
  <c r="BT32" i="13"/>
  <c r="BT33" i="13"/>
  <c r="BT34" i="13"/>
  <c r="BT35" i="13"/>
  <c r="BT36" i="13"/>
  <c r="BT37" i="13"/>
  <c r="BT38" i="13"/>
  <c r="BT39" i="13"/>
  <c r="BT40" i="13"/>
  <c r="BT41" i="13"/>
  <c r="BT42" i="13"/>
  <c r="BT43" i="13"/>
  <c r="BT44" i="13"/>
  <c r="BT45" i="13"/>
  <c r="BT46" i="13"/>
  <c r="BT47" i="13"/>
  <c r="BT48" i="13"/>
  <c r="BT49" i="13"/>
  <c r="BT50" i="13"/>
  <c r="BT51" i="13"/>
  <c r="BT52" i="13"/>
  <c r="BT53" i="13"/>
  <c r="BT54" i="13"/>
  <c r="BT55" i="13"/>
  <c r="BT56" i="13"/>
  <c r="BT2" i="13"/>
  <c r="BU2" i="13" a="1"/>
  <c r="J9" i="18"/>
  <c r="I10" i="18"/>
  <c r="H10" i="18"/>
  <c r="X7" i="18"/>
  <c r="E9" i="18"/>
  <c r="D9" i="18"/>
  <c r="D61" i="18" s="1"/>
  <c r="D56" i="18" s="1"/>
  <c r="D58" i="18" s="1"/>
  <c r="C6" i="18"/>
  <c r="AC61" i="18"/>
  <c r="AB61" i="18"/>
  <c r="AA61" i="18"/>
  <c r="Z61" i="18"/>
  <c r="Y61" i="18"/>
  <c r="X61" i="18"/>
  <c r="X56" i="18" s="1"/>
  <c r="X58" i="18" s="1"/>
  <c r="W61" i="18"/>
  <c r="V61" i="18"/>
  <c r="U61" i="18"/>
  <c r="T61" i="18"/>
  <c r="S61" i="18"/>
  <c r="R61" i="18"/>
  <c r="Q61" i="18"/>
  <c r="P61" i="18"/>
  <c r="O61" i="18"/>
  <c r="N61" i="18"/>
  <c r="M61" i="18"/>
  <c r="L61" i="18"/>
  <c r="K61" i="18"/>
  <c r="J61" i="18"/>
  <c r="I61" i="18"/>
  <c r="I56" i="18" s="1"/>
  <c r="I58" i="18" s="1"/>
  <c r="H61" i="18"/>
  <c r="H56" i="18" s="1"/>
  <c r="H58" i="18" s="1"/>
  <c r="G61" i="18"/>
  <c r="F61" i="18"/>
  <c r="E61" i="18"/>
  <c r="C61" i="18"/>
  <c r="C56" i="18" s="1"/>
  <c r="C58" i="18" s="1"/>
  <c r="AC56" i="18"/>
  <c r="AC58" i="18" s="1"/>
  <c r="AB56" i="18"/>
  <c r="AB58" i="18" s="1"/>
  <c r="AA56" i="18"/>
  <c r="AA58" i="18" s="1"/>
  <c r="Z56" i="18"/>
  <c r="Z58" i="18" s="1"/>
  <c r="Y56" i="18"/>
  <c r="Y58" i="18" s="1"/>
  <c r="W56" i="18"/>
  <c r="W58" i="18" s="1"/>
  <c r="V56" i="18"/>
  <c r="V58" i="18" s="1"/>
  <c r="U56" i="18"/>
  <c r="U58" i="18" s="1"/>
  <c r="T56" i="18"/>
  <c r="T58" i="18" s="1"/>
  <c r="S56" i="18"/>
  <c r="S58" i="18" s="1"/>
  <c r="R56" i="18"/>
  <c r="R58" i="18" s="1"/>
  <c r="Q56" i="18"/>
  <c r="Q58" i="18" s="1"/>
  <c r="P56" i="18"/>
  <c r="P58" i="18" s="1"/>
  <c r="O56" i="18"/>
  <c r="O58" i="18" s="1"/>
  <c r="N56" i="18"/>
  <c r="N58" i="18" s="1"/>
  <c r="M56" i="18"/>
  <c r="M58" i="18" s="1"/>
  <c r="L56" i="18"/>
  <c r="L58" i="18" s="1"/>
  <c r="K56" i="18"/>
  <c r="K58" i="18" s="1"/>
  <c r="J56" i="18"/>
  <c r="J58" i="18" s="1"/>
  <c r="G56" i="18"/>
  <c r="G58" i="18" s="1"/>
  <c r="F56" i="18"/>
  <c r="F58" i="18" s="1"/>
  <c r="E56" i="18"/>
  <c r="E58" i="18" s="1"/>
  <c r="AE10" i="18"/>
  <c r="AE9" i="18"/>
  <c r="AE7" i="18"/>
  <c r="AE6" i="18"/>
  <c r="AE5" i="18"/>
  <c r="AE4" i="18"/>
  <c r="AE3" i="18"/>
  <c r="AE2" i="18"/>
  <c r="AE6" i="14"/>
  <c r="AE3" i="14"/>
  <c r="AE4" i="14"/>
  <c r="AE5" i="14"/>
  <c r="AE7" i="14"/>
  <c r="AE9" i="14"/>
  <c r="AE10" i="14"/>
  <c r="AE2" i="14"/>
  <c r="F58" i="14"/>
  <c r="G58" i="14"/>
  <c r="W58" i="14"/>
  <c r="Y58" i="14"/>
  <c r="Z58" i="14"/>
  <c r="AA58" i="14"/>
  <c r="AC58" i="14"/>
  <c r="C58" i="14"/>
  <c r="D61" i="14"/>
  <c r="E61" i="14"/>
  <c r="E56" i="14" s="1"/>
  <c r="E58" i="14" s="1"/>
  <c r="F61" i="14"/>
  <c r="G61" i="14"/>
  <c r="H61" i="14"/>
  <c r="I61" i="14"/>
  <c r="J61" i="14"/>
  <c r="J56" i="14" s="1"/>
  <c r="J58" i="14" s="1"/>
  <c r="K61" i="14"/>
  <c r="K56" i="14" s="1"/>
  <c r="K58" i="14" s="1"/>
  <c r="L61" i="14"/>
  <c r="M61" i="14"/>
  <c r="N61" i="14"/>
  <c r="O61" i="14"/>
  <c r="P61" i="14"/>
  <c r="Q61" i="14"/>
  <c r="R61" i="14"/>
  <c r="S61" i="14"/>
  <c r="T61" i="14"/>
  <c r="U61" i="14"/>
  <c r="U56" i="14" s="1"/>
  <c r="U58" i="14" s="1"/>
  <c r="V61" i="14"/>
  <c r="W61" i="14"/>
  <c r="X61" i="14"/>
  <c r="Y61" i="14"/>
  <c r="Z61" i="14"/>
  <c r="AA61" i="14"/>
  <c r="AB61" i="14"/>
  <c r="AB56" i="14" s="1"/>
  <c r="AB58" i="14" s="1"/>
  <c r="AC61" i="14"/>
  <c r="C61" i="14"/>
  <c r="C56" i="14" s="1"/>
  <c r="AC56" i="14"/>
  <c r="AA56" i="14"/>
  <c r="Z56" i="14"/>
  <c r="Y56" i="14"/>
  <c r="X56" i="14"/>
  <c r="X58" i="14" s="1"/>
  <c r="W56" i="14"/>
  <c r="V56" i="14"/>
  <c r="V58" i="14" s="1"/>
  <c r="T56" i="14"/>
  <c r="T58" i="14" s="1"/>
  <c r="S56" i="14"/>
  <c r="S58" i="14" s="1"/>
  <c r="R56" i="14"/>
  <c r="R58" i="14" s="1"/>
  <c r="Q56" i="14"/>
  <c r="Q58" i="14" s="1"/>
  <c r="P56" i="14"/>
  <c r="P58" i="14" s="1"/>
  <c r="O56" i="14"/>
  <c r="O58" i="14" s="1"/>
  <c r="N56" i="14"/>
  <c r="N58" i="14" s="1"/>
  <c r="M56" i="14"/>
  <c r="M58" i="14" s="1"/>
  <c r="L56" i="14"/>
  <c r="L58" i="14" s="1"/>
  <c r="I56" i="14"/>
  <c r="I58" i="14" s="1"/>
  <c r="H56" i="14"/>
  <c r="H58" i="14" s="1"/>
  <c r="G56" i="14"/>
  <c r="F56" i="14"/>
  <c r="D56" i="14"/>
  <c r="D58" i="14" s="1"/>
  <c r="C34" i="11"/>
  <c r="W60" i="11"/>
  <c r="V60" i="11"/>
  <c r="U60" i="11"/>
  <c r="T60" i="11"/>
  <c r="S60" i="11"/>
  <c r="R60" i="11"/>
  <c r="Q60" i="11"/>
  <c r="P60" i="11"/>
  <c r="O60" i="11"/>
  <c r="N60" i="11"/>
  <c r="M60" i="11"/>
  <c r="L60" i="11"/>
  <c r="K60" i="11"/>
  <c r="J60" i="11"/>
  <c r="I60" i="11"/>
  <c r="H60" i="11"/>
  <c r="G60" i="11"/>
  <c r="F60" i="11"/>
  <c r="E60" i="11"/>
  <c r="D60" i="11"/>
  <c r="C60" i="11"/>
  <c r="B60" i="11"/>
  <c r="A60" i="11"/>
  <c r="W59" i="11"/>
  <c r="V59" i="11"/>
  <c r="U59" i="11"/>
  <c r="T59" i="11"/>
  <c r="S59" i="11"/>
  <c r="R59" i="11"/>
  <c r="Q59" i="11"/>
  <c r="P59" i="11"/>
  <c r="O59" i="11"/>
  <c r="N59" i="11"/>
  <c r="M59" i="11"/>
  <c r="L59" i="11"/>
  <c r="K59" i="11"/>
  <c r="J59" i="11"/>
  <c r="I59" i="11"/>
  <c r="H59" i="11"/>
  <c r="G59" i="11"/>
  <c r="F59" i="11"/>
  <c r="E59" i="11"/>
  <c r="D59" i="11"/>
  <c r="C59" i="11"/>
  <c r="B59" i="11"/>
  <c r="A59" i="11"/>
  <c r="W58" i="11"/>
  <c r="V58" i="11"/>
  <c r="U58" i="11"/>
  <c r="T58" i="11"/>
  <c r="S58" i="11"/>
  <c r="R58" i="11"/>
  <c r="Q58" i="11"/>
  <c r="P58" i="11"/>
  <c r="O58" i="11"/>
  <c r="N58" i="11"/>
  <c r="M58" i="11"/>
  <c r="L58" i="11"/>
  <c r="K58" i="11"/>
  <c r="J58" i="11"/>
  <c r="I58" i="11"/>
  <c r="H58" i="11"/>
  <c r="G58" i="11"/>
  <c r="F58" i="11"/>
  <c r="E58" i="11"/>
  <c r="D58" i="11"/>
  <c r="C58" i="11"/>
  <c r="B58" i="11"/>
  <c r="A58" i="11"/>
  <c r="W57" i="11"/>
  <c r="V57" i="11"/>
  <c r="U57" i="11"/>
  <c r="T57" i="11"/>
  <c r="S57" i="11"/>
  <c r="R57" i="11"/>
  <c r="Q57" i="11"/>
  <c r="P57" i="11"/>
  <c r="O57" i="11"/>
  <c r="N57" i="11"/>
  <c r="M57" i="11"/>
  <c r="L57" i="11"/>
  <c r="K57" i="11"/>
  <c r="J57" i="11"/>
  <c r="I57" i="11"/>
  <c r="H57" i="11"/>
  <c r="G57" i="11"/>
  <c r="F57" i="11"/>
  <c r="E57" i="11"/>
  <c r="D57" i="11"/>
  <c r="C57" i="11"/>
  <c r="B57" i="11"/>
  <c r="A57" i="11"/>
  <c r="W56" i="11"/>
  <c r="V56" i="11"/>
  <c r="U56" i="11"/>
  <c r="T56" i="11"/>
  <c r="S56" i="11"/>
  <c r="R56" i="11"/>
  <c r="Q56" i="11"/>
  <c r="P56" i="11"/>
  <c r="O56" i="11"/>
  <c r="N56" i="11"/>
  <c r="M56" i="11"/>
  <c r="L56" i="11"/>
  <c r="K56" i="11"/>
  <c r="J56" i="11"/>
  <c r="I56" i="11"/>
  <c r="H56" i="11"/>
  <c r="G56" i="11"/>
  <c r="F56" i="11"/>
  <c r="E56" i="11"/>
  <c r="D56" i="11"/>
  <c r="C56" i="11"/>
  <c r="B56" i="11"/>
  <c r="A56" i="11"/>
  <c r="W55" i="11"/>
  <c r="V55" i="11"/>
  <c r="U55" i="11"/>
  <c r="T55" i="11"/>
  <c r="S55" i="11"/>
  <c r="R55" i="11"/>
  <c r="Q55" i="11"/>
  <c r="P55" i="11"/>
  <c r="O55" i="11"/>
  <c r="N55" i="11"/>
  <c r="M55" i="11"/>
  <c r="L55" i="11"/>
  <c r="K55" i="11"/>
  <c r="J55" i="11"/>
  <c r="I55" i="11"/>
  <c r="H55" i="11"/>
  <c r="G55" i="11"/>
  <c r="F55" i="11"/>
  <c r="E55" i="11"/>
  <c r="D55" i="11"/>
  <c r="C55" i="11"/>
  <c r="B55" i="11"/>
  <c r="A55" i="11"/>
  <c r="W54" i="11"/>
  <c r="V54" i="11"/>
  <c r="U54" i="11"/>
  <c r="T54" i="11"/>
  <c r="S54" i="11"/>
  <c r="R54" i="11"/>
  <c r="Q54" i="11"/>
  <c r="P54" i="11"/>
  <c r="O54" i="11"/>
  <c r="N54" i="11"/>
  <c r="M54" i="11"/>
  <c r="L54" i="11"/>
  <c r="K54" i="11"/>
  <c r="J54" i="11"/>
  <c r="I54" i="11"/>
  <c r="H54" i="11"/>
  <c r="G54" i="11"/>
  <c r="F54" i="11"/>
  <c r="E54" i="11"/>
  <c r="D54" i="11"/>
  <c r="C54" i="11"/>
  <c r="B54" i="11"/>
  <c r="A54" i="11"/>
  <c r="W53" i="11"/>
  <c r="V53" i="11"/>
  <c r="U53" i="11"/>
  <c r="T53" i="11"/>
  <c r="S53" i="11"/>
  <c r="R53" i="11"/>
  <c r="Q53" i="11"/>
  <c r="P53" i="11"/>
  <c r="O53" i="11"/>
  <c r="N53" i="11"/>
  <c r="M53" i="11"/>
  <c r="L53" i="11"/>
  <c r="K53" i="11"/>
  <c r="J53" i="11"/>
  <c r="I53" i="11"/>
  <c r="H53" i="11"/>
  <c r="G53" i="11"/>
  <c r="F53" i="11"/>
  <c r="E53" i="11"/>
  <c r="D53" i="11"/>
  <c r="C53" i="11"/>
  <c r="B53" i="11"/>
  <c r="A53" i="11"/>
  <c r="W52" i="11"/>
  <c r="V52" i="11"/>
  <c r="U52" i="11"/>
  <c r="T52" i="11"/>
  <c r="S52" i="11"/>
  <c r="R52" i="11"/>
  <c r="Q52" i="11"/>
  <c r="P52" i="11"/>
  <c r="O52" i="11"/>
  <c r="N52" i="11"/>
  <c r="M52" i="11"/>
  <c r="L52" i="11"/>
  <c r="K52" i="11"/>
  <c r="J52" i="11"/>
  <c r="I52" i="11"/>
  <c r="H52" i="11"/>
  <c r="G52" i="11"/>
  <c r="F52" i="11"/>
  <c r="E52" i="11"/>
  <c r="D52" i="11"/>
  <c r="C52" i="11"/>
  <c r="B52" i="11"/>
  <c r="A52" i="11"/>
  <c r="W51" i="11"/>
  <c r="V51" i="11"/>
  <c r="U51" i="11"/>
  <c r="T51" i="11"/>
  <c r="S51" i="11"/>
  <c r="R51" i="11"/>
  <c r="Q51" i="11"/>
  <c r="P51" i="11"/>
  <c r="O51" i="11"/>
  <c r="N51" i="11"/>
  <c r="M51" i="11"/>
  <c r="L51" i="11"/>
  <c r="K51" i="11"/>
  <c r="J51" i="11"/>
  <c r="I51" i="11"/>
  <c r="H51" i="11"/>
  <c r="G51" i="11"/>
  <c r="F51" i="11"/>
  <c r="E51" i="11"/>
  <c r="D51" i="11"/>
  <c r="C51" i="11"/>
  <c r="B51" i="11"/>
  <c r="A51" i="11"/>
  <c r="W50" i="11"/>
  <c r="V50" i="11"/>
  <c r="U50" i="11"/>
  <c r="T50" i="11"/>
  <c r="S50" i="11"/>
  <c r="R50" i="11"/>
  <c r="Q50" i="11"/>
  <c r="P50" i="11"/>
  <c r="O50" i="11"/>
  <c r="N50" i="11"/>
  <c r="M50" i="11"/>
  <c r="L50" i="11"/>
  <c r="K50" i="11"/>
  <c r="J50" i="11"/>
  <c r="I50" i="11"/>
  <c r="H50" i="11"/>
  <c r="G50" i="11"/>
  <c r="F50" i="11"/>
  <c r="E50" i="11"/>
  <c r="D50" i="11"/>
  <c r="C50" i="11"/>
  <c r="B50" i="11"/>
  <c r="A50" i="11"/>
  <c r="W49" i="11"/>
  <c r="V49" i="11"/>
  <c r="U49" i="11"/>
  <c r="T49" i="11"/>
  <c r="S49" i="11"/>
  <c r="R49" i="11"/>
  <c r="Q49" i="11"/>
  <c r="P49" i="11"/>
  <c r="O49" i="11"/>
  <c r="N49" i="11"/>
  <c r="M49" i="11"/>
  <c r="L49" i="11"/>
  <c r="K49" i="11"/>
  <c r="J49" i="11"/>
  <c r="I49" i="11"/>
  <c r="H49" i="11"/>
  <c r="G49" i="11"/>
  <c r="F49" i="11"/>
  <c r="E49" i="11"/>
  <c r="D49" i="11"/>
  <c r="C49" i="11"/>
  <c r="B49" i="11"/>
  <c r="A49" i="11"/>
  <c r="W48" i="11"/>
  <c r="V48" i="11"/>
  <c r="U48" i="11"/>
  <c r="T48" i="11"/>
  <c r="S48" i="11"/>
  <c r="R48" i="11"/>
  <c r="Q48" i="11"/>
  <c r="P48" i="11"/>
  <c r="O48" i="11"/>
  <c r="N48" i="11"/>
  <c r="M48" i="11"/>
  <c r="L48" i="11"/>
  <c r="K48" i="11"/>
  <c r="J48" i="11"/>
  <c r="I48" i="11"/>
  <c r="H48" i="11"/>
  <c r="G48" i="11"/>
  <c r="F48" i="11"/>
  <c r="E48" i="11"/>
  <c r="D48" i="11"/>
  <c r="C48" i="11"/>
  <c r="B48" i="11"/>
  <c r="A48" i="11"/>
  <c r="W47" i="11"/>
  <c r="V47" i="11"/>
  <c r="U47" i="11"/>
  <c r="T47" i="11"/>
  <c r="S47" i="11"/>
  <c r="R47" i="11"/>
  <c r="Q47" i="11"/>
  <c r="P47" i="11"/>
  <c r="O47" i="11"/>
  <c r="N47" i="11"/>
  <c r="M47" i="11"/>
  <c r="L47" i="11"/>
  <c r="K47" i="11"/>
  <c r="J47" i="11"/>
  <c r="I47" i="11"/>
  <c r="H47" i="11"/>
  <c r="G47" i="11"/>
  <c r="F47" i="11"/>
  <c r="E47" i="11"/>
  <c r="D47" i="11"/>
  <c r="C47" i="11"/>
  <c r="B47" i="11"/>
  <c r="A47" i="11"/>
  <c r="W46" i="11"/>
  <c r="V46" i="11"/>
  <c r="U46" i="11"/>
  <c r="T46" i="11"/>
  <c r="S46" i="11"/>
  <c r="R46" i="11"/>
  <c r="Q46" i="11"/>
  <c r="P46" i="11"/>
  <c r="O46" i="11"/>
  <c r="N46" i="11"/>
  <c r="M46" i="11"/>
  <c r="L46" i="11"/>
  <c r="K46" i="11"/>
  <c r="J46" i="11"/>
  <c r="I46" i="11"/>
  <c r="H46" i="11"/>
  <c r="G46" i="11"/>
  <c r="F46" i="11"/>
  <c r="E46" i="11"/>
  <c r="D46" i="11"/>
  <c r="C46" i="11"/>
  <c r="B46" i="11"/>
  <c r="A46" i="11"/>
  <c r="W45" i="11"/>
  <c r="V45" i="11"/>
  <c r="U45" i="11"/>
  <c r="T45" i="11"/>
  <c r="S45" i="11"/>
  <c r="R45" i="11"/>
  <c r="Q45" i="11"/>
  <c r="P45" i="11"/>
  <c r="O45" i="11"/>
  <c r="N45" i="11"/>
  <c r="M45" i="11"/>
  <c r="L45" i="11"/>
  <c r="K45" i="11"/>
  <c r="J45" i="11"/>
  <c r="I45" i="11"/>
  <c r="H45" i="11"/>
  <c r="G45" i="11"/>
  <c r="F45" i="11"/>
  <c r="E45" i="11"/>
  <c r="D45" i="11"/>
  <c r="C45" i="11"/>
  <c r="B45" i="11"/>
  <c r="A45" i="11"/>
  <c r="W44" i="11"/>
  <c r="V44" i="11"/>
  <c r="U44" i="11"/>
  <c r="T44" i="11"/>
  <c r="S44" i="11"/>
  <c r="R44" i="11"/>
  <c r="Q44" i="11"/>
  <c r="P44" i="11"/>
  <c r="O44" i="11"/>
  <c r="N44" i="11"/>
  <c r="M44" i="11"/>
  <c r="L44" i="11"/>
  <c r="K44" i="11"/>
  <c r="J44" i="11"/>
  <c r="I44" i="11"/>
  <c r="H44" i="11"/>
  <c r="G44" i="11"/>
  <c r="F44" i="11"/>
  <c r="E44" i="11"/>
  <c r="D44" i="11"/>
  <c r="C44" i="11"/>
  <c r="B44" i="11"/>
  <c r="A44" i="11"/>
  <c r="W43" i="11"/>
  <c r="V43" i="11"/>
  <c r="U43" i="11"/>
  <c r="T43" i="11"/>
  <c r="S43" i="11"/>
  <c r="R43" i="11"/>
  <c r="Q43" i="11"/>
  <c r="P43" i="11"/>
  <c r="O43" i="11"/>
  <c r="N43" i="11"/>
  <c r="M43" i="11"/>
  <c r="L43" i="11"/>
  <c r="K43" i="11"/>
  <c r="J43" i="11"/>
  <c r="I43" i="11"/>
  <c r="H43" i="11"/>
  <c r="G43" i="11"/>
  <c r="F43" i="11"/>
  <c r="E43" i="11"/>
  <c r="D43" i="11"/>
  <c r="C43" i="11"/>
  <c r="B43" i="11"/>
  <c r="A43" i="11"/>
  <c r="W42" i="11"/>
  <c r="V42" i="11"/>
  <c r="U42" i="11"/>
  <c r="T42" i="11"/>
  <c r="S42" i="11"/>
  <c r="R42" i="11"/>
  <c r="Q42" i="11"/>
  <c r="P42" i="11"/>
  <c r="O42" i="11"/>
  <c r="N42" i="11"/>
  <c r="M42" i="11"/>
  <c r="L42" i="11"/>
  <c r="K42" i="11"/>
  <c r="J42" i="11"/>
  <c r="I42" i="11"/>
  <c r="H42" i="11"/>
  <c r="G42" i="11"/>
  <c r="F42" i="11"/>
  <c r="E42" i="11"/>
  <c r="D42" i="11"/>
  <c r="C42" i="11"/>
  <c r="B42" i="11"/>
  <c r="A42" i="11"/>
  <c r="W41" i="11"/>
  <c r="V41" i="11"/>
  <c r="U41" i="11"/>
  <c r="T41" i="11"/>
  <c r="S41" i="11"/>
  <c r="R41" i="11"/>
  <c r="Q41" i="11"/>
  <c r="P41" i="11"/>
  <c r="O41" i="11"/>
  <c r="N41" i="11"/>
  <c r="M41" i="11"/>
  <c r="L41" i="11"/>
  <c r="K41" i="11"/>
  <c r="J41" i="11"/>
  <c r="I41" i="11"/>
  <c r="H41" i="11"/>
  <c r="G41" i="11"/>
  <c r="F41" i="11"/>
  <c r="E41" i="11"/>
  <c r="D41" i="11"/>
  <c r="C41" i="11"/>
  <c r="B41" i="11"/>
  <c r="A41" i="11"/>
  <c r="W40" i="11"/>
  <c r="V40" i="11"/>
  <c r="U40" i="11"/>
  <c r="T40" i="11"/>
  <c r="S40" i="11"/>
  <c r="R40" i="11"/>
  <c r="Q40" i="11"/>
  <c r="P40" i="11"/>
  <c r="O40" i="11"/>
  <c r="N40" i="11"/>
  <c r="M40" i="11"/>
  <c r="L40" i="11"/>
  <c r="K40" i="11"/>
  <c r="J40" i="11"/>
  <c r="I40" i="11"/>
  <c r="H40" i="11"/>
  <c r="G40" i="11"/>
  <c r="F40" i="11"/>
  <c r="E40" i="11"/>
  <c r="D40" i="11"/>
  <c r="C40" i="11"/>
  <c r="B40" i="11"/>
  <c r="A40" i="11"/>
  <c r="W39" i="11"/>
  <c r="V39" i="11"/>
  <c r="U39" i="11"/>
  <c r="T39" i="11"/>
  <c r="S39" i="11"/>
  <c r="R39" i="11"/>
  <c r="Q39" i="11"/>
  <c r="P39" i="11"/>
  <c r="O39" i="11"/>
  <c r="N39" i="11"/>
  <c r="M39" i="11"/>
  <c r="L39" i="11"/>
  <c r="K39" i="11"/>
  <c r="J39" i="11"/>
  <c r="I39" i="11"/>
  <c r="H39" i="11"/>
  <c r="G39" i="11"/>
  <c r="F39" i="11"/>
  <c r="E39" i="11"/>
  <c r="D39" i="11"/>
  <c r="C39" i="11"/>
  <c r="B39" i="11"/>
  <c r="A39" i="11"/>
  <c r="W38" i="11"/>
  <c r="V38" i="11"/>
  <c r="U38" i="11"/>
  <c r="T38" i="11"/>
  <c r="S38" i="11"/>
  <c r="R38" i="11"/>
  <c r="Q38" i="11"/>
  <c r="P38" i="11"/>
  <c r="O38" i="11"/>
  <c r="N38" i="11"/>
  <c r="M38" i="11"/>
  <c r="L38" i="11"/>
  <c r="K38" i="11"/>
  <c r="J38" i="11"/>
  <c r="I38" i="11"/>
  <c r="H38" i="11"/>
  <c r="G38" i="11"/>
  <c r="F38" i="11"/>
  <c r="E38" i="11"/>
  <c r="D38" i="11"/>
  <c r="C38" i="11"/>
  <c r="B38" i="11"/>
  <c r="A38" i="11"/>
  <c r="W37" i="11"/>
  <c r="V37" i="11"/>
  <c r="U37" i="11"/>
  <c r="T37" i="11"/>
  <c r="S37" i="11"/>
  <c r="R37" i="11"/>
  <c r="Q37" i="11"/>
  <c r="P37" i="11"/>
  <c r="O37" i="11"/>
  <c r="N37" i="11"/>
  <c r="M37" i="11"/>
  <c r="L37" i="11"/>
  <c r="K37" i="11"/>
  <c r="J37" i="11"/>
  <c r="I37" i="11"/>
  <c r="H37" i="11"/>
  <c r="G37" i="11"/>
  <c r="F37" i="11"/>
  <c r="E37" i="11"/>
  <c r="D37" i="11"/>
  <c r="C37" i="11"/>
  <c r="B37" i="11"/>
  <c r="A37" i="11"/>
  <c r="W36" i="11"/>
  <c r="V36" i="11"/>
  <c r="U36" i="11"/>
  <c r="T36" i="11"/>
  <c r="S36" i="11"/>
  <c r="R36" i="11"/>
  <c r="Q36" i="11"/>
  <c r="P36" i="11"/>
  <c r="O36" i="11"/>
  <c r="N36" i="11"/>
  <c r="M36" i="11"/>
  <c r="L36" i="11"/>
  <c r="K36" i="11"/>
  <c r="J36" i="11"/>
  <c r="I36" i="11"/>
  <c r="H36" i="11"/>
  <c r="G36" i="11"/>
  <c r="F36" i="11"/>
  <c r="E36" i="11"/>
  <c r="D36" i="11"/>
  <c r="C36" i="11"/>
  <c r="B36" i="11"/>
  <c r="A36" i="11"/>
  <c r="W35" i="11"/>
  <c r="V35" i="11"/>
  <c r="U35" i="11"/>
  <c r="T35" i="11"/>
  <c r="S35" i="11"/>
  <c r="R35" i="11"/>
  <c r="Q35" i="11"/>
  <c r="P35" i="11"/>
  <c r="O35" i="11"/>
  <c r="N35" i="11"/>
  <c r="M35" i="11"/>
  <c r="L35" i="11"/>
  <c r="K35" i="11"/>
  <c r="J35" i="11"/>
  <c r="I35" i="11"/>
  <c r="H35" i="11"/>
  <c r="G35" i="11"/>
  <c r="F35" i="11"/>
  <c r="E35" i="11"/>
  <c r="D35" i="11"/>
  <c r="C35" i="11"/>
  <c r="B35" i="11"/>
  <c r="A35" i="11"/>
  <c r="W34" i="11"/>
  <c r="V34" i="11"/>
  <c r="U34" i="11"/>
  <c r="T34" i="11"/>
  <c r="S34" i="11"/>
  <c r="R34" i="11"/>
  <c r="Q34" i="11"/>
  <c r="P34" i="11"/>
  <c r="O34" i="11"/>
  <c r="N34" i="11"/>
  <c r="M34" i="11"/>
  <c r="L34" i="11"/>
  <c r="K34" i="11"/>
  <c r="J34" i="11"/>
  <c r="I34" i="11"/>
  <c r="H34" i="11"/>
  <c r="G34" i="11"/>
  <c r="F34" i="11"/>
  <c r="E34" i="11"/>
  <c r="D34" i="11"/>
  <c r="B34" i="11"/>
  <c r="A34" i="11"/>
  <c r="W33" i="11"/>
  <c r="V33" i="11"/>
  <c r="U33" i="11"/>
  <c r="T33" i="11"/>
  <c r="S33" i="11"/>
  <c r="R33" i="11"/>
  <c r="Q33" i="11"/>
  <c r="P33" i="11"/>
  <c r="O33" i="11"/>
  <c r="N33" i="11"/>
  <c r="M33" i="11"/>
  <c r="L33" i="11"/>
  <c r="K33" i="11"/>
  <c r="J33" i="11"/>
  <c r="I33" i="11"/>
  <c r="H33" i="11"/>
  <c r="G33" i="11"/>
  <c r="F33" i="11"/>
  <c r="E33" i="11"/>
  <c r="D33" i="11"/>
  <c r="C33" i="11"/>
  <c r="B33" i="11"/>
  <c r="A33" i="11"/>
  <c r="C34" i="10"/>
  <c r="D34" i="10"/>
  <c r="E34" i="10"/>
  <c r="F34" i="10"/>
  <c r="G34" i="10"/>
  <c r="H34" i="10"/>
  <c r="I34" i="10"/>
  <c r="J34" i="10"/>
  <c r="K34" i="10"/>
  <c r="L34" i="10"/>
  <c r="M34" i="10"/>
  <c r="N34" i="10"/>
  <c r="O34" i="10"/>
  <c r="P34" i="10"/>
  <c r="Q34" i="10"/>
  <c r="R34" i="10"/>
  <c r="S34" i="10"/>
  <c r="T34" i="10"/>
  <c r="U34" i="10"/>
  <c r="V34" i="10"/>
  <c r="W34" i="10"/>
  <c r="C35" i="10"/>
  <c r="D35" i="10"/>
  <c r="E35" i="10"/>
  <c r="F35" i="10"/>
  <c r="G35" i="10"/>
  <c r="H35" i="10"/>
  <c r="I35" i="10"/>
  <c r="J35" i="10"/>
  <c r="K35" i="10"/>
  <c r="L35" i="10"/>
  <c r="M35" i="10"/>
  <c r="N35" i="10"/>
  <c r="O35" i="10"/>
  <c r="P35" i="10"/>
  <c r="Q35" i="10"/>
  <c r="R35" i="10"/>
  <c r="S35" i="10"/>
  <c r="T35" i="10"/>
  <c r="U35" i="10"/>
  <c r="V35" i="10"/>
  <c r="W35" i="10"/>
  <c r="C36" i="10"/>
  <c r="D36" i="10"/>
  <c r="E36" i="10"/>
  <c r="F36" i="10"/>
  <c r="G36" i="10"/>
  <c r="H36" i="10"/>
  <c r="I36" i="10"/>
  <c r="J36" i="10"/>
  <c r="K36" i="10"/>
  <c r="L36" i="10"/>
  <c r="M36" i="10"/>
  <c r="N36" i="10"/>
  <c r="O36" i="10"/>
  <c r="P36" i="10"/>
  <c r="Q36" i="10"/>
  <c r="R36" i="10"/>
  <c r="S36" i="10"/>
  <c r="T36" i="10"/>
  <c r="U36" i="10"/>
  <c r="V36" i="10"/>
  <c r="W36" i="10"/>
  <c r="C37" i="10"/>
  <c r="D37" i="10"/>
  <c r="E37" i="10"/>
  <c r="F37" i="10"/>
  <c r="G37" i="10"/>
  <c r="H37" i="10"/>
  <c r="I37" i="10"/>
  <c r="J37" i="10"/>
  <c r="K37" i="10"/>
  <c r="L37" i="10"/>
  <c r="M37" i="10"/>
  <c r="N37" i="10"/>
  <c r="O37" i="10"/>
  <c r="P37" i="10"/>
  <c r="Q37" i="10"/>
  <c r="R37" i="10"/>
  <c r="S37" i="10"/>
  <c r="T37" i="10"/>
  <c r="U37" i="10"/>
  <c r="V37" i="10"/>
  <c r="W37" i="10"/>
  <c r="C38" i="10"/>
  <c r="D38" i="10"/>
  <c r="E38" i="10"/>
  <c r="F38" i="10"/>
  <c r="G38" i="10"/>
  <c r="H38" i="10"/>
  <c r="I38" i="10"/>
  <c r="J38" i="10"/>
  <c r="K38" i="10"/>
  <c r="L38" i="10"/>
  <c r="M38" i="10"/>
  <c r="N38" i="10"/>
  <c r="O38" i="10"/>
  <c r="P38" i="10"/>
  <c r="Q38" i="10"/>
  <c r="R38" i="10"/>
  <c r="S38" i="10"/>
  <c r="T38" i="10"/>
  <c r="U38" i="10"/>
  <c r="V38" i="10"/>
  <c r="W38" i="10"/>
  <c r="C39" i="10"/>
  <c r="D39" i="10"/>
  <c r="E39" i="10"/>
  <c r="F39" i="10"/>
  <c r="G39" i="10"/>
  <c r="H39" i="10"/>
  <c r="I39" i="10"/>
  <c r="J39" i="10"/>
  <c r="K39" i="10"/>
  <c r="L39" i="10"/>
  <c r="M39" i="10"/>
  <c r="N39" i="10"/>
  <c r="O39" i="10"/>
  <c r="P39" i="10"/>
  <c r="Q39" i="10"/>
  <c r="R39" i="10"/>
  <c r="S39" i="10"/>
  <c r="T39" i="10"/>
  <c r="U39" i="10"/>
  <c r="V39" i="10"/>
  <c r="W39" i="10"/>
  <c r="C40" i="10"/>
  <c r="D40" i="10"/>
  <c r="E40" i="10"/>
  <c r="F40" i="10"/>
  <c r="G40" i="10"/>
  <c r="H40" i="10"/>
  <c r="I40" i="10"/>
  <c r="J40" i="10"/>
  <c r="K40" i="10"/>
  <c r="L40" i="10"/>
  <c r="M40" i="10"/>
  <c r="N40" i="10"/>
  <c r="O40" i="10"/>
  <c r="P40" i="10"/>
  <c r="Q40" i="10"/>
  <c r="R40" i="10"/>
  <c r="S40" i="10"/>
  <c r="T40" i="10"/>
  <c r="U40" i="10"/>
  <c r="V40" i="10"/>
  <c r="W40" i="10"/>
  <c r="C41" i="10"/>
  <c r="D41" i="10"/>
  <c r="E41" i="10"/>
  <c r="F41" i="10"/>
  <c r="G41" i="10"/>
  <c r="H41" i="10"/>
  <c r="I41" i="10"/>
  <c r="J41" i="10"/>
  <c r="K41" i="10"/>
  <c r="L41" i="10"/>
  <c r="M41" i="10"/>
  <c r="N41" i="10"/>
  <c r="O41" i="10"/>
  <c r="P41" i="10"/>
  <c r="Q41" i="10"/>
  <c r="R41" i="10"/>
  <c r="S41" i="10"/>
  <c r="T41" i="10"/>
  <c r="U41" i="10"/>
  <c r="V41" i="10"/>
  <c r="W41" i="10"/>
  <c r="C42" i="10"/>
  <c r="D42" i="10"/>
  <c r="E42" i="10"/>
  <c r="F42" i="10"/>
  <c r="G42" i="10"/>
  <c r="H42" i="10"/>
  <c r="I42" i="10"/>
  <c r="J42" i="10"/>
  <c r="K42" i="10"/>
  <c r="L42" i="10"/>
  <c r="M42" i="10"/>
  <c r="N42" i="10"/>
  <c r="O42" i="10"/>
  <c r="P42" i="10"/>
  <c r="Q42" i="10"/>
  <c r="R42" i="10"/>
  <c r="S42" i="10"/>
  <c r="T42" i="10"/>
  <c r="U42" i="10"/>
  <c r="V42" i="10"/>
  <c r="W42" i="10"/>
  <c r="C43" i="10"/>
  <c r="D43" i="10"/>
  <c r="E43" i="10"/>
  <c r="F43" i="10"/>
  <c r="G43" i="10"/>
  <c r="H43" i="10"/>
  <c r="I43" i="10"/>
  <c r="J43" i="10"/>
  <c r="K43" i="10"/>
  <c r="L43" i="10"/>
  <c r="M43" i="10"/>
  <c r="N43" i="10"/>
  <c r="O43" i="10"/>
  <c r="P43" i="10"/>
  <c r="Q43" i="10"/>
  <c r="R43" i="10"/>
  <c r="S43" i="10"/>
  <c r="T43" i="10"/>
  <c r="U43" i="10"/>
  <c r="V43" i="10"/>
  <c r="W43" i="10"/>
  <c r="C44" i="10"/>
  <c r="D44" i="10"/>
  <c r="E44" i="10"/>
  <c r="F44" i="10"/>
  <c r="G44" i="10"/>
  <c r="H44" i="10"/>
  <c r="I44" i="10"/>
  <c r="J44" i="10"/>
  <c r="K44" i="10"/>
  <c r="L44" i="10"/>
  <c r="M44" i="10"/>
  <c r="N44" i="10"/>
  <c r="O44" i="10"/>
  <c r="P44" i="10"/>
  <c r="Q44" i="10"/>
  <c r="R44" i="10"/>
  <c r="S44" i="10"/>
  <c r="T44" i="10"/>
  <c r="U44" i="10"/>
  <c r="V44" i="10"/>
  <c r="W44" i="10"/>
  <c r="C45" i="10"/>
  <c r="D45" i="10"/>
  <c r="E45" i="10"/>
  <c r="F45" i="10"/>
  <c r="G45" i="10"/>
  <c r="H45" i="10"/>
  <c r="I45" i="10"/>
  <c r="J45" i="10"/>
  <c r="K45" i="10"/>
  <c r="L45" i="10"/>
  <c r="M45" i="10"/>
  <c r="N45" i="10"/>
  <c r="O45" i="10"/>
  <c r="P45" i="10"/>
  <c r="Q45" i="10"/>
  <c r="R45" i="10"/>
  <c r="S45" i="10"/>
  <c r="T45" i="10"/>
  <c r="U45" i="10"/>
  <c r="V45" i="10"/>
  <c r="W45" i="10"/>
  <c r="C46" i="10"/>
  <c r="D46" i="10"/>
  <c r="E46" i="10"/>
  <c r="F46" i="10"/>
  <c r="G46" i="10"/>
  <c r="H46" i="10"/>
  <c r="I46" i="10"/>
  <c r="J46" i="10"/>
  <c r="K46" i="10"/>
  <c r="L46" i="10"/>
  <c r="M46" i="10"/>
  <c r="N46" i="10"/>
  <c r="O46" i="10"/>
  <c r="P46" i="10"/>
  <c r="Q46" i="10"/>
  <c r="R46" i="10"/>
  <c r="S46" i="10"/>
  <c r="T46" i="10"/>
  <c r="U46" i="10"/>
  <c r="V46" i="10"/>
  <c r="W46" i="10"/>
  <c r="C47" i="10"/>
  <c r="D47" i="10"/>
  <c r="E47" i="10"/>
  <c r="F47" i="10"/>
  <c r="G47" i="10"/>
  <c r="H47" i="10"/>
  <c r="I47" i="10"/>
  <c r="J47" i="10"/>
  <c r="K47" i="10"/>
  <c r="L47" i="10"/>
  <c r="M47" i="10"/>
  <c r="N47" i="10"/>
  <c r="O47" i="10"/>
  <c r="P47" i="10"/>
  <c r="Q47" i="10"/>
  <c r="R47" i="10"/>
  <c r="S47" i="10"/>
  <c r="T47" i="10"/>
  <c r="U47" i="10"/>
  <c r="V47" i="10"/>
  <c r="W47" i="10"/>
  <c r="C48" i="10"/>
  <c r="D48" i="10"/>
  <c r="E48" i="10"/>
  <c r="F48" i="10"/>
  <c r="G48" i="10"/>
  <c r="H48" i="10"/>
  <c r="I48" i="10"/>
  <c r="J48" i="10"/>
  <c r="K48" i="10"/>
  <c r="L48" i="10"/>
  <c r="M48" i="10"/>
  <c r="N48" i="10"/>
  <c r="O48" i="10"/>
  <c r="P48" i="10"/>
  <c r="Q48" i="10"/>
  <c r="R48" i="10"/>
  <c r="S48" i="10"/>
  <c r="T48" i="10"/>
  <c r="U48" i="10"/>
  <c r="V48" i="10"/>
  <c r="W48" i="10"/>
  <c r="C49" i="10"/>
  <c r="D49" i="10"/>
  <c r="E49" i="10"/>
  <c r="F49" i="10"/>
  <c r="G49" i="10"/>
  <c r="H49" i="10"/>
  <c r="I49" i="10"/>
  <c r="J49" i="10"/>
  <c r="K49" i="10"/>
  <c r="L49" i="10"/>
  <c r="M49" i="10"/>
  <c r="N49" i="10"/>
  <c r="O49" i="10"/>
  <c r="P49" i="10"/>
  <c r="Q49" i="10"/>
  <c r="R49" i="10"/>
  <c r="S49" i="10"/>
  <c r="T49" i="10"/>
  <c r="U49" i="10"/>
  <c r="V49" i="10"/>
  <c r="W49" i="10"/>
  <c r="C50" i="10"/>
  <c r="D50" i="10"/>
  <c r="E50" i="10"/>
  <c r="F50" i="10"/>
  <c r="G50" i="10"/>
  <c r="H50" i="10"/>
  <c r="I50" i="10"/>
  <c r="J50" i="10"/>
  <c r="K50" i="10"/>
  <c r="L50" i="10"/>
  <c r="M50" i="10"/>
  <c r="N50" i="10"/>
  <c r="O50" i="10"/>
  <c r="P50" i="10"/>
  <c r="Q50" i="10"/>
  <c r="R50" i="10"/>
  <c r="S50" i="10"/>
  <c r="T50" i="10"/>
  <c r="U50" i="10"/>
  <c r="V50" i="10"/>
  <c r="W50" i="10"/>
  <c r="C51" i="10"/>
  <c r="D51" i="10"/>
  <c r="E51" i="10"/>
  <c r="F51" i="10"/>
  <c r="G51" i="10"/>
  <c r="H51" i="10"/>
  <c r="I51" i="10"/>
  <c r="J51" i="10"/>
  <c r="K51" i="10"/>
  <c r="L51" i="10"/>
  <c r="M51" i="10"/>
  <c r="N51" i="10"/>
  <c r="O51" i="10"/>
  <c r="P51" i="10"/>
  <c r="Q51" i="10"/>
  <c r="R51" i="10"/>
  <c r="S51" i="10"/>
  <c r="T51" i="10"/>
  <c r="U51" i="10"/>
  <c r="V51" i="10"/>
  <c r="W51" i="10"/>
  <c r="C52" i="10"/>
  <c r="D52" i="10"/>
  <c r="E52" i="10"/>
  <c r="F52" i="10"/>
  <c r="G52" i="10"/>
  <c r="H52" i="10"/>
  <c r="I52" i="10"/>
  <c r="J52" i="10"/>
  <c r="K52" i="10"/>
  <c r="L52" i="10"/>
  <c r="M52" i="10"/>
  <c r="N52" i="10"/>
  <c r="O52" i="10"/>
  <c r="P52" i="10"/>
  <c r="Q52" i="10"/>
  <c r="R52" i="10"/>
  <c r="S52" i="10"/>
  <c r="T52" i="10"/>
  <c r="U52" i="10"/>
  <c r="V52" i="10"/>
  <c r="W52" i="10"/>
  <c r="C53" i="10"/>
  <c r="D53" i="10"/>
  <c r="E53" i="10"/>
  <c r="F53" i="10"/>
  <c r="G53" i="10"/>
  <c r="H53" i="10"/>
  <c r="I53" i="10"/>
  <c r="J53" i="10"/>
  <c r="K53" i="10"/>
  <c r="L53" i="10"/>
  <c r="M53" i="10"/>
  <c r="N53" i="10"/>
  <c r="O53" i="10"/>
  <c r="P53" i="10"/>
  <c r="Q53" i="10"/>
  <c r="R53" i="10"/>
  <c r="S53" i="10"/>
  <c r="T53" i="10"/>
  <c r="U53" i="10"/>
  <c r="V53" i="10"/>
  <c r="W53" i="10"/>
  <c r="C54" i="10"/>
  <c r="D54" i="10"/>
  <c r="E54" i="10"/>
  <c r="F54" i="10"/>
  <c r="G54" i="10"/>
  <c r="H54" i="10"/>
  <c r="I54" i="10"/>
  <c r="J54" i="10"/>
  <c r="K54" i="10"/>
  <c r="L54" i="10"/>
  <c r="M54" i="10"/>
  <c r="N54" i="10"/>
  <c r="O54" i="10"/>
  <c r="P54" i="10"/>
  <c r="Q54" i="10"/>
  <c r="R54" i="10"/>
  <c r="S54" i="10"/>
  <c r="T54" i="10"/>
  <c r="U54" i="10"/>
  <c r="V54" i="10"/>
  <c r="W54" i="10"/>
  <c r="C55" i="10"/>
  <c r="D55" i="10"/>
  <c r="E55" i="10"/>
  <c r="F55" i="10"/>
  <c r="G55" i="10"/>
  <c r="H55" i="10"/>
  <c r="I55" i="10"/>
  <c r="J55" i="10"/>
  <c r="K55" i="10"/>
  <c r="L55" i="10"/>
  <c r="M55" i="10"/>
  <c r="N55" i="10"/>
  <c r="O55" i="10"/>
  <c r="P55" i="10"/>
  <c r="Q55" i="10"/>
  <c r="R55" i="10"/>
  <c r="S55" i="10"/>
  <c r="T55" i="10"/>
  <c r="U55" i="10"/>
  <c r="V55" i="10"/>
  <c r="W55" i="10"/>
  <c r="C56" i="10"/>
  <c r="D56" i="10"/>
  <c r="E56" i="10"/>
  <c r="F56" i="10"/>
  <c r="G56" i="10"/>
  <c r="H56" i="10"/>
  <c r="I56" i="10"/>
  <c r="J56" i="10"/>
  <c r="K56" i="10"/>
  <c r="L56" i="10"/>
  <c r="M56" i="10"/>
  <c r="N56" i="10"/>
  <c r="O56" i="10"/>
  <c r="P56" i="10"/>
  <c r="Q56" i="10"/>
  <c r="R56" i="10"/>
  <c r="S56" i="10"/>
  <c r="T56" i="10"/>
  <c r="U56" i="10"/>
  <c r="V56" i="10"/>
  <c r="W56" i="10"/>
  <c r="C57" i="10"/>
  <c r="D57" i="10"/>
  <c r="E57" i="10"/>
  <c r="F57" i="10"/>
  <c r="G57" i="10"/>
  <c r="H57" i="10"/>
  <c r="I57" i="10"/>
  <c r="J57" i="10"/>
  <c r="K57" i="10"/>
  <c r="L57" i="10"/>
  <c r="M57" i="10"/>
  <c r="N57" i="10"/>
  <c r="O57" i="10"/>
  <c r="P57" i="10"/>
  <c r="Q57" i="10"/>
  <c r="R57" i="10"/>
  <c r="S57" i="10"/>
  <c r="T57" i="10"/>
  <c r="U57" i="10"/>
  <c r="V57" i="10"/>
  <c r="W57" i="10"/>
  <c r="C58" i="10"/>
  <c r="D58" i="10"/>
  <c r="E58" i="10"/>
  <c r="F58" i="10"/>
  <c r="G58" i="10"/>
  <c r="H58" i="10"/>
  <c r="I58" i="10"/>
  <c r="J58" i="10"/>
  <c r="K58" i="10"/>
  <c r="L58" i="10"/>
  <c r="M58" i="10"/>
  <c r="N58" i="10"/>
  <c r="O58" i="10"/>
  <c r="P58" i="10"/>
  <c r="Q58" i="10"/>
  <c r="R58" i="10"/>
  <c r="S58" i="10"/>
  <c r="T58" i="10"/>
  <c r="U58" i="10"/>
  <c r="V58" i="10"/>
  <c r="W58" i="10"/>
  <c r="C59" i="10"/>
  <c r="D59" i="10"/>
  <c r="E59" i="10"/>
  <c r="F59" i="10"/>
  <c r="G59" i="10"/>
  <c r="H59" i="10"/>
  <c r="I59" i="10"/>
  <c r="J59" i="10"/>
  <c r="K59" i="10"/>
  <c r="L59" i="10"/>
  <c r="M59" i="10"/>
  <c r="N59" i="10"/>
  <c r="O59" i="10"/>
  <c r="P59" i="10"/>
  <c r="Q59" i="10"/>
  <c r="R59" i="10"/>
  <c r="S59" i="10"/>
  <c r="T59" i="10"/>
  <c r="U59" i="10"/>
  <c r="V59" i="10"/>
  <c r="W59" i="10"/>
  <c r="C60" i="10"/>
  <c r="D60" i="10"/>
  <c r="E60" i="10"/>
  <c r="F60" i="10"/>
  <c r="G60" i="10"/>
  <c r="H60" i="10"/>
  <c r="I60" i="10"/>
  <c r="J60" i="10"/>
  <c r="K60" i="10"/>
  <c r="L60" i="10"/>
  <c r="M60" i="10"/>
  <c r="N60" i="10"/>
  <c r="O60" i="10"/>
  <c r="P60" i="10"/>
  <c r="Q60" i="10"/>
  <c r="R60" i="10"/>
  <c r="S60" i="10"/>
  <c r="T60" i="10"/>
  <c r="U60" i="10"/>
  <c r="V60" i="10"/>
  <c r="W60" i="10"/>
  <c r="W33" i="10"/>
  <c r="U33" i="10"/>
  <c r="V33" i="10"/>
  <c r="P33" i="10"/>
  <c r="Q33" i="10"/>
  <c r="R33" i="10"/>
  <c r="S33" i="10"/>
  <c r="T33" i="10"/>
  <c r="D33" i="10"/>
  <c r="E33" i="10"/>
  <c r="F33" i="10"/>
  <c r="G33" i="10"/>
  <c r="H33" i="10"/>
  <c r="I33" i="10"/>
  <c r="J33" i="10"/>
  <c r="K33" i="10"/>
  <c r="L33" i="10"/>
  <c r="M33" i="10"/>
  <c r="N33" i="10"/>
  <c r="O33" i="10"/>
  <c r="C33"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A52" i="10"/>
  <c r="A53" i="10"/>
  <c r="A54" i="10"/>
  <c r="A55" i="10"/>
  <c r="A56" i="10"/>
  <c r="A57" i="10"/>
  <c r="A58" i="10"/>
  <c r="A59" i="10"/>
  <c r="A60" i="10"/>
  <c r="A37" i="10"/>
  <c r="A38" i="10"/>
  <c r="A39" i="10"/>
  <c r="A40" i="10"/>
  <c r="A41" i="10"/>
  <c r="A42" i="10"/>
  <c r="A43" i="10"/>
  <c r="A44" i="10"/>
  <c r="A45" i="10"/>
  <c r="A46" i="10"/>
  <c r="A47" i="10"/>
  <c r="A48" i="10"/>
  <c r="A49" i="10"/>
  <c r="A50" i="10"/>
  <c r="A51" i="10"/>
  <c r="A34" i="10"/>
  <c r="A35" i="10"/>
  <c r="A36" i="10"/>
  <c r="A33" i="10"/>
  <c r="E56" i="6"/>
  <c r="D56" i="6"/>
  <c r="C56" i="6"/>
  <c r="L12" i="12"/>
  <c r="AF30" i="10"/>
  <c r="AA30" i="10"/>
  <c r="V30" i="10"/>
  <c r="Q30" i="10"/>
  <c r="AF30" i="11"/>
  <c r="AA30" i="11"/>
  <c r="V30" i="11"/>
  <c r="Q30" i="11"/>
  <c r="L28" i="11"/>
  <c r="K28" i="11"/>
  <c r="AB28" i="11" s="1"/>
  <c r="AC28" i="11" s="1"/>
  <c r="AD28" i="11" s="1"/>
  <c r="AE28" i="11" s="1"/>
  <c r="AF28" i="11" s="1"/>
  <c r="J28" i="11"/>
  <c r="W28" i="11" s="1"/>
  <c r="X28" i="11" s="1"/>
  <c r="Y28" i="11" s="1"/>
  <c r="Z28" i="11" s="1"/>
  <c r="AA28" i="11" s="1"/>
  <c r="I28" i="11"/>
  <c r="R28" i="11" s="1"/>
  <c r="S28" i="11" s="1"/>
  <c r="T28" i="11" s="1"/>
  <c r="U28" i="11" s="1"/>
  <c r="V28" i="11" s="1"/>
  <c r="H28" i="11"/>
  <c r="M28" i="11" s="1"/>
  <c r="N28" i="11" s="1"/>
  <c r="O28" i="11" s="1"/>
  <c r="P28" i="11" s="1"/>
  <c r="Q28" i="11" s="1"/>
  <c r="L27" i="11"/>
  <c r="K27" i="11"/>
  <c r="AB27" i="11" s="1"/>
  <c r="AC27" i="11" s="1"/>
  <c r="AD27" i="11" s="1"/>
  <c r="AE27" i="11" s="1"/>
  <c r="AF27" i="11" s="1"/>
  <c r="J27" i="11"/>
  <c r="W27" i="11" s="1"/>
  <c r="X27" i="11" s="1"/>
  <c r="Y27" i="11" s="1"/>
  <c r="Z27" i="11" s="1"/>
  <c r="AA27" i="11" s="1"/>
  <c r="I27" i="11"/>
  <c r="R27" i="11" s="1"/>
  <c r="S27" i="11" s="1"/>
  <c r="T27" i="11" s="1"/>
  <c r="U27" i="11" s="1"/>
  <c r="V27" i="11" s="1"/>
  <c r="H27" i="11"/>
  <c r="M27" i="11" s="1"/>
  <c r="N27" i="11" s="1"/>
  <c r="O27" i="11" s="1"/>
  <c r="P27" i="11" s="1"/>
  <c r="Q27" i="11" s="1"/>
  <c r="L26" i="11"/>
  <c r="K26" i="11"/>
  <c r="AB26" i="11" s="1"/>
  <c r="AC26" i="11" s="1"/>
  <c r="AD26" i="11" s="1"/>
  <c r="AE26" i="11" s="1"/>
  <c r="AF26" i="11" s="1"/>
  <c r="J26" i="11"/>
  <c r="W26" i="11" s="1"/>
  <c r="X26" i="11" s="1"/>
  <c r="Y26" i="11" s="1"/>
  <c r="Z26" i="11" s="1"/>
  <c r="AA26" i="11" s="1"/>
  <c r="I26" i="11"/>
  <c r="R26" i="11" s="1"/>
  <c r="S26" i="11" s="1"/>
  <c r="T26" i="11" s="1"/>
  <c r="U26" i="11" s="1"/>
  <c r="V26" i="11" s="1"/>
  <c r="H26" i="11"/>
  <c r="M26" i="11" s="1"/>
  <c r="N26" i="11" s="1"/>
  <c r="O26" i="11" s="1"/>
  <c r="P26" i="11" s="1"/>
  <c r="Q26" i="11" s="1"/>
  <c r="L25" i="11"/>
  <c r="K25" i="11"/>
  <c r="AB25" i="11" s="1"/>
  <c r="AC25" i="11" s="1"/>
  <c r="AD25" i="11" s="1"/>
  <c r="AE25" i="11" s="1"/>
  <c r="AF25" i="11" s="1"/>
  <c r="J25" i="11"/>
  <c r="W25" i="11" s="1"/>
  <c r="X25" i="11" s="1"/>
  <c r="Y25" i="11" s="1"/>
  <c r="Z25" i="11" s="1"/>
  <c r="AA25" i="11" s="1"/>
  <c r="I25" i="11"/>
  <c r="R25" i="11" s="1"/>
  <c r="S25" i="11" s="1"/>
  <c r="T25" i="11" s="1"/>
  <c r="U25" i="11" s="1"/>
  <c r="V25" i="11" s="1"/>
  <c r="H25" i="11"/>
  <c r="M25" i="11" s="1"/>
  <c r="N25" i="11" s="1"/>
  <c r="O25" i="11" s="1"/>
  <c r="P25" i="11" s="1"/>
  <c r="Q25" i="11" s="1"/>
  <c r="L24" i="11"/>
  <c r="K24" i="11"/>
  <c r="AB24" i="11" s="1"/>
  <c r="AC24" i="11" s="1"/>
  <c r="AD24" i="11" s="1"/>
  <c r="AE24" i="11" s="1"/>
  <c r="AF24" i="11" s="1"/>
  <c r="J24" i="11"/>
  <c r="W24" i="11" s="1"/>
  <c r="X24" i="11" s="1"/>
  <c r="Y24" i="11" s="1"/>
  <c r="Z24" i="11" s="1"/>
  <c r="AA24" i="11" s="1"/>
  <c r="I24" i="11"/>
  <c r="R24" i="11" s="1"/>
  <c r="S24" i="11" s="1"/>
  <c r="T24" i="11" s="1"/>
  <c r="U24" i="11" s="1"/>
  <c r="V24" i="11" s="1"/>
  <c r="H24" i="11"/>
  <c r="M24" i="11" s="1"/>
  <c r="N24" i="11" s="1"/>
  <c r="O24" i="11" s="1"/>
  <c r="P24" i="11" s="1"/>
  <c r="Q24" i="11" s="1"/>
  <c r="L23" i="11"/>
  <c r="K23" i="11"/>
  <c r="AB23" i="11" s="1"/>
  <c r="AC23" i="11" s="1"/>
  <c r="AD23" i="11" s="1"/>
  <c r="AE23" i="11" s="1"/>
  <c r="AF23" i="11" s="1"/>
  <c r="J23" i="11"/>
  <c r="W23" i="11" s="1"/>
  <c r="X23" i="11" s="1"/>
  <c r="Y23" i="11" s="1"/>
  <c r="Z23" i="11" s="1"/>
  <c r="AA23" i="11" s="1"/>
  <c r="I23" i="11"/>
  <c r="R23" i="11" s="1"/>
  <c r="S23" i="11" s="1"/>
  <c r="T23" i="11" s="1"/>
  <c r="U23" i="11" s="1"/>
  <c r="V23" i="11" s="1"/>
  <c r="H23" i="11"/>
  <c r="M23" i="11" s="1"/>
  <c r="N23" i="11" s="1"/>
  <c r="O23" i="11" s="1"/>
  <c r="P23" i="11" s="1"/>
  <c r="Q23" i="11" s="1"/>
  <c r="L22" i="11"/>
  <c r="K22" i="11"/>
  <c r="AB22" i="11" s="1"/>
  <c r="AC22" i="11" s="1"/>
  <c r="AD22" i="11" s="1"/>
  <c r="AE22" i="11" s="1"/>
  <c r="AF22" i="11" s="1"/>
  <c r="J22" i="11"/>
  <c r="W22" i="11" s="1"/>
  <c r="X22" i="11" s="1"/>
  <c r="Y22" i="11" s="1"/>
  <c r="Z22" i="11" s="1"/>
  <c r="AA22" i="11" s="1"/>
  <c r="I22" i="11"/>
  <c r="R22" i="11" s="1"/>
  <c r="S22" i="11" s="1"/>
  <c r="T22" i="11" s="1"/>
  <c r="U22" i="11" s="1"/>
  <c r="V22" i="11" s="1"/>
  <c r="H22" i="11"/>
  <c r="M22" i="11" s="1"/>
  <c r="N22" i="11" s="1"/>
  <c r="O22" i="11" s="1"/>
  <c r="P22" i="11" s="1"/>
  <c r="Q22" i="11" s="1"/>
  <c r="L21" i="11"/>
  <c r="K21" i="11"/>
  <c r="AB21" i="11" s="1"/>
  <c r="AC21" i="11" s="1"/>
  <c r="AD21" i="11" s="1"/>
  <c r="AE21" i="11" s="1"/>
  <c r="AF21" i="11" s="1"/>
  <c r="J21" i="11"/>
  <c r="W21" i="11" s="1"/>
  <c r="X21" i="11" s="1"/>
  <c r="Y21" i="11" s="1"/>
  <c r="Z21" i="11" s="1"/>
  <c r="AA21" i="11" s="1"/>
  <c r="I21" i="11"/>
  <c r="R21" i="11" s="1"/>
  <c r="S21" i="11" s="1"/>
  <c r="T21" i="11" s="1"/>
  <c r="U21" i="11" s="1"/>
  <c r="V21" i="11" s="1"/>
  <c r="H21" i="11"/>
  <c r="M21" i="11" s="1"/>
  <c r="N21" i="11" s="1"/>
  <c r="O21" i="11" s="1"/>
  <c r="P21" i="11" s="1"/>
  <c r="Q21" i="11" s="1"/>
  <c r="L20" i="11"/>
  <c r="K20" i="11"/>
  <c r="AB20" i="11" s="1"/>
  <c r="AC20" i="11" s="1"/>
  <c r="AD20" i="11" s="1"/>
  <c r="AE20" i="11" s="1"/>
  <c r="AF20" i="11" s="1"/>
  <c r="J20" i="11"/>
  <c r="W20" i="11" s="1"/>
  <c r="X20" i="11" s="1"/>
  <c r="Y20" i="11" s="1"/>
  <c r="Z20" i="11" s="1"/>
  <c r="AA20" i="11" s="1"/>
  <c r="I20" i="11"/>
  <c r="R20" i="11" s="1"/>
  <c r="S20" i="11" s="1"/>
  <c r="T20" i="11" s="1"/>
  <c r="U20" i="11" s="1"/>
  <c r="V20" i="11" s="1"/>
  <c r="H20" i="11"/>
  <c r="M20" i="11" s="1"/>
  <c r="N20" i="11" s="1"/>
  <c r="O20" i="11" s="1"/>
  <c r="P20" i="11" s="1"/>
  <c r="Q20" i="11" s="1"/>
  <c r="L19" i="11"/>
  <c r="K19" i="11"/>
  <c r="AB19" i="11" s="1"/>
  <c r="AC19" i="11" s="1"/>
  <c r="AD19" i="11" s="1"/>
  <c r="AE19" i="11" s="1"/>
  <c r="AF19" i="11" s="1"/>
  <c r="J19" i="11"/>
  <c r="W19" i="11" s="1"/>
  <c r="X19" i="11" s="1"/>
  <c r="Y19" i="11" s="1"/>
  <c r="Z19" i="11" s="1"/>
  <c r="AA19" i="11" s="1"/>
  <c r="I19" i="11"/>
  <c r="R19" i="11" s="1"/>
  <c r="S19" i="11" s="1"/>
  <c r="T19" i="11" s="1"/>
  <c r="U19" i="11" s="1"/>
  <c r="V19" i="11" s="1"/>
  <c r="H19" i="11"/>
  <c r="M19" i="11" s="1"/>
  <c r="N19" i="11" s="1"/>
  <c r="O19" i="11" s="1"/>
  <c r="P19" i="11" s="1"/>
  <c r="Q19" i="11" s="1"/>
  <c r="L18" i="11"/>
  <c r="K18" i="11"/>
  <c r="AB18" i="11" s="1"/>
  <c r="AC18" i="11" s="1"/>
  <c r="AD18" i="11" s="1"/>
  <c r="AE18" i="11" s="1"/>
  <c r="AF18" i="11" s="1"/>
  <c r="J18" i="11"/>
  <c r="W18" i="11" s="1"/>
  <c r="X18" i="11" s="1"/>
  <c r="Y18" i="11" s="1"/>
  <c r="Z18" i="11" s="1"/>
  <c r="AA18" i="11" s="1"/>
  <c r="I18" i="11"/>
  <c r="R18" i="11" s="1"/>
  <c r="S18" i="11" s="1"/>
  <c r="T18" i="11" s="1"/>
  <c r="U18" i="11" s="1"/>
  <c r="V18" i="11" s="1"/>
  <c r="H18" i="11"/>
  <c r="M18" i="11" s="1"/>
  <c r="N18" i="11" s="1"/>
  <c r="O18" i="11" s="1"/>
  <c r="P18" i="11" s="1"/>
  <c r="Q18" i="11" s="1"/>
  <c r="L17" i="11"/>
  <c r="K17" i="11"/>
  <c r="AB17" i="11" s="1"/>
  <c r="AC17" i="11" s="1"/>
  <c r="AD17" i="11" s="1"/>
  <c r="AE17" i="11" s="1"/>
  <c r="AF17" i="11" s="1"/>
  <c r="J17" i="11"/>
  <c r="W17" i="11" s="1"/>
  <c r="X17" i="11" s="1"/>
  <c r="Y17" i="11" s="1"/>
  <c r="Z17" i="11" s="1"/>
  <c r="AA17" i="11" s="1"/>
  <c r="I17" i="11"/>
  <c r="R17" i="11" s="1"/>
  <c r="S17" i="11" s="1"/>
  <c r="T17" i="11" s="1"/>
  <c r="U17" i="11" s="1"/>
  <c r="V17" i="11" s="1"/>
  <c r="H17" i="11"/>
  <c r="M17" i="11" s="1"/>
  <c r="N17" i="11" s="1"/>
  <c r="O17" i="11" s="1"/>
  <c r="P17" i="11" s="1"/>
  <c r="Q17" i="11" s="1"/>
  <c r="L16" i="11"/>
  <c r="K16" i="11"/>
  <c r="AB16" i="11" s="1"/>
  <c r="AC16" i="11" s="1"/>
  <c r="AD16" i="11" s="1"/>
  <c r="AE16" i="11" s="1"/>
  <c r="AF16" i="11" s="1"/>
  <c r="J16" i="11"/>
  <c r="W16" i="11" s="1"/>
  <c r="X16" i="11" s="1"/>
  <c r="Y16" i="11" s="1"/>
  <c r="Z16" i="11" s="1"/>
  <c r="AA16" i="11" s="1"/>
  <c r="I16" i="11"/>
  <c r="R16" i="11" s="1"/>
  <c r="S16" i="11" s="1"/>
  <c r="T16" i="11" s="1"/>
  <c r="U16" i="11" s="1"/>
  <c r="V16" i="11" s="1"/>
  <c r="H16" i="11"/>
  <c r="M16" i="11" s="1"/>
  <c r="N16" i="11" s="1"/>
  <c r="O16" i="11" s="1"/>
  <c r="P16" i="11" s="1"/>
  <c r="Q16" i="11" s="1"/>
  <c r="W15" i="11"/>
  <c r="X15" i="11" s="1"/>
  <c r="Y15" i="11" s="1"/>
  <c r="Z15" i="11" s="1"/>
  <c r="AA15" i="11" s="1"/>
  <c r="R15" i="11"/>
  <c r="S15" i="11" s="1"/>
  <c r="T15" i="11" s="1"/>
  <c r="U15" i="11" s="1"/>
  <c r="V15" i="11" s="1"/>
  <c r="M15" i="11"/>
  <c r="N15" i="11" s="1"/>
  <c r="O15" i="11" s="1"/>
  <c r="P15" i="11" s="1"/>
  <c r="Q15" i="11" s="1"/>
  <c r="L15" i="11"/>
  <c r="K15" i="11"/>
  <c r="AB15" i="11" s="1"/>
  <c r="AC15" i="11" s="1"/>
  <c r="AD15" i="11" s="1"/>
  <c r="AE15" i="11" s="1"/>
  <c r="AF15" i="11" s="1"/>
  <c r="J15" i="11"/>
  <c r="I15" i="11"/>
  <c r="H15" i="11"/>
  <c r="L14" i="11"/>
  <c r="K14" i="11"/>
  <c r="AB14" i="11" s="1"/>
  <c r="AC14" i="11" s="1"/>
  <c r="AD14" i="11" s="1"/>
  <c r="AE14" i="11" s="1"/>
  <c r="AF14" i="11" s="1"/>
  <c r="J14" i="11"/>
  <c r="W14" i="11" s="1"/>
  <c r="X14" i="11" s="1"/>
  <c r="Y14" i="11" s="1"/>
  <c r="Z14" i="11" s="1"/>
  <c r="AA14" i="11" s="1"/>
  <c r="I14" i="11"/>
  <c r="R14" i="11" s="1"/>
  <c r="S14" i="11" s="1"/>
  <c r="T14" i="11" s="1"/>
  <c r="U14" i="11" s="1"/>
  <c r="V14" i="11" s="1"/>
  <c r="H14" i="11"/>
  <c r="M14" i="11" s="1"/>
  <c r="N14" i="11" s="1"/>
  <c r="O14" i="11" s="1"/>
  <c r="P14" i="11" s="1"/>
  <c r="Q14" i="11" s="1"/>
  <c r="L13" i="11"/>
  <c r="K13" i="11"/>
  <c r="AB13" i="11" s="1"/>
  <c r="AC13" i="11" s="1"/>
  <c r="AD13" i="11" s="1"/>
  <c r="AE13" i="11" s="1"/>
  <c r="AF13" i="11" s="1"/>
  <c r="J13" i="11"/>
  <c r="W13" i="11" s="1"/>
  <c r="X13" i="11" s="1"/>
  <c r="Y13" i="11" s="1"/>
  <c r="Z13" i="11" s="1"/>
  <c r="AA13" i="11" s="1"/>
  <c r="I13" i="11"/>
  <c r="R13" i="11" s="1"/>
  <c r="S13" i="11" s="1"/>
  <c r="T13" i="11" s="1"/>
  <c r="U13" i="11" s="1"/>
  <c r="V13" i="11" s="1"/>
  <c r="H13" i="11"/>
  <c r="M13" i="11" s="1"/>
  <c r="N13" i="11" s="1"/>
  <c r="O13" i="11" s="1"/>
  <c r="P13" i="11" s="1"/>
  <c r="Q13" i="11" s="1"/>
  <c r="L12" i="11"/>
  <c r="K12" i="11"/>
  <c r="AB12" i="11" s="1"/>
  <c r="AC12" i="11" s="1"/>
  <c r="AD12" i="11" s="1"/>
  <c r="AE12" i="11" s="1"/>
  <c r="AF12" i="11" s="1"/>
  <c r="J12" i="11"/>
  <c r="W12" i="11" s="1"/>
  <c r="X12" i="11" s="1"/>
  <c r="Y12" i="11" s="1"/>
  <c r="Z12" i="11" s="1"/>
  <c r="AA12" i="11" s="1"/>
  <c r="I12" i="11"/>
  <c r="R12" i="11" s="1"/>
  <c r="S12" i="11" s="1"/>
  <c r="T12" i="11" s="1"/>
  <c r="U12" i="11" s="1"/>
  <c r="V12" i="11" s="1"/>
  <c r="H12" i="11"/>
  <c r="M12" i="11" s="1"/>
  <c r="N12" i="11" s="1"/>
  <c r="O12" i="11" s="1"/>
  <c r="P12" i="11" s="1"/>
  <c r="Q12" i="11" s="1"/>
  <c r="L11" i="11"/>
  <c r="K11" i="11"/>
  <c r="AB11" i="11" s="1"/>
  <c r="AC11" i="11" s="1"/>
  <c r="AD11" i="11" s="1"/>
  <c r="AE11" i="11" s="1"/>
  <c r="AF11" i="11" s="1"/>
  <c r="J11" i="11"/>
  <c r="W11" i="11" s="1"/>
  <c r="X11" i="11" s="1"/>
  <c r="Y11" i="11" s="1"/>
  <c r="Z11" i="11" s="1"/>
  <c r="AA11" i="11" s="1"/>
  <c r="I11" i="11"/>
  <c r="R11" i="11" s="1"/>
  <c r="S11" i="11" s="1"/>
  <c r="T11" i="11" s="1"/>
  <c r="U11" i="11" s="1"/>
  <c r="V11" i="11" s="1"/>
  <c r="H11" i="11"/>
  <c r="M11" i="11" s="1"/>
  <c r="N11" i="11" s="1"/>
  <c r="O11" i="11" s="1"/>
  <c r="P11" i="11" s="1"/>
  <c r="Q11" i="11" s="1"/>
  <c r="L10" i="11"/>
  <c r="K10" i="11"/>
  <c r="AB10" i="11" s="1"/>
  <c r="AC10" i="11" s="1"/>
  <c r="AD10" i="11" s="1"/>
  <c r="AE10" i="11" s="1"/>
  <c r="AF10" i="11" s="1"/>
  <c r="J10" i="11"/>
  <c r="W10" i="11" s="1"/>
  <c r="X10" i="11" s="1"/>
  <c r="Y10" i="11" s="1"/>
  <c r="Z10" i="11" s="1"/>
  <c r="AA10" i="11" s="1"/>
  <c r="I10" i="11"/>
  <c r="R10" i="11" s="1"/>
  <c r="S10" i="11" s="1"/>
  <c r="T10" i="11" s="1"/>
  <c r="U10" i="11" s="1"/>
  <c r="V10" i="11" s="1"/>
  <c r="H10" i="11"/>
  <c r="M10" i="11" s="1"/>
  <c r="N10" i="11" s="1"/>
  <c r="O10" i="11" s="1"/>
  <c r="P10" i="11" s="1"/>
  <c r="Q10" i="11" s="1"/>
  <c r="L9" i="11"/>
  <c r="K9" i="11"/>
  <c r="AB9" i="11" s="1"/>
  <c r="AC9" i="11" s="1"/>
  <c r="AD9" i="11" s="1"/>
  <c r="AE9" i="11" s="1"/>
  <c r="AF9" i="11" s="1"/>
  <c r="J9" i="11"/>
  <c r="W9" i="11" s="1"/>
  <c r="X9" i="11" s="1"/>
  <c r="Y9" i="11" s="1"/>
  <c r="Z9" i="11" s="1"/>
  <c r="AA9" i="11" s="1"/>
  <c r="I9" i="11"/>
  <c r="R9" i="11" s="1"/>
  <c r="S9" i="11" s="1"/>
  <c r="T9" i="11" s="1"/>
  <c r="U9" i="11" s="1"/>
  <c r="V9" i="11" s="1"/>
  <c r="H9" i="11"/>
  <c r="M9" i="11" s="1"/>
  <c r="N9" i="11" s="1"/>
  <c r="O9" i="11" s="1"/>
  <c r="P9" i="11" s="1"/>
  <c r="Q9" i="11" s="1"/>
  <c r="L8" i="11"/>
  <c r="K8" i="11"/>
  <c r="AB8" i="11" s="1"/>
  <c r="AC8" i="11" s="1"/>
  <c r="AD8" i="11" s="1"/>
  <c r="AE8" i="11" s="1"/>
  <c r="AF8" i="11" s="1"/>
  <c r="J8" i="11"/>
  <c r="W8" i="11" s="1"/>
  <c r="X8" i="11" s="1"/>
  <c r="Y8" i="11" s="1"/>
  <c r="Z8" i="11" s="1"/>
  <c r="AA8" i="11" s="1"/>
  <c r="I8" i="11"/>
  <c r="R8" i="11" s="1"/>
  <c r="S8" i="11" s="1"/>
  <c r="T8" i="11" s="1"/>
  <c r="U8" i="11" s="1"/>
  <c r="V8" i="11" s="1"/>
  <c r="H8" i="11"/>
  <c r="M8" i="11" s="1"/>
  <c r="N8" i="11" s="1"/>
  <c r="O8" i="11" s="1"/>
  <c r="P8" i="11" s="1"/>
  <c r="Q8" i="11" s="1"/>
  <c r="L7" i="11"/>
  <c r="K7" i="11"/>
  <c r="AB7" i="11" s="1"/>
  <c r="AC7" i="11" s="1"/>
  <c r="AD7" i="11" s="1"/>
  <c r="AE7" i="11" s="1"/>
  <c r="AF7" i="11" s="1"/>
  <c r="J7" i="11"/>
  <c r="W7" i="11" s="1"/>
  <c r="X7" i="11" s="1"/>
  <c r="Y7" i="11" s="1"/>
  <c r="Z7" i="11" s="1"/>
  <c r="AA7" i="11" s="1"/>
  <c r="I7" i="11"/>
  <c r="R7" i="11" s="1"/>
  <c r="S7" i="11" s="1"/>
  <c r="T7" i="11" s="1"/>
  <c r="U7" i="11" s="1"/>
  <c r="V7" i="11" s="1"/>
  <c r="H7" i="11"/>
  <c r="M7" i="11" s="1"/>
  <c r="N7" i="11" s="1"/>
  <c r="O7" i="11" s="1"/>
  <c r="P7" i="11" s="1"/>
  <c r="Q7" i="11" s="1"/>
  <c r="L6" i="11"/>
  <c r="K6" i="11"/>
  <c r="AB6" i="11" s="1"/>
  <c r="AC6" i="11" s="1"/>
  <c r="AD6" i="11" s="1"/>
  <c r="AE6" i="11" s="1"/>
  <c r="AF6" i="11" s="1"/>
  <c r="J6" i="11"/>
  <c r="W6" i="11" s="1"/>
  <c r="X6" i="11" s="1"/>
  <c r="Y6" i="11" s="1"/>
  <c r="Z6" i="11" s="1"/>
  <c r="AA6" i="11" s="1"/>
  <c r="I6" i="11"/>
  <c r="R6" i="11" s="1"/>
  <c r="S6" i="11" s="1"/>
  <c r="T6" i="11" s="1"/>
  <c r="U6" i="11" s="1"/>
  <c r="V6" i="11" s="1"/>
  <c r="H6" i="11"/>
  <c r="M6" i="11" s="1"/>
  <c r="N6" i="11" s="1"/>
  <c r="O6" i="11" s="1"/>
  <c r="P6" i="11" s="1"/>
  <c r="Q6" i="11" s="1"/>
  <c r="L5" i="11"/>
  <c r="K5" i="11"/>
  <c r="AB5" i="11" s="1"/>
  <c r="AC5" i="11" s="1"/>
  <c r="AD5" i="11" s="1"/>
  <c r="AE5" i="11" s="1"/>
  <c r="AF5" i="11" s="1"/>
  <c r="J5" i="11"/>
  <c r="W5" i="11" s="1"/>
  <c r="X5" i="11" s="1"/>
  <c r="Y5" i="11" s="1"/>
  <c r="Z5" i="11" s="1"/>
  <c r="AA5" i="11" s="1"/>
  <c r="I5" i="11"/>
  <c r="R5" i="11" s="1"/>
  <c r="S5" i="11" s="1"/>
  <c r="T5" i="11" s="1"/>
  <c r="U5" i="11" s="1"/>
  <c r="V5" i="11" s="1"/>
  <c r="H5" i="11"/>
  <c r="M5" i="11" s="1"/>
  <c r="N5" i="11" s="1"/>
  <c r="O5" i="11" s="1"/>
  <c r="P5" i="11" s="1"/>
  <c r="Q5" i="11" s="1"/>
  <c r="L4" i="11"/>
  <c r="K4" i="11"/>
  <c r="AB4" i="11" s="1"/>
  <c r="AC4" i="11" s="1"/>
  <c r="AD4" i="11" s="1"/>
  <c r="AE4" i="11" s="1"/>
  <c r="AF4" i="11" s="1"/>
  <c r="J4" i="11"/>
  <c r="W4" i="11" s="1"/>
  <c r="X4" i="11" s="1"/>
  <c r="Y4" i="11" s="1"/>
  <c r="Z4" i="11" s="1"/>
  <c r="AA4" i="11" s="1"/>
  <c r="I4" i="11"/>
  <c r="R4" i="11" s="1"/>
  <c r="S4" i="11" s="1"/>
  <c r="T4" i="11" s="1"/>
  <c r="U4" i="11" s="1"/>
  <c r="V4" i="11" s="1"/>
  <c r="H4" i="11"/>
  <c r="M4" i="11" s="1"/>
  <c r="N4" i="11" s="1"/>
  <c r="O4" i="11" s="1"/>
  <c r="P4" i="11" s="1"/>
  <c r="Q4" i="11" s="1"/>
  <c r="L3" i="11"/>
  <c r="K3" i="11"/>
  <c r="AB3" i="11" s="1"/>
  <c r="AC3" i="11" s="1"/>
  <c r="AD3" i="11" s="1"/>
  <c r="AE3" i="11" s="1"/>
  <c r="AF3" i="11" s="1"/>
  <c r="J3" i="11"/>
  <c r="W3" i="11" s="1"/>
  <c r="X3" i="11" s="1"/>
  <c r="Y3" i="11" s="1"/>
  <c r="Z3" i="11" s="1"/>
  <c r="AA3" i="11" s="1"/>
  <c r="I3" i="11"/>
  <c r="R3" i="11" s="1"/>
  <c r="S3" i="11" s="1"/>
  <c r="T3" i="11" s="1"/>
  <c r="U3" i="11" s="1"/>
  <c r="V3" i="11" s="1"/>
  <c r="H3" i="11"/>
  <c r="M3" i="11" s="1"/>
  <c r="N3" i="11" s="1"/>
  <c r="O3" i="11" s="1"/>
  <c r="P3" i="11" s="1"/>
  <c r="Q3" i="11" s="1"/>
  <c r="L2" i="11"/>
  <c r="K2" i="11"/>
  <c r="AB2" i="11" s="1"/>
  <c r="AC2" i="11" s="1"/>
  <c r="AD2" i="11" s="1"/>
  <c r="AE2" i="11" s="1"/>
  <c r="AF2" i="11" s="1"/>
  <c r="J2" i="11"/>
  <c r="W2" i="11" s="1"/>
  <c r="X2" i="11" s="1"/>
  <c r="Y2" i="11" s="1"/>
  <c r="Z2" i="11" s="1"/>
  <c r="AA2" i="11" s="1"/>
  <c r="I2" i="11"/>
  <c r="R2" i="11" s="1"/>
  <c r="S2" i="11" s="1"/>
  <c r="T2" i="11" s="1"/>
  <c r="U2" i="11" s="1"/>
  <c r="V2" i="11" s="1"/>
  <c r="H2" i="11"/>
  <c r="M2" i="11" s="1"/>
  <c r="N2" i="11" s="1"/>
  <c r="O2" i="11" s="1"/>
  <c r="P2" i="11" s="1"/>
  <c r="Q2" i="11" s="1"/>
  <c r="K3" i="10"/>
  <c r="K4" i="10"/>
  <c r="K5" i="10"/>
  <c r="K6" i="10"/>
  <c r="K7" i="10"/>
  <c r="K8" i="10"/>
  <c r="K9" i="10"/>
  <c r="K10" i="10"/>
  <c r="K11" i="10"/>
  <c r="K12" i="10"/>
  <c r="K13" i="10"/>
  <c r="AB13" i="10" s="1"/>
  <c r="AC13" i="10" s="1"/>
  <c r="AD13" i="10" s="1"/>
  <c r="AE13" i="10" s="1"/>
  <c r="AF13" i="10" s="1"/>
  <c r="K14" i="10"/>
  <c r="AB14" i="10" s="1"/>
  <c r="AC14" i="10" s="1"/>
  <c r="AD14" i="10" s="1"/>
  <c r="AE14" i="10" s="1"/>
  <c r="AF14" i="10" s="1"/>
  <c r="K15" i="10"/>
  <c r="AB15" i="10" s="1"/>
  <c r="AC15" i="10" s="1"/>
  <c r="AD15" i="10" s="1"/>
  <c r="AE15" i="10" s="1"/>
  <c r="AF15" i="10" s="1"/>
  <c r="K16" i="10"/>
  <c r="K17" i="10"/>
  <c r="K18" i="10"/>
  <c r="K19" i="10"/>
  <c r="K20" i="10"/>
  <c r="K21" i="10"/>
  <c r="K22" i="10"/>
  <c r="K23" i="10"/>
  <c r="K24" i="10"/>
  <c r="K25" i="10"/>
  <c r="K26" i="10"/>
  <c r="K27" i="10"/>
  <c r="K28" i="10"/>
  <c r="K2" i="10"/>
  <c r="L2" i="10"/>
  <c r="AB28" i="10"/>
  <c r="AC28" i="10" s="1"/>
  <c r="AD28" i="10" s="1"/>
  <c r="AE28" i="10" s="1"/>
  <c r="AF28" i="10" s="1"/>
  <c r="L28" i="10"/>
  <c r="AB27" i="10"/>
  <c r="AC27" i="10" s="1"/>
  <c r="AD27" i="10" s="1"/>
  <c r="AE27" i="10" s="1"/>
  <c r="AF27" i="10" s="1"/>
  <c r="R27" i="10"/>
  <c r="S27" i="10" s="1"/>
  <c r="T27" i="10" s="1"/>
  <c r="U27" i="10" s="1"/>
  <c r="V27" i="10" s="1"/>
  <c r="M27" i="10"/>
  <c r="N27" i="10" s="1"/>
  <c r="O27" i="10" s="1"/>
  <c r="P27" i="10" s="1"/>
  <c r="Q27" i="10" s="1"/>
  <c r="L27" i="10"/>
  <c r="AB26" i="10"/>
  <c r="AC26" i="10" s="1"/>
  <c r="AD26" i="10" s="1"/>
  <c r="AE26" i="10" s="1"/>
  <c r="AF26" i="10" s="1"/>
  <c r="W26" i="10"/>
  <c r="X26" i="10" s="1"/>
  <c r="Y26" i="10" s="1"/>
  <c r="Z26" i="10" s="1"/>
  <c r="AA26" i="10" s="1"/>
  <c r="R26" i="10"/>
  <c r="S26" i="10" s="1"/>
  <c r="T26" i="10" s="1"/>
  <c r="U26" i="10" s="1"/>
  <c r="V26" i="10" s="1"/>
  <c r="M26" i="10"/>
  <c r="N26" i="10" s="1"/>
  <c r="O26" i="10" s="1"/>
  <c r="P26" i="10" s="1"/>
  <c r="Q26" i="10" s="1"/>
  <c r="L26" i="10"/>
  <c r="AB25" i="10"/>
  <c r="AC25" i="10" s="1"/>
  <c r="AD25" i="10" s="1"/>
  <c r="AE25" i="10" s="1"/>
  <c r="AF25" i="10" s="1"/>
  <c r="W25" i="10"/>
  <c r="X25" i="10" s="1"/>
  <c r="Y25" i="10" s="1"/>
  <c r="Z25" i="10" s="1"/>
  <c r="AA25" i="10" s="1"/>
  <c r="R25" i="10"/>
  <c r="S25" i="10" s="1"/>
  <c r="T25" i="10" s="1"/>
  <c r="U25" i="10" s="1"/>
  <c r="V25" i="10" s="1"/>
  <c r="M25" i="10"/>
  <c r="N25" i="10" s="1"/>
  <c r="O25" i="10" s="1"/>
  <c r="P25" i="10" s="1"/>
  <c r="Q25" i="10" s="1"/>
  <c r="L25" i="10"/>
  <c r="AB24" i="10"/>
  <c r="AC24" i="10" s="1"/>
  <c r="AD24" i="10" s="1"/>
  <c r="AE24" i="10" s="1"/>
  <c r="AF24" i="10" s="1"/>
  <c r="W24" i="10"/>
  <c r="X24" i="10" s="1"/>
  <c r="Y24" i="10" s="1"/>
  <c r="Z24" i="10" s="1"/>
  <c r="AA24" i="10" s="1"/>
  <c r="R24" i="10"/>
  <c r="S24" i="10" s="1"/>
  <c r="T24" i="10" s="1"/>
  <c r="U24" i="10" s="1"/>
  <c r="V24" i="10" s="1"/>
  <c r="M24" i="10"/>
  <c r="N24" i="10" s="1"/>
  <c r="O24" i="10" s="1"/>
  <c r="P24" i="10" s="1"/>
  <c r="Q24" i="10" s="1"/>
  <c r="L24" i="10"/>
  <c r="AB23" i="10"/>
  <c r="AC23" i="10" s="1"/>
  <c r="AD23" i="10" s="1"/>
  <c r="AE23" i="10" s="1"/>
  <c r="AF23" i="10" s="1"/>
  <c r="W23" i="10"/>
  <c r="X23" i="10" s="1"/>
  <c r="Y23" i="10" s="1"/>
  <c r="Z23" i="10" s="1"/>
  <c r="AA23" i="10" s="1"/>
  <c r="R23" i="10"/>
  <c r="S23" i="10" s="1"/>
  <c r="T23" i="10" s="1"/>
  <c r="U23" i="10" s="1"/>
  <c r="V23" i="10" s="1"/>
  <c r="M23" i="10"/>
  <c r="N23" i="10" s="1"/>
  <c r="O23" i="10" s="1"/>
  <c r="P23" i="10" s="1"/>
  <c r="Q23" i="10" s="1"/>
  <c r="L23" i="10"/>
  <c r="AB22" i="10"/>
  <c r="AC22" i="10" s="1"/>
  <c r="AD22" i="10" s="1"/>
  <c r="AE22" i="10" s="1"/>
  <c r="AF22" i="10" s="1"/>
  <c r="W22" i="10"/>
  <c r="X22" i="10" s="1"/>
  <c r="Y22" i="10" s="1"/>
  <c r="Z22" i="10" s="1"/>
  <c r="AA22" i="10" s="1"/>
  <c r="R22" i="10"/>
  <c r="S22" i="10" s="1"/>
  <c r="T22" i="10" s="1"/>
  <c r="U22" i="10" s="1"/>
  <c r="V22" i="10" s="1"/>
  <c r="M22" i="10"/>
  <c r="N22" i="10" s="1"/>
  <c r="O22" i="10" s="1"/>
  <c r="P22" i="10" s="1"/>
  <c r="Q22" i="10" s="1"/>
  <c r="L22" i="10"/>
  <c r="AB21" i="10"/>
  <c r="AC21" i="10" s="1"/>
  <c r="AD21" i="10" s="1"/>
  <c r="AE21" i="10" s="1"/>
  <c r="AF21" i="10" s="1"/>
  <c r="W21" i="10"/>
  <c r="X21" i="10" s="1"/>
  <c r="Y21" i="10" s="1"/>
  <c r="Z21" i="10" s="1"/>
  <c r="AA21" i="10" s="1"/>
  <c r="R21" i="10"/>
  <c r="S21" i="10" s="1"/>
  <c r="T21" i="10" s="1"/>
  <c r="U21" i="10" s="1"/>
  <c r="V21" i="10" s="1"/>
  <c r="M21" i="10"/>
  <c r="N21" i="10" s="1"/>
  <c r="O21" i="10" s="1"/>
  <c r="P21" i="10" s="1"/>
  <c r="Q21" i="10" s="1"/>
  <c r="L21" i="10"/>
  <c r="AB20" i="10"/>
  <c r="AC20" i="10" s="1"/>
  <c r="AD20" i="10" s="1"/>
  <c r="AE20" i="10" s="1"/>
  <c r="AF20" i="10" s="1"/>
  <c r="W20" i="10"/>
  <c r="X20" i="10" s="1"/>
  <c r="Y20" i="10" s="1"/>
  <c r="Z20" i="10" s="1"/>
  <c r="AA20" i="10" s="1"/>
  <c r="R20" i="10"/>
  <c r="S20" i="10" s="1"/>
  <c r="T20" i="10" s="1"/>
  <c r="U20" i="10" s="1"/>
  <c r="V20" i="10" s="1"/>
  <c r="M20" i="10"/>
  <c r="N20" i="10" s="1"/>
  <c r="O20" i="10" s="1"/>
  <c r="P20" i="10" s="1"/>
  <c r="Q20" i="10" s="1"/>
  <c r="L20" i="10"/>
  <c r="AB19" i="10"/>
  <c r="AC19" i="10" s="1"/>
  <c r="AD19" i="10" s="1"/>
  <c r="AE19" i="10" s="1"/>
  <c r="AF19" i="10" s="1"/>
  <c r="W19" i="10"/>
  <c r="X19" i="10" s="1"/>
  <c r="Y19" i="10" s="1"/>
  <c r="Z19" i="10" s="1"/>
  <c r="AA19" i="10" s="1"/>
  <c r="R19" i="10"/>
  <c r="S19" i="10" s="1"/>
  <c r="T19" i="10" s="1"/>
  <c r="U19" i="10" s="1"/>
  <c r="V19" i="10" s="1"/>
  <c r="M19" i="10"/>
  <c r="N19" i="10" s="1"/>
  <c r="O19" i="10" s="1"/>
  <c r="P19" i="10" s="1"/>
  <c r="Q19" i="10" s="1"/>
  <c r="L19" i="10"/>
  <c r="AB18" i="10"/>
  <c r="AC18" i="10" s="1"/>
  <c r="AD18" i="10" s="1"/>
  <c r="AE18" i="10" s="1"/>
  <c r="AF18" i="10" s="1"/>
  <c r="W18" i="10"/>
  <c r="X18" i="10" s="1"/>
  <c r="Y18" i="10" s="1"/>
  <c r="Z18" i="10" s="1"/>
  <c r="AA18" i="10" s="1"/>
  <c r="R18" i="10"/>
  <c r="S18" i="10" s="1"/>
  <c r="T18" i="10" s="1"/>
  <c r="U18" i="10" s="1"/>
  <c r="V18" i="10" s="1"/>
  <c r="M18" i="10"/>
  <c r="N18" i="10" s="1"/>
  <c r="O18" i="10" s="1"/>
  <c r="P18" i="10" s="1"/>
  <c r="Q18" i="10" s="1"/>
  <c r="L18" i="10"/>
  <c r="AB17" i="10"/>
  <c r="AC17" i="10" s="1"/>
  <c r="AD17" i="10" s="1"/>
  <c r="AE17" i="10" s="1"/>
  <c r="AF17" i="10" s="1"/>
  <c r="W17" i="10"/>
  <c r="X17" i="10" s="1"/>
  <c r="Y17" i="10" s="1"/>
  <c r="Z17" i="10" s="1"/>
  <c r="AA17" i="10" s="1"/>
  <c r="R17" i="10"/>
  <c r="S17" i="10" s="1"/>
  <c r="T17" i="10" s="1"/>
  <c r="U17" i="10" s="1"/>
  <c r="V17" i="10" s="1"/>
  <c r="M17" i="10"/>
  <c r="N17" i="10" s="1"/>
  <c r="O17" i="10" s="1"/>
  <c r="P17" i="10" s="1"/>
  <c r="Q17" i="10" s="1"/>
  <c r="L17" i="10"/>
  <c r="AB16" i="10"/>
  <c r="AC16" i="10" s="1"/>
  <c r="AD16" i="10" s="1"/>
  <c r="AE16" i="10" s="1"/>
  <c r="AF16" i="10" s="1"/>
  <c r="W16" i="10"/>
  <c r="X16" i="10" s="1"/>
  <c r="Y16" i="10" s="1"/>
  <c r="Z16" i="10" s="1"/>
  <c r="AA16" i="10" s="1"/>
  <c r="R16" i="10"/>
  <c r="S16" i="10" s="1"/>
  <c r="T16" i="10" s="1"/>
  <c r="U16" i="10" s="1"/>
  <c r="V16" i="10" s="1"/>
  <c r="L16" i="10"/>
  <c r="L15" i="10"/>
  <c r="L14" i="10"/>
  <c r="L13" i="10"/>
  <c r="AB12" i="10"/>
  <c r="AC12" i="10" s="1"/>
  <c r="AD12" i="10" s="1"/>
  <c r="AE12" i="10" s="1"/>
  <c r="AF12" i="10" s="1"/>
  <c r="L12" i="10"/>
  <c r="AB11" i="10"/>
  <c r="AC11" i="10" s="1"/>
  <c r="AD11" i="10" s="1"/>
  <c r="AE11" i="10" s="1"/>
  <c r="AF11" i="10" s="1"/>
  <c r="L11" i="10"/>
  <c r="AB10" i="10"/>
  <c r="AC10" i="10" s="1"/>
  <c r="AD10" i="10" s="1"/>
  <c r="AE10" i="10" s="1"/>
  <c r="AF10" i="10" s="1"/>
  <c r="L10" i="10"/>
  <c r="AB9" i="10"/>
  <c r="AC9" i="10" s="1"/>
  <c r="AD9" i="10" s="1"/>
  <c r="AE9" i="10" s="1"/>
  <c r="AF9" i="10" s="1"/>
  <c r="L9" i="10"/>
  <c r="AB8" i="10"/>
  <c r="AC8" i="10" s="1"/>
  <c r="AD8" i="10" s="1"/>
  <c r="AE8" i="10" s="1"/>
  <c r="AF8" i="10" s="1"/>
  <c r="L8" i="10"/>
  <c r="AB7" i="10"/>
  <c r="AC7" i="10" s="1"/>
  <c r="AD7" i="10" s="1"/>
  <c r="AE7" i="10" s="1"/>
  <c r="AF7" i="10" s="1"/>
  <c r="L7" i="10"/>
  <c r="AB6" i="10"/>
  <c r="AC6" i="10" s="1"/>
  <c r="AD6" i="10" s="1"/>
  <c r="AE6" i="10" s="1"/>
  <c r="AF6" i="10" s="1"/>
  <c r="L6" i="10"/>
  <c r="AB5" i="10"/>
  <c r="AC5" i="10" s="1"/>
  <c r="AD5" i="10" s="1"/>
  <c r="AE5" i="10" s="1"/>
  <c r="AF5" i="10" s="1"/>
  <c r="L5" i="10"/>
  <c r="AB4" i="10"/>
  <c r="AC4" i="10" s="1"/>
  <c r="AD4" i="10" s="1"/>
  <c r="AE4" i="10" s="1"/>
  <c r="AF4" i="10" s="1"/>
  <c r="L4" i="10"/>
  <c r="AB3" i="10"/>
  <c r="AC3" i="10" s="1"/>
  <c r="AD3" i="10" s="1"/>
  <c r="AE3" i="10" s="1"/>
  <c r="AF3" i="10" s="1"/>
  <c r="L3" i="10"/>
  <c r="AB2" i="10"/>
  <c r="AC2" i="10" s="1"/>
  <c r="AD2" i="10" s="1"/>
  <c r="AE2" i="10" s="1"/>
  <c r="AF2" i="10" s="1"/>
  <c r="H2" i="10"/>
  <c r="M2" i="10" s="1"/>
  <c r="N2" i="10" s="1"/>
  <c r="O2" i="10" s="1"/>
  <c r="P2" i="10" s="1"/>
  <c r="Q2" i="10" s="1"/>
  <c r="J28" i="10"/>
  <c r="W28" i="10" s="1"/>
  <c r="X28" i="10" s="1"/>
  <c r="Y28" i="10" s="1"/>
  <c r="Z28" i="10" s="1"/>
  <c r="AA28" i="10" s="1"/>
  <c r="I28" i="10"/>
  <c r="R28" i="10" s="1"/>
  <c r="S28" i="10" s="1"/>
  <c r="T28" i="10" s="1"/>
  <c r="U28" i="10" s="1"/>
  <c r="V28" i="10" s="1"/>
  <c r="H28" i="10"/>
  <c r="M28" i="10" s="1"/>
  <c r="N28" i="10" s="1"/>
  <c r="O28" i="10" s="1"/>
  <c r="P28" i="10" s="1"/>
  <c r="Q28" i="10" s="1"/>
  <c r="J27" i="10"/>
  <c r="W27" i="10" s="1"/>
  <c r="X27" i="10" s="1"/>
  <c r="Y27" i="10" s="1"/>
  <c r="Z27" i="10" s="1"/>
  <c r="AA27" i="10" s="1"/>
  <c r="I27" i="10"/>
  <c r="H27" i="10"/>
  <c r="J26" i="10"/>
  <c r="I26" i="10"/>
  <c r="H26" i="10"/>
  <c r="J25" i="10"/>
  <c r="I25" i="10"/>
  <c r="H25" i="10"/>
  <c r="J24" i="10"/>
  <c r="I24" i="10"/>
  <c r="H24" i="10"/>
  <c r="J23" i="10"/>
  <c r="I23" i="10"/>
  <c r="H23" i="10"/>
  <c r="J22" i="10"/>
  <c r="I22" i="10"/>
  <c r="H22" i="10"/>
  <c r="J21" i="10"/>
  <c r="I21" i="10"/>
  <c r="H21" i="10"/>
  <c r="J20" i="10"/>
  <c r="I20" i="10"/>
  <c r="H20" i="10"/>
  <c r="J19" i="10"/>
  <c r="I19" i="10"/>
  <c r="H19" i="10"/>
  <c r="J18" i="10"/>
  <c r="I18" i="10"/>
  <c r="H18" i="10"/>
  <c r="J17" i="10"/>
  <c r="I17" i="10"/>
  <c r="H17" i="10"/>
  <c r="J16" i="10"/>
  <c r="I16" i="10"/>
  <c r="H16" i="10"/>
  <c r="M16" i="10" s="1"/>
  <c r="N16" i="10" s="1"/>
  <c r="O16" i="10" s="1"/>
  <c r="P16" i="10" s="1"/>
  <c r="Q16" i="10" s="1"/>
  <c r="J15" i="10"/>
  <c r="W15" i="10" s="1"/>
  <c r="X15" i="10" s="1"/>
  <c r="Y15" i="10" s="1"/>
  <c r="Z15" i="10" s="1"/>
  <c r="AA15" i="10" s="1"/>
  <c r="I15" i="10"/>
  <c r="R15" i="10" s="1"/>
  <c r="S15" i="10" s="1"/>
  <c r="T15" i="10" s="1"/>
  <c r="U15" i="10" s="1"/>
  <c r="V15" i="10" s="1"/>
  <c r="H15" i="10"/>
  <c r="M15" i="10" s="1"/>
  <c r="N15" i="10" s="1"/>
  <c r="O15" i="10" s="1"/>
  <c r="P15" i="10" s="1"/>
  <c r="Q15" i="10" s="1"/>
  <c r="J14" i="10"/>
  <c r="W14" i="10" s="1"/>
  <c r="X14" i="10" s="1"/>
  <c r="Y14" i="10" s="1"/>
  <c r="Z14" i="10" s="1"/>
  <c r="AA14" i="10" s="1"/>
  <c r="I14" i="10"/>
  <c r="R14" i="10" s="1"/>
  <c r="S14" i="10" s="1"/>
  <c r="T14" i="10" s="1"/>
  <c r="U14" i="10" s="1"/>
  <c r="V14" i="10" s="1"/>
  <c r="H14" i="10"/>
  <c r="M14" i="10" s="1"/>
  <c r="N14" i="10" s="1"/>
  <c r="O14" i="10" s="1"/>
  <c r="P14" i="10" s="1"/>
  <c r="Q14" i="10" s="1"/>
  <c r="J13" i="10"/>
  <c r="W13" i="10" s="1"/>
  <c r="X13" i="10" s="1"/>
  <c r="Y13" i="10" s="1"/>
  <c r="Z13" i="10" s="1"/>
  <c r="AA13" i="10" s="1"/>
  <c r="I13" i="10"/>
  <c r="R13" i="10" s="1"/>
  <c r="S13" i="10" s="1"/>
  <c r="T13" i="10" s="1"/>
  <c r="U13" i="10" s="1"/>
  <c r="V13" i="10" s="1"/>
  <c r="H13" i="10"/>
  <c r="M13" i="10" s="1"/>
  <c r="N13" i="10" s="1"/>
  <c r="O13" i="10" s="1"/>
  <c r="P13" i="10" s="1"/>
  <c r="Q13" i="10" s="1"/>
  <c r="J12" i="10"/>
  <c r="W12" i="10" s="1"/>
  <c r="X12" i="10" s="1"/>
  <c r="Y12" i="10" s="1"/>
  <c r="Z12" i="10" s="1"/>
  <c r="AA12" i="10" s="1"/>
  <c r="I12" i="10"/>
  <c r="R12" i="10" s="1"/>
  <c r="S12" i="10" s="1"/>
  <c r="T12" i="10" s="1"/>
  <c r="U12" i="10" s="1"/>
  <c r="V12" i="10" s="1"/>
  <c r="H12" i="10"/>
  <c r="M12" i="10" s="1"/>
  <c r="N12" i="10" s="1"/>
  <c r="O12" i="10" s="1"/>
  <c r="P12" i="10" s="1"/>
  <c r="Q12" i="10" s="1"/>
  <c r="J11" i="10"/>
  <c r="W11" i="10" s="1"/>
  <c r="X11" i="10" s="1"/>
  <c r="Y11" i="10" s="1"/>
  <c r="Z11" i="10" s="1"/>
  <c r="AA11" i="10" s="1"/>
  <c r="I11" i="10"/>
  <c r="R11" i="10" s="1"/>
  <c r="S11" i="10" s="1"/>
  <c r="T11" i="10" s="1"/>
  <c r="U11" i="10" s="1"/>
  <c r="V11" i="10" s="1"/>
  <c r="H11" i="10"/>
  <c r="M11" i="10" s="1"/>
  <c r="N11" i="10" s="1"/>
  <c r="O11" i="10" s="1"/>
  <c r="P11" i="10" s="1"/>
  <c r="Q11" i="10" s="1"/>
  <c r="J10" i="10"/>
  <c r="W10" i="10" s="1"/>
  <c r="X10" i="10" s="1"/>
  <c r="Y10" i="10" s="1"/>
  <c r="Z10" i="10" s="1"/>
  <c r="AA10" i="10" s="1"/>
  <c r="I10" i="10"/>
  <c r="R10" i="10" s="1"/>
  <c r="S10" i="10" s="1"/>
  <c r="T10" i="10" s="1"/>
  <c r="U10" i="10" s="1"/>
  <c r="V10" i="10" s="1"/>
  <c r="H10" i="10"/>
  <c r="M10" i="10" s="1"/>
  <c r="N10" i="10" s="1"/>
  <c r="O10" i="10" s="1"/>
  <c r="P10" i="10" s="1"/>
  <c r="Q10" i="10" s="1"/>
  <c r="J9" i="10"/>
  <c r="W9" i="10" s="1"/>
  <c r="X9" i="10" s="1"/>
  <c r="Y9" i="10" s="1"/>
  <c r="Z9" i="10" s="1"/>
  <c r="AA9" i="10" s="1"/>
  <c r="I9" i="10"/>
  <c r="R9" i="10" s="1"/>
  <c r="S9" i="10" s="1"/>
  <c r="T9" i="10" s="1"/>
  <c r="U9" i="10" s="1"/>
  <c r="V9" i="10" s="1"/>
  <c r="H9" i="10"/>
  <c r="M9" i="10" s="1"/>
  <c r="N9" i="10" s="1"/>
  <c r="O9" i="10" s="1"/>
  <c r="P9" i="10" s="1"/>
  <c r="Q9" i="10" s="1"/>
  <c r="J8" i="10"/>
  <c r="W8" i="10" s="1"/>
  <c r="X8" i="10" s="1"/>
  <c r="Y8" i="10" s="1"/>
  <c r="Z8" i="10" s="1"/>
  <c r="AA8" i="10" s="1"/>
  <c r="I8" i="10"/>
  <c r="R8" i="10" s="1"/>
  <c r="S8" i="10" s="1"/>
  <c r="T8" i="10" s="1"/>
  <c r="U8" i="10" s="1"/>
  <c r="V8" i="10" s="1"/>
  <c r="H8" i="10"/>
  <c r="M8" i="10" s="1"/>
  <c r="N8" i="10" s="1"/>
  <c r="O8" i="10" s="1"/>
  <c r="P8" i="10" s="1"/>
  <c r="Q8" i="10" s="1"/>
  <c r="J7" i="10"/>
  <c r="W7" i="10" s="1"/>
  <c r="X7" i="10" s="1"/>
  <c r="Y7" i="10" s="1"/>
  <c r="Z7" i="10" s="1"/>
  <c r="AA7" i="10" s="1"/>
  <c r="I7" i="10"/>
  <c r="R7" i="10" s="1"/>
  <c r="S7" i="10" s="1"/>
  <c r="T7" i="10" s="1"/>
  <c r="U7" i="10" s="1"/>
  <c r="V7" i="10" s="1"/>
  <c r="H7" i="10"/>
  <c r="M7" i="10" s="1"/>
  <c r="N7" i="10" s="1"/>
  <c r="O7" i="10" s="1"/>
  <c r="P7" i="10" s="1"/>
  <c r="Q7" i="10" s="1"/>
  <c r="J6" i="10"/>
  <c r="W6" i="10" s="1"/>
  <c r="X6" i="10" s="1"/>
  <c r="Y6" i="10" s="1"/>
  <c r="Z6" i="10" s="1"/>
  <c r="AA6" i="10" s="1"/>
  <c r="I6" i="10"/>
  <c r="R6" i="10" s="1"/>
  <c r="S6" i="10" s="1"/>
  <c r="T6" i="10" s="1"/>
  <c r="U6" i="10" s="1"/>
  <c r="V6" i="10" s="1"/>
  <c r="H6" i="10"/>
  <c r="M6" i="10" s="1"/>
  <c r="N6" i="10" s="1"/>
  <c r="O6" i="10" s="1"/>
  <c r="P6" i="10" s="1"/>
  <c r="Q6" i="10" s="1"/>
  <c r="J5" i="10"/>
  <c r="W5" i="10" s="1"/>
  <c r="X5" i="10" s="1"/>
  <c r="Y5" i="10" s="1"/>
  <c r="Z5" i="10" s="1"/>
  <c r="AA5" i="10" s="1"/>
  <c r="I5" i="10"/>
  <c r="R5" i="10" s="1"/>
  <c r="S5" i="10" s="1"/>
  <c r="T5" i="10" s="1"/>
  <c r="U5" i="10" s="1"/>
  <c r="V5" i="10" s="1"/>
  <c r="H5" i="10"/>
  <c r="M5" i="10" s="1"/>
  <c r="N5" i="10" s="1"/>
  <c r="O5" i="10" s="1"/>
  <c r="P5" i="10" s="1"/>
  <c r="Q5" i="10" s="1"/>
  <c r="J4" i="10"/>
  <c r="W4" i="10" s="1"/>
  <c r="X4" i="10" s="1"/>
  <c r="Y4" i="10" s="1"/>
  <c r="Z4" i="10" s="1"/>
  <c r="AA4" i="10" s="1"/>
  <c r="I4" i="10"/>
  <c r="R4" i="10" s="1"/>
  <c r="S4" i="10" s="1"/>
  <c r="T4" i="10" s="1"/>
  <c r="U4" i="10" s="1"/>
  <c r="V4" i="10" s="1"/>
  <c r="H4" i="10"/>
  <c r="M4" i="10" s="1"/>
  <c r="N4" i="10" s="1"/>
  <c r="O4" i="10" s="1"/>
  <c r="P4" i="10" s="1"/>
  <c r="Q4" i="10" s="1"/>
  <c r="J3" i="10"/>
  <c r="W3" i="10" s="1"/>
  <c r="X3" i="10" s="1"/>
  <c r="Y3" i="10" s="1"/>
  <c r="Z3" i="10" s="1"/>
  <c r="AA3" i="10" s="1"/>
  <c r="I3" i="10"/>
  <c r="R3" i="10" s="1"/>
  <c r="S3" i="10" s="1"/>
  <c r="T3" i="10" s="1"/>
  <c r="U3" i="10" s="1"/>
  <c r="V3" i="10" s="1"/>
  <c r="H3" i="10"/>
  <c r="M3" i="10" s="1"/>
  <c r="N3" i="10" s="1"/>
  <c r="O3" i="10" s="1"/>
  <c r="P3" i="10" s="1"/>
  <c r="Q3" i="10" s="1"/>
  <c r="J2" i="10"/>
  <c r="W2" i="10" s="1"/>
  <c r="X2" i="10" s="1"/>
  <c r="Y2" i="10" s="1"/>
  <c r="Z2" i="10" s="1"/>
  <c r="AA2" i="10" s="1"/>
  <c r="I2" i="10"/>
  <c r="R2" i="10" s="1"/>
  <c r="S2" i="10" s="1"/>
  <c r="T2" i="10" s="1"/>
  <c r="U2" i="10" s="1"/>
  <c r="V2" i="10" s="1"/>
  <c r="N2" i="9"/>
  <c r="H3" i="9"/>
  <c r="H2" i="9"/>
  <c r="N62" i="9"/>
  <c r="L62" i="9"/>
  <c r="K62" i="9"/>
  <c r="J62" i="9"/>
  <c r="I62" i="9"/>
  <c r="H62" i="9"/>
  <c r="M62" i="9" s="1"/>
  <c r="N61" i="9"/>
  <c r="L61" i="9"/>
  <c r="K61" i="9"/>
  <c r="J61" i="9"/>
  <c r="I61" i="9"/>
  <c r="H61" i="9"/>
  <c r="M61" i="9" s="1"/>
  <c r="N60" i="9"/>
  <c r="L60" i="9"/>
  <c r="K60" i="9"/>
  <c r="J60" i="9"/>
  <c r="I60" i="9"/>
  <c r="H60" i="9"/>
  <c r="M60" i="9" s="1"/>
  <c r="N59" i="9"/>
  <c r="L59" i="9"/>
  <c r="K59" i="9"/>
  <c r="J59" i="9"/>
  <c r="I59" i="9"/>
  <c r="H59" i="9"/>
  <c r="N58" i="9"/>
  <c r="L58" i="9"/>
  <c r="K58" i="9"/>
  <c r="J58" i="9"/>
  <c r="I58" i="9"/>
  <c r="H58" i="9"/>
  <c r="N57" i="9"/>
  <c r="L57" i="9"/>
  <c r="K57" i="9"/>
  <c r="J57" i="9"/>
  <c r="I57" i="9"/>
  <c r="H57" i="9"/>
  <c r="M57" i="9" s="1"/>
  <c r="N56" i="9"/>
  <c r="L56" i="9"/>
  <c r="K56" i="9"/>
  <c r="J56" i="9"/>
  <c r="I56" i="9"/>
  <c r="H56" i="9"/>
  <c r="M56" i="9" s="1"/>
  <c r="N55" i="9"/>
  <c r="L55" i="9"/>
  <c r="K55" i="9"/>
  <c r="J55" i="9"/>
  <c r="I55" i="9"/>
  <c r="H55" i="9"/>
  <c r="M55" i="9" s="1"/>
  <c r="N54" i="9"/>
  <c r="L54" i="9"/>
  <c r="K54" i="9"/>
  <c r="J54" i="9"/>
  <c r="I54" i="9"/>
  <c r="H54" i="9"/>
  <c r="M54" i="9" s="1"/>
  <c r="N53" i="9"/>
  <c r="L53" i="9"/>
  <c r="K53" i="9"/>
  <c r="J53" i="9"/>
  <c r="I53" i="9"/>
  <c r="H53" i="9"/>
  <c r="M53" i="9" s="1"/>
  <c r="N52" i="9"/>
  <c r="L52" i="9"/>
  <c r="K52" i="9"/>
  <c r="J52" i="9"/>
  <c r="I52" i="9"/>
  <c r="H52" i="9"/>
  <c r="M52" i="9" s="1"/>
  <c r="N51" i="9"/>
  <c r="L51" i="9"/>
  <c r="K51" i="9"/>
  <c r="J51" i="9"/>
  <c r="I51" i="9"/>
  <c r="H51" i="9"/>
  <c r="M51" i="9" s="1"/>
  <c r="N50" i="9"/>
  <c r="L50" i="9"/>
  <c r="K50" i="9"/>
  <c r="J50" i="9"/>
  <c r="I50" i="9"/>
  <c r="H50" i="9"/>
  <c r="M50" i="9" s="1"/>
  <c r="N49" i="9"/>
  <c r="L49" i="9"/>
  <c r="K49" i="9"/>
  <c r="J49" i="9"/>
  <c r="I49" i="9"/>
  <c r="H49" i="9"/>
  <c r="M49" i="9" s="1"/>
  <c r="N48" i="9"/>
  <c r="L48" i="9"/>
  <c r="K48" i="9"/>
  <c r="J48" i="9"/>
  <c r="I48" i="9"/>
  <c r="H48" i="9"/>
  <c r="M48" i="9" s="1"/>
  <c r="N47" i="9"/>
  <c r="L47" i="9"/>
  <c r="K47" i="9"/>
  <c r="J47" i="9"/>
  <c r="I47" i="9"/>
  <c r="H47" i="9"/>
  <c r="N46" i="9"/>
  <c r="L46" i="9"/>
  <c r="K46" i="9"/>
  <c r="J46" i="9"/>
  <c r="I46" i="9"/>
  <c r="H46" i="9"/>
  <c r="M46" i="9" s="1"/>
  <c r="N45" i="9"/>
  <c r="L45" i="9"/>
  <c r="K45" i="9"/>
  <c r="J45" i="9"/>
  <c r="I45" i="9"/>
  <c r="H45" i="9"/>
  <c r="M45" i="9" s="1"/>
  <c r="N44" i="9"/>
  <c r="L44" i="9"/>
  <c r="K44" i="9"/>
  <c r="J44" i="9"/>
  <c r="I44" i="9"/>
  <c r="H44" i="9"/>
  <c r="M44" i="9" s="1"/>
  <c r="N43" i="9"/>
  <c r="L43" i="9"/>
  <c r="K43" i="9"/>
  <c r="J43" i="9"/>
  <c r="I43" i="9"/>
  <c r="H43" i="9"/>
  <c r="M43" i="9" s="1"/>
  <c r="N42" i="9"/>
  <c r="L42" i="9"/>
  <c r="K42" i="9"/>
  <c r="J42" i="9"/>
  <c r="I42" i="9"/>
  <c r="H42" i="9"/>
  <c r="M42" i="9" s="1"/>
  <c r="N41" i="9"/>
  <c r="L41" i="9"/>
  <c r="K41" i="9"/>
  <c r="J41" i="9"/>
  <c r="I41" i="9"/>
  <c r="H41" i="9"/>
  <c r="M41" i="9" s="1"/>
  <c r="N40" i="9"/>
  <c r="L40" i="9"/>
  <c r="K40" i="9"/>
  <c r="J40" i="9"/>
  <c r="I40" i="9"/>
  <c r="H40" i="9"/>
  <c r="N39" i="9"/>
  <c r="L39" i="9"/>
  <c r="K39" i="9"/>
  <c r="J39" i="9"/>
  <c r="I39" i="9"/>
  <c r="H39" i="9"/>
  <c r="M39" i="9" s="1"/>
  <c r="N38" i="9"/>
  <c r="L38" i="9"/>
  <c r="K38" i="9"/>
  <c r="J38" i="9"/>
  <c r="I38" i="9"/>
  <c r="H38" i="9"/>
  <c r="N37" i="9"/>
  <c r="L37" i="9"/>
  <c r="K37" i="9"/>
  <c r="J37" i="9"/>
  <c r="I37" i="9"/>
  <c r="H37" i="9"/>
  <c r="M37" i="9" s="1"/>
  <c r="N36" i="9"/>
  <c r="L36" i="9"/>
  <c r="K36" i="9"/>
  <c r="J36" i="9"/>
  <c r="I36" i="9"/>
  <c r="H36" i="9"/>
  <c r="M36" i="9" s="1"/>
  <c r="N35" i="9"/>
  <c r="L35" i="9"/>
  <c r="K35" i="9"/>
  <c r="J35" i="9"/>
  <c r="I35" i="9"/>
  <c r="H35" i="9"/>
  <c r="M35" i="9" s="1"/>
  <c r="N34" i="9"/>
  <c r="L34" i="9"/>
  <c r="K34" i="9"/>
  <c r="J34" i="9"/>
  <c r="I34" i="9"/>
  <c r="H34" i="9"/>
  <c r="M34" i="9" s="1"/>
  <c r="N33" i="9"/>
  <c r="L33" i="9"/>
  <c r="K33" i="9"/>
  <c r="J33" i="9"/>
  <c r="I33" i="9"/>
  <c r="H33" i="9"/>
  <c r="M33" i="9" s="1"/>
  <c r="N32" i="9"/>
  <c r="L32" i="9"/>
  <c r="K32" i="9"/>
  <c r="J32" i="9"/>
  <c r="I32" i="9"/>
  <c r="H32" i="9"/>
  <c r="M32" i="9" s="1"/>
  <c r="N31" i="9"/>
  <c r="L31" i="9"/>
  <c r="K31" i="9"/>
  <c r="J31" i="9"/>
  <c r="I31" i="9"/>
  <c r="H31" i="9"/>
  <c r="M31" i="9" s="1"/>
  <c r="N30" i="9"/>
  <c r="L30" i="9"/>
  <c r="K30" i="9"/>
  <c r="J30" i="9"/>
  <c r="I30" i="9"/>
  <c r="H30" i="9"/>
  <c r="M30" i="9" s="1"/>
  <c r="N29" i="9"/>
  <c r="L29" i="9"/>
  <c r="K29" i="9"/>
  <c r="J29" i="9"/>
  <c r="I29" i="9"/>
  <c r="H29" i="9"/>
  <c r="M29" i="9" s="1"/>
  <c r="N28" i="9"/>
  <c r="L28" i="9"/>
  <c r="K28" i="9"/>
  <c r="J28" i="9"/>
  <c r="I28" i="9"/>
  <c r="H28" i="9"/>
  <c r="M28" i="9" s="1"/>
  <c r="N27" i="9"/>
  <c r="L27" i="9"/>
  <c r="K27" i="9"/>
  <c r="J27" i="9"/>
  <c r="I27" i="9"/>
  <c r="H27" i="9"/>
  <c r="M27" i="9" s="1"/>
  <c r="N26" i="9"/>
  <c r="L26" i="9"/>
  <c r="K26" i="9"/>
  <c r="J26" i="9"/>
  <c r="I26" i="9"/>
  <c r="H26" i="9"/>
  <c r="M26" i="9" s="1"/>
  <c r="N25" i="9"/>
  <c r="L25" i="9"/>
  <c r="K25" i="9"/>
  <c r="J25" i="9"/>
  <c r="I25" i="9"/>
  <c r="H25" i="9"/>
  <c r="M25" i="9" s="1"/>
  <c r="N24" i="9"/>
  <c r="L24" i="9"/>
  <c r="K24" i="9"/>
  <c r="J24" i="9"/>
  <c r="I24" i="9"/>
  <c r="H24" i="9"/>
  <c r="M24" i="9" s="1"/>
  <c r="N23" i="9"/>
  <c r="L23" i="9"/>
  <c r="K23" i="9"/>
  <c r="J23" i="9"/>
  <c r="I23" i="9"/>
  <c r="H23" i="9"/>
  <c r="M23" i="9" s="1"/>
  <c r="N22" i="9"/>
  <c r="L22" i="9"/>
  <c r="K22" i="9"/>
  <c r="J22" i="9"/>
  <c r="I22" i="9"/>
  <c r="H22" i="9"/>
  <c r="N21" i="9"/>
  <c r="L21" i="9"/>
  <c r="K21" i="9"/>
  <c r="J21" i="9"/>
  <c r="I21" i="9"/>
  <c r="H21" i="9"/>
  <c r="M21" i="9" s="1"/>
  <c r="N20" i="9"/>
  <c r="L20" i="9"/>
  <c r="K20" i="9"/>
  <c r="J20" i="9"/>
  <c r="I20" i="9"/>
  <c r="H20" i="9"/>
  <c r="N19" i="9"/>
  <c r="L19" i="9"/>
  <c r="K19" i="9"/>
  <c r="J19" i="9"/>
  <c r="I19" i="9"/>
  <c r="H19" i="9"/>
  <c r="M19" i="9" s="1"/>
  <c r="N18" i="9"/>
  <c r="L18" i="9"/>
  <c r="K18" i="9"/>
  <c r="J18" i="9"/>
  <c r="I18" i="9"/>
  <c r="H18" i="9"/>
  <c r="M18" i="9" s="1"/>
  <c r="N17" i="9"/>
  <c r="L17" i="9"/>
  <c r="K17" i="9"/>
  <c r="J17" i="9"/>
  <c r="I17" i="9"/>
  <c r="H17" i="9"/>
  <c r="M17" i="9" s="1"/>
  <c r="N16" i="9"/>
  <c r="L16" i="9"/>
  <c r="K16" i="9"/>
  <c r="J16" i="9"/>
  <c r="I16" i="9"/>
  <c r="H16" i="9"/>
  <c r="M16" i="9" s="1"/>
  <c r="N15" i="9"/>
  <c r="L15" i="9"/>
  <c r="K15" i="9"/>
  <c r="J15" i="9"/>
  <c r="I15" i="9"/>
  <c r="H15" i="9"/>
  <c r="M15" i="9" s="1"/>
  <c r="N14" i="9"/>
  <c r="L14" i="9"/>
  <c r="K14" i="9"/>
  <c r="J14" i="9"/>
  <c r="I14" i="9"/>
  <c r="H14" i="9"/>
  <c r="M14" i="9" s="1"/>
  <c r="N13" i="9"/>
  <c r="L13" i="9"/>
  <c r="K13" i="9"/>
  <c r="J13" i="9"/>
  <c r="I13" i="9"/>
  <c r="H13" i="9"/>
  <c r="N12" i="9"/>
  <c r="L12" i="9"/>
  <c r="K12" i="9"/>
  <c r="J12" i="9"/>
  <c r="I12" i="9"/>
  <c r="H12" i="9"/>
  <c r="M12" i="9" s="1"/>
  <c r="N11" i="9"/>
  <c r="L11" i="9"/>
  <c r="K11" i="9"/>
  <c r="J11" i="9"/>
  <c r="I11" i="9"/>
  <c r="H11" i="9"/>
  <c r="M11" i="9" s="1"/>
  <c r="N10" i="9"/>
  <c r="L10" i="9"/>
  <c r="K10" i="9"/>
  <c r="J10" i="9"/>
  <c r="I10" i="9"/>
  <c r="H10" i="9"/>
  <c r="M10" i="9" s="1"/>
  <c r="N9" i="9"/>
  <c r="L9" i="9"/>
  <c r="K9" i="9"/>
  <c r="J9" i="9"/>
  <c r="I9" i="9"/>
  <c r="H9" i="9"/>
  <c r="M9" i="9" s="1"/>
  <c r="N8" i="9"/>
  <c r="L8" i="9"/>
  <c r="K8" i="9"/>
  <c r="J8" i="9"/>
  <c r="I8" i="9"/>
  <c r="H8" i="9"/>
  <c r="M8" i="9" s="1"/>
  <c r="N7" i="9"/>
  <c r="L7" i="9"/>
  <c r="K7" i="9"/>
  <c r="J7" i="9"/>
  <c r="I7" i="9"/>
  <c r="H7" i="9"/>
  <c r="M7" i="9" s="1"/>
  <c r="N6" i="9"/>
  <c r="L6" i="9"/>
  <c r="K6" i="9"/>
  <c r="J6" i="9"/>
  <c r="I6" i="9"/>
  <c r="H6" i="9"/>
  <c r="M6" i="9" s="1"/>
  <c r="N5" i="9"/>
  <c r="L5" i="9"/>
  <c r="K5" i="9"/>
  <c r="J5" i="9"/>
  <c r="I5" i="9"/>
  <c r="H5" i="9"/>
  <c r="M5" i="9" s="1"/>
  <c r="N4" i="9"/>
  <c r="L4" i="9"/>
  <c r="K4" i="9"/>
  <c r="J4" i="9"/>
  <c r="I4" i="9"/>
  <c r="H4" i="9"/>
  <c r="M4" i="9" s="1"/>
  <c r="N3" i="9"/>
  <c r="L3" i="9"/>
  <c r="K3" i="9"/>
  <c r="J3" i="9"/>
  <c r="I3" i="9"/>
  <c r="M3" i="9"/>
  <c r="L2" i="9"/>
  <c r="K2" i="9"/>
  <c r="J2" i="9"/>
  <c r="I2" i="9"/>
  <c r="M2" i="9" s="1"/>
  <c r="BV3" i="13" l="1"/>
  <c r="BV9" i="13"/>
  <c r="BV8" i="13"/>
  <c r="BV11" i="13"/>
  <c r="BV12" i="13"/>
  <c r="BV13" i="13"/>
  <c r="BV14" i="13"/>
  <c r="BV15" i="13"/>
  <c r="BV16" i="13"/>
  <c r="BV17" i="13"/>
  <c r="BV18" i="13"/>
  <c r="BV19" i="13"/>
  <c r="BV20" i="13"/>
  <c r="BV21" i="13"/>
  <c r="BV22" i="13"/>
  <c r="BV23" i="13"/>
  <c r="BV24" i="13"/>
  <c r="BV25" i="13"/>
  <c r="BV26" i="13"/>
  <c r="BV27" i="13"/>
  <c r="BV28" i="13"/>
  <c r="BV29" i="13"/>
  <c r="BV30" i="13"/>
  <c r="BV31" i="13"/>
  <c r="BV32" i="13"/>
  <c r="BV33" i="13"/>
  <c r="BV34" i="13"/>
  <c r="BV35" i="13"/>
  <c r="BV36" i="13"/>
  <c r="BV37" i="13"/>
  <c r="BV38" i="13"/>
  <c r="BV39" i="13"/>
  <c r="BV40" i="13"/>
  <c r="BV41" i="13"/>
  <c r="BV42" i="13"/>
  <c r="BV43" i="13"/>
  <c r="BV44" i="13"/>
  <c r="BV45" i="13"/>
  <c r="BV46" i="13"/>
  <c r="BV47" i="13"/>
  <c r="BV48" i="13"/>
  <c r="BV49" i="13"/>
  <c r="BV50" i="13"/>
  <c r="BV51" i="13"/>
  <c r="BV52" i="13"/>
  <c r="BV53" i="13"/>
  <c r="BV54" i="13"/>
  <c r="BV55" i="13"/>
  <c r="BV56" i="13"/>
  <c r="BV2" i="13"/>
  <c r="BV4" i="13"/>
  <c r="BV5" i="13"/>
  <c r="BV7" i="13"/>
  <c r="BV6" i="13"/>
  <c r="BV10" i="13"/>
  <c r="M59" i="9"/>
  <c r="M47" i="9"/>
  <c r="M58" i="9"/>
  <c r="M38" i="9"/>
  <c r="M13" i="9"/>
  <c r="M22" i="9"/>
  <c r="M20" i="9"/>
  <c r="M40" i="9"/>
  <c r="BV60" i="13" l="1"/>
  <c r="BV59" i="13"/>
  <c r="BV62" i="13"/>
  <c r="BW2" i="13" s="1" a="1"/>
  <c r="BV58" i="13"/>
  <c r="BV63" i="13"/>
  <c r="BV61" i="13"/>
  <c r="BW48" i="13" l="1" a="1"/>
  <c r="BW46" i="13" a="1"/>
  <c r="BW43" i="13" a="1"/>
  <c r="BW38" i="13" a="1"/>
  <c r="BW20" i="13" a="1"/>
  <c r="BW19" i="13" a="1"/>
  <c r="BW18" i="13" a="1"/>
  <c r="BW17" i="13" a="1"/>
  <c r="BW15" i="13" a="1"/>
  <c r="BW14" i="13" a="1"/>
  <c r="BW13" i="13" a="1"/>
  <c r="BW12" i="13" a="1"/>
  <c r="BW11" i="13" a="1"/>
  <c r="BW8" i="13" a="1"/>
  <c r="BW9" i="13" a="1"/>
  <c r="BW3" i="13" a="1"/>
  <c r="BW10" i="13" a="1"/>
  <c r="BW6" i="13" a="1"/>
  <c r="BW7" i="13" a="1"/>
  <c r="BW5" i="13" a="1"/>
  <c r="BW4" i="13" a="1"/>
  <c r="BW56" i="13" a="1"/>
  <c r="BW55" i="13" a="1"/>
  <c r="BW54" i="13" a="1"/>
  <c r="BW53" i="13" a="1"/>
  <c r="BW52" i="13" a="1"/>
  <c r="BW51" i="13" a="1"/>
  <c r="BW50" i="13" a="1"/>
  <c r="BW49" i="13" a="1"/>
  <c r="BW24" i="13" a="1"/>
  <c r="BW47" i="13" a="1"/>
  <c r="BW45" i="13" a="1"/>
  <c r="BW44" i="13" a="1"/>
  <c r="BW42" i="13" a="1"/>
  <c r="BW41" i="13" a="1"/>
  <c r="BW40" i="13" a="1"/>
  <c r="BW39" i="13" a="1"/>
  <c r="BW37" i="13" a="1"/>
  <c r="BW36" i="13" a="1"/>
  <c r="BW35" i="13" a="1"/>
  <c r="BW34" i="13" a="1"/>
  <c r="BW32" i="13" a="1"/>
  <c r="BW31" i="13" a="1"/>
  <c r="BW30" i="13" a="1"/>
  <c r="BW29" i="13" a="1"/>
  <c r="BW28" i="13" a="1"/>
  <c r="BW27" i="13" a="1"/>
  <c r="BW26" i="13" a="1"/>
  <c r="BW25" i="13" a="1"/>
  <c r="BW23" i="13" a="1"/>
  <c r="BW22" i="13" a="1"/>
  <c r="BW21" i="13" a="1"/>
  <c r="BW16" i="13" a="1"/>
  <c r="BW33" i="13"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<sst xmlns="http://schemas.openxmlformats.org/spreadsheetml/2006/main" count="2257" uniqueCount="492">
  <si>
    <t>Kode</t>
  </si>
  <si>
    <t>Deskripsi</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</si>
  <si>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</si>
  <si>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</si>
  <si>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</si>
  <si>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</si>
  <si>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</si>
  <si>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</si>
  <si>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</si>
  <si>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</si>
  <si>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</si>
  <si>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</si>
  <si>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</si>
  <si>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</si>
  <si>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</si>
  <si>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</si>
  <si>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</si>
  <si>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</si>
  <si>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</si>
  <si>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</si>
  <si>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</si>
  <si>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</si>
  <si>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</si>
  <si>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</si>
  <si>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</si>
  <si>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</si>
  <si>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</si>
  <si>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</si>
  <si>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</si>
  <si>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</si>
  <si>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</si>
  <si>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</si>
  <si>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</si>
  <si>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</si>
  <si>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</si>
  <si>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</si>
  <si>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</si>
  <si>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</si>
  <si>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</si>
  <si>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</si>
  <si>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</si>
  <si>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</si>
  <si>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</si>
  <si>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</si>
  <si>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</si>
  <si>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</si>
  <si>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</si>
  <si>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</si>
  <si>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</si>
  <si>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</si>
  <si>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</si>
  <si>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</si>
  <si>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</si>
  <si>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</si>
  <si>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</si>
  <si>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</si>
  <si>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</si>
  <si>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180</t>
  </si>
  <si>
    <t>301</t>
  </si>
  <si>
    <t>302</t>
  </si>
  <si>
    <t>303</t>
  </si>
  <si>
    <t>304</t>
  </si>
  <si>
    <t>305</t>
  </si>
  <si>
    <t>309</t>
  </si>
  <si>
    <t>310</t>
  </si>
  <si>
    <t>409</t>
  </si>
  <si>
    <t>509</t>
  </si>
  <si>
    <t>600</t>
  </si>
  <si>
    <t>700</t>
  </si>
  <si>
    <t>Pertanian Tanaman Pangan</t>
  </si>
  <si>
    <t>Pertanian Tanaman Hortikultura Semusim, Hortikultura Tahunan, dan Lainnya</t>
  </si>
  <si>
    <t>Karet</t>
  </si>
  <si>
    <t>Kelapa Sawit</t>
  </si>
  <si>
    <t>Tanaman Perkebunan lainnya</t>
  </si>
  <si>
    <t>Peternakan</t>
  </si>
  <si>
    <t>Jasa Pertanian dan Perburuan</t>
  </si>
  <si>
    <t>Kehutanan dan Penebangan Kayu</t>
  </si>
  <si>
    <t>Perikanan</t>
  </si>
  <si>
    <t>Pertambangan Minyak, Gas dan Panas Bumi</t>
  </si>
  <si>
    <t>Pertambangan Batubara dan Lignit</t>
  </si>
  <si>
    <t>Pertambangan Bijih Logam</t>
  </si>
  <si>
    <t>Pertambangan dan Penggalian Lainnya</t>
  </si>
  <si>
    <t>Industri Batubara dan Pengilangan Migas</t>
  </si>
  <si>
    <t>Industri Makanan dan Minuman</t>
  </si>
  <si>
    <t>Industri Pengolahan Tembakau</t>
  </si>
  <si>
    <t>Industri Tekstil dan Pakaian Jadi</t>
  </si>
  <si>
    <t>Industri Kulit, Barang dari Kulit dan Alas Kaki</t>
  </si>
  <si>
    <t>Industri Kayu, Barang dari Kayu dan Gabus dan Barang Anyaman dari Bambu, Rotan dan Sejenisnya</t>
  </si>
  <si>
    <t>Industri Kertas dan Barang dari Kertas, Percetakan dan Reproduksi Media Rekaman</t>
  </si>
  <si>
    <t>Industri Kimia, Farmasi dan Obat Tradisional</t>
  </si>
  <si>
    <t>Industri Karet, Barang dari Karet dan Plastik</t>
  </si>
  <si>
    <t>Industri Barang Galian bukan Logam</t>
  </si>
  <si>
    <t>Industri Logam Dasar</t>
  </si>
  <si>
    <t>Industri Barang dari Logam, Komputer, Barang Elektronik, Optik dan Peralatan Listrik</t>
  </si>
  <si>
    <t>Industri Mesin dan Perlengkapan YTDL</t>
  </si>
  <si>
    <t>Industri Alat Angkutan</t>
  </si>
  <si>
    <t>Industri Furnitur</t>
  </si>
  <si>
    <t>Industri Pengolahan Lainnya, Jasa Reparasi dan Pemasangan Mesin dan Peralatan</t>
  </si>
  <si>
    <t>Ketenagalistrikan</t>
  </si>
  <si>
    <t>Pengadaan Gas dan Produksi Es</t>
  </si>
  <si>
    <t>Pengadaan Air, Pengelolaan Sampah, Limbah, dan Daur Ulang</t>
  </si>
  <si>
    <t>Konstruksi</t>
  </si>
  <si>
    <t>Perdagangan Mobil, Sepeda Motor dan Reparasinya</t>
  </si>
  <si>
    <t>Perdagangan Besar dan Eceran, Bukan Mobil dan Sepeda Motor</t>
  </si>
  <si>
    <t>Angkutan Rel</t>
  </si>
  <si>
    <t>Angkutan Darat</t>
  </si>
  <si>
    <t>Angkutan Laut</t>
  </si>
  <si>
    <t>Angkutan Sungai Danau dan Penyeberangan</t>
  </si>
  <si>
    <t>Angkutan Udara</t>
  </si>
  <si>
    <t>Pergudangan dan Jasa Penunjang Angkutan, Pos dan Kurir</t>
  </si>
  <si>
    <t>Penyediaan Akomodasi</t>
  </si>
  <si>
    <t>Penyediaan Makan Minum</t>
  </si>
  <si>
    <t>Jasa Informasi dan Komunikasi</t>
  </si>
  <si>
    <t>Jasa Perantara Keuangan Selain Bank Sentral</t>
  </si>
  <si>
    <t>Asuransi dan Dana Pensiun</t>
  </si>
  <si>
    <t>Jasa Keuangan Lainnya</t>
  </si>
  <si>
    <t>Jasa Penunjang Keuangan</t>
  </si>
  <si>
    <t>Real Estate</t>
  </si>
  <si>
    <t>Jasa Perusahaan</t>
  </si>
  <si>
    <t>Administrasi Pemerintahan, Pertahanan dan Jaminan Sosial Wajib</t>
  </si>
  <si>
    <t>Jasa Pendidikan</t>
  </si>
  <si>
    <t>Jasa Kesehatan dan Kegiatan Sosial</t>
  </si>
  <si>
    <t>Jasa  Lainnya</t>
  </si>
  <si>
    <t>Sektor lain yang tidak jelas batasannya</t>
  </si>
  <si>
    <t>190</t>
  </si>
  <si>
    <t>Input Antara</t>
  </si>
  <si>
    <t>200</t>
  </si>
  <si>
    <t>Input Antara Impor</t>
  </si>
  <si>
    <t>201</t>
  </si>
  <si>
    <t>Kompensasi Tenaga Kerja</t>
  </si>
  <si>
    <t>202</t>
  </si>
  <si>
    <t>Surplus Usaha (termasuk pendapatan campuran) Bruto</t>
  </si>
  <si>
    <t>203</t>
  </si>
  <si>
    <t>Pajak Atas Produksi Lainnya</t>
  </si>
  <si>
    <t>204</t>
  </si>
  <si>
    <t>Subsidi Atas Produksi Lainnya (-)</t>
  </si>
  <si>
    <t>209</t>
  </si>
  <si>
    <t>Nilai Tambah Bruto</t>
  </si>
  <si>
    <t>210</t>
  </si>
  <si>
    <t>Total Input</t>
  </si>
  <si>
    <t>Sector</t>
  </si>
  <si>
    <t>Sektor</t>
  </si>
  <si>
    <t>Kode_PDRB</t>
  </si>
  <si>
    <t>Growth_Index</t>
  </si>
  <si>
    <t>CAGR</t>
  </si>
  <si>
    <t>X_2020</t>
  </si>
  <si>
    <t>X_2025</t>
  </si>
  <si>
    <t>VA_2020</t>
  </si>
  <si>
    <t>VA_2025</t>
  </si>
  <si>
    <t>Row_Target</t>
  </si>
  <si>
    <t>Row_Achieved</t>
  </si>
  <si>
    <t>Col_Target_Z</t>
  </si>
  <si>
    <t>Col_Achieved_Z</t>
  </si>
  <si>
    <t>A.1.a</t>
  </si>
  <si>
    <t>A.1.b</t>
  </si>
  <si>
    <t>A.1.c</t>
  </si>
  <si>
    <t>A.1.d</t>
  </si>
  <si>
    <t>A.1.e</t>
  </si>
  <si>
    <t>A.2</t>
  </si>
  <si>
    <t>A.3</t>
  </si>
  <si>
    <t>B.1</t>
  </si>
  <si>
    <t>B.2</t>
  </si>
  <si>
    <t>B.3</t>
  </si>
  <si>
    <t>B.4</t>
  </si>
  <si>
    <t>C.1</t>
  </si>
  <si>
    <t>C.2</t>
  </si>
  <si>
    <t>C.3</t>
  </si>
  <si>
    <t>C.4</t>
  </si>
  <si>
    <t>C.5</t>
  </si>
  <si>
    <t>C.6</t>
  </si>
  <si>
    <t>C.7</t>
  </si>
  <si>
    <t>C.8</t>
  </si>
  <si>
    <t>C.9</t>
  </si>
  <si>
    <t>C.10</t>
  </si>
  <si>
    <t>C.11</t>
  </si>
  <si>
    <t>C.12</t>
  </si>
  <si>
    <t>C.13</t>
  </si>
  <si>
    <t>C.14</t>
  </si>
  <si>
    <t>C.15</t>
  </si>
  <si>
    <t>C.16</t>
  </si>
  <si>
    <t>D.1</t>
  </si>
  <si>
    <t>D.2</t>
  </si>
  <si>
    <t>E</t>
  </si>
  <si>
    <t>F</t>
  </si>
  <si>
    <t>G.1</t>
  </si>
  <si>
    <t>G.2</t>
  </si>
  <si>
    <t>H.1</t>
  </si>
  <si>
    <t>H.2</t>
  </si>
  <si>
    <t>H.3</t>
  </si>
  <si>
    <t>H.4</t>
  </si>
  <si>
    <t>H.5</t>
  </si>
  <si>
    <t>H.6</t>
  </si>
  <si>
    <t>I.1</t>
  </si>
  <si>
    <t>I.2</t>
  </si>
  <si>
    <t>J</t>
  </si>
  <si>
    <t>K.1</t>
  </si>
  <si>
    <t>K.2</t>
  </si>
  <si>
    <t>K.3</t>
  </si>
  <si>
    <t>K.4</t>
  </si>
  <si>
    <t>L</t>
  </si>
  <si>
    <t>M,N</t>
  </si>
  <si>
    <t>O</t>
  </si>
  <si>
    <t>P</t>
  </si>
  <si>
    <t>Q</t>
  </si>
  <si>
    <t>R,S,T,U</t>
  </si>
  <si>
    <t>Total_Input</t>
  </si>
  <si>
    <t>Total_Output</t>
  </si>
  <si>
    <t>Selisih</t>
  </si>
  <si>
    <t>Kode_IO</t>
  </si>
  <si>
    <t>Sektor_IO</t>
  </si>
  <si>
    <t>Label_PDRB</t>
  </si>
  <si>
    <t>A.1.a Tanaman Pangan</t>
  </si>
  <si>
    <t>A.1.b Tanaman Hortikultura</t>
  </si>
  <si>
    <t>A.1.c Tanaman Perkebunan</t>
  </si>
  <si>
    <t>A.1.d Peternakan</t>
  </si>
  <si>
    <t>A.1.e Jasa Pertanian dan Perburuan</t>
  </si>
  <si>
    <t>A.2 Kehutanan dan Penebangan Kayu</t>
  </si>
  <si>
    <t>A.3 Perikanan</t>
  </si>
  <si>
    <t>B.1 Pertambangan Minyak, Gas, dan Panas Bumi</t>
  </si>
  <si>
    <t>B.2 Pertambangan Batubara dan Lignit</t>
  </si>
  <si>
    <t>B.3 Pertambangan Bijih Logam</t>
  </si>
  <si>
    <t>B.4 Pertambangan dan Penggalian Lainnya</t>
  </si>
  <si>
    <t>C.1 Industri Batubara dan Pengilangan Migas</t>
  </si>
  <si>
    <t>C.2 Industri Makanan dan Minuman</t>
  </si>
  <si>
    <t>C.3 Industri Pengolahan Tembakau</t>
  </si>
  <si>
    <t>C.4 Industri Tekstil dan Pakaian Jadi</t>
  </si>
  <si>
    <t>C.5 Industri Kulit, Barang dari Kulit, dan Alas Kaki</t>
  </si>
  <si>
    <t>C.6 Industri Kayu, Barang dari Kayu dan Gabus; dan Barang Anyaman dari Bambu, Rotan, dan Sejenisnya</t>
  </si>
  <si>
    <t>C.7 Industri Kertas dan Barang dari Kertas; Percetakan dan Reproduksi Media Rekaman</t>
  </si>
  <si>
    <t>C.8 Industri Kimia, Farmasi, dan Obat Tradisional</t>
  </si>
  <si>
    <t>C.9 Industri Karet; Barang dari Karet dan Plastik</t>
  </si>
  <si>
    <t>C.10 Industri Barang Galian bukan Logam</t>
  </si>
  <si>
    <t>C.11 Industri Logam Dasar</t>
  </si>
  <si>
    <t>C.12 Industri Barang Logam; Komputer, Barang Elektronik, Optik; dan Peralatan Listrik</t>
  </si>
  <si>
    <t>C.13 Industri Mesin dan Perlengkapan</t>
  </si>
  <si>
    <t>C.14 Industri Alat Angkutan</t>
  </si>
  <si>
    <t>C.15 Industri Furnitur</t>
  </si>
  <si>
    <t>C.16 Industri Pengolahan Lainnya; Jasa Reparasi dan Pemasangan Mesin dan Peralatan</t>
  </si>
  <si>
    <t>D.1 Ketenagalistrikan</t>
  </si>
  <si>
    <t>D.2 Pengadaan Gas dan Produksi Es</t>
  </si>
  <si>
    <t>E. Pengadaan Air; Pengelolaan Sampah, Limbah, dan Daur Ulang</t>
  </si>
  <si>
    <t>F. Konstruksi</t>
  </si>
  <si>
    <t>G.1 Perdagangan Mobil, Sepeda Motor dan Reparasinya</t>
  </si>
  <si>
    <t>G.2 Perdagangan Besar dan Eceran, Bukan Mobil dan Sepeda Motor</t>
  </si>
  <si>
    <t>H.1 Angkutan Rel</t>
  </si>
  <si>
    <t>H.2 Angkutan Darat</t>
  </si>
  <si>
    <t>H.3 Angkutan Laut</t>
  </si>
  <si>
    <t>H.4 Angkutan Sungai, Danau, dan Penyeberangan</t>
  </si>
  <si>
    <t>H.5 Angkutan Udara</t>
  </si>
  <si>
    <t>H.6 Pergudangan dan Jasa Penunjang Angkutan; Pos dan Kurir</t>
  </si>
  <si>
    <t>I.1 Penyediaan Akomodasi</t>
  </si>
  <si>
    <t>I.2 Penyediaan Makan Minum</t>
  </si>
  <si>
    <t>J. Informasi dan Komunikasi</t>
  </si>
  <si>
    <t>K.1 Jasa Perantara Keuangan</t>
  </si>
  <si>
    <t>K.2 Asuransi dan Dana Pensiun</t>
  </si>
  <si>
    <t>K.3 Jasa Keuangan Lainnya</t>
  </si>
  <si>
    <t>K.4 Jasa Penunjang Keuangan</t>
  </si>
  <si>
    <t>L. Real Estat</t>
  </si>
  <si>
    <t>M,N. Jasa Perusahaan</t>
  </si>
  <si>
    <t>O. Administrasi Pemerintahan, Pertahanan, dan Jaminan Sosial Wajib</t>
  </si>
  <si>
    <t>P. Jasa Pendidikan</t>
  </si>
  <si>
    <t>Q. Jasa Kesehatan dan Kegiatan Sosial</t>
  </si>
  <si>
    <t>R,S,T,U. Jasa Lainnya</t>
  </si>
  <si>
    <t>KodeSektor</t>
  </si>
  <si>
    <t>NamaSektor</t>
  </si>
  <si>
    <t>NamaPendek</t>
  </si>
  <si>
    <t>NamaSingkat</t>
  </si>
  <si>
    <t>KSM</t>
  </si>
  <si>
    <t>Tanaman Pangan</t>
  </si>
  <si>
    <t>Pertanian, Kehutanan, dan Perikanan</t>
  </si>
  <si>
    <t>Hortikultura</t>
  </si>
  <si>
    <t>Krt</t>
  </si>
  <si>
    <t>KS</t>
  </si>
  <si>
    <t>TPL</t>
  </si>
  <si>
    <t>Ptr</t>
  </si>
  <si>
    <t>JPP</t>
  </si>
  <si>
    <t>KPK</t>
  </si>
  <si>
    <t>PMGP</t>
  </si>
  <si>
    <t>Pertambangan dan Penggalian</t>
  </si>
  <si>
    <t>PBL</t>
  </si>
  <si>
    <t>PPL</t>
  </si>
  <si>
    <t>IBPM</t>
  </si>
  <si>
    <t>Industri Pengolahan</t>
  </si>
  <si>
    <t>IMM</t>
  </si>
  <si>
    <t>IPT</t>
  </si>
  <si>
    <t>ITPJ</t>
  </si>
  <si>
    <t>IKPR</t>
  </si>
  <si>
    <t>IKFO</t>
  </si>
  <si>
    <t>IBGL</t>
  </si>
  <si>
    <t>ILD</t>
  </si>
  <si>
    <t>IBLE</t>
  </si>
  <si>
    <t>IAA</t>
  </si>
  <si>
    <t>IF</t>
  </si>
  <si>
    <t>Pengadaan Listrik dan Gas</t>
  </si>
  <si>
    <t>PGE</t>
  </si>
  <si>
    <t>Kons</t>
  </si>
  <si>
    <t>PMM</t>
  </si>
  <si>
    <t>Perdagangan Besar dan Eceran; Reparasi Mobil dan Sepeda Motor</t>
  </si>
  <si>
    <t>PBE</t>
  </si>
  <si>
    <t>AR</t>
  </si>
  <si>
    <t>Transportasi dan Pergudangan</t>
  </si>
  <si>
    <t>AD</t>
  </si>
  <si>
    <t>AL</t>
  </si>
  <si>
    <t>AU</t>
  </si>
  <si>
    <t>Penyediaan Akomodasi dan Makan Minum</t>
  </si>
  <si>
    <t>Informasi dan Komunikasi</t>
  </si>
  <si>
    <t>JPK</t>
  </si>
  <si>
    <t>Jasa Keuangan dan Asuransi</t>
  </si>
  <si>
    <t>ADP</t>
  </si>
  <si>
    <t>JKL</t>
  </si>
  <si>
    <t>RE</t>
  </si>
  <si>
    <t>JL</t>
  </si>
  <si>
    <t>Jasa Lainnya</t>
  </si>
  <si>
    <t>Jasa lainnya</t>
  </si>
  <si>
    <t>Constrained</t>
  </si>
  <si>
    <t>Unconstrained</t>
  </si>
  <si>
    <t>RateUnconstrained</t>
  </si>
  <si>
    <t>TenagaKerja</t>
  </si>
  <si>
    <t>Lapangan Usaha</t>
  </si>
  <si>
    <t>YoY 2021 (%)</t>
  </si>
  <si>
    <t>YoY 2022 (%)</t>
  </si>
  <si>
    <t>YoY 2023 (%)</t>
  </si>
  <si>
    <t>YoY 2024 (%)</t>
  </si>
  <si>
    <t>YoY 2025 (%)</t>
  </si>
  <si>
    <t>Rata-Rata YoY (%)</t>
  </si>
  <si>
    <t>CAGR (2020-2025) (%)</t>
  </si>
  <si>
    <t>A. Pertanian, Kehutanan, dan Perikanan</t>
  </si>
  <si>
    <t>A.1 Pertanian, Peternakan, Perburuan, dan Jasa Pertanian</t>
  </si>
  <si>
    <t>B. Pertambangan dan Penggalian</t>
  </si>
  <si>
    <t>C. Industri Pengolahan</t>
  </si>
  <si>
    <t>D. Pengadaan Listrik dan Gas</t>
  </si>
  <si>
    <t>G. Perdagangan Besar dan Eceran; Reparasi Mobil dan Sepeda Motor</t>
  </si>
  <si>
    <t>H. Transportasi dan Pergudangan</t>
  </si>
  <si>
    <t>I. Penyediaan Akomodasi dan Makan Minum</t>
  </si>
  <si>
    <t>K. Jasa Keuangan dan Asuransi</t>
  </si>
  <si>
    <t>Hutan lahan kering primer</t>
  </si>
  <si>
    <t>Hutan sekunder kerapatan tinggi</t>
  </si>
  <si>
    <t>Hutan sekunder kerapatan rendah</t>
  </si>
  <si>
    <t>Hutan rawa primer</t>
  </si>
  <si>
    <t>Hutan rawa sekunder</t>
  </si>
  <si>
    <t>Hutan mangrove primer</t>
  </si>
  <si>
    <t>Hutan mangrove sekunder</t>
  </si>
  <si>
    <t>Tanaman kayu industri</t>
  </si>
  <si>
    <t>Kebun campuran</t>
  </si>
  <si>
    <t>Agroforestri kopi</t>
  </si>
  <si>
    <t>Karet agroforestri</t>
  </si>
  <si>
    <t>Karet monokultur</t>
  </si>
  <si>
    <t>Kelapa sawit skala besar</t>
  </si>
  <si>
    <t>Kelapa sawit skala kecil</t>
  </si>
  <si>
    <t>Kelapa</t>
  </si>
  <si>
    <t>Teh</t>
  </si>
  <si>
    <t>Sawah irigasi</t>
  </si>
  <si>
    <t>Sawah tadah hujan</t>
  </si>
  <si>
    <t>Tebu</t>
  </si>
  <si>
    <t>Tanaman semusim lain</t>
  </si>
  <si>
    <t>Semak belukar</t>
  </si>
  <si>
    <t>Rerumputan</t>
  </si>
  <si>
    <t>Tambang</t>
  </si>
  <si>
    <t>Lahan terbuka</t>
  </si>
  <si>
    <t>Pemukiman</t>
  </si>
  <si>
    <t>Tambak</t>
  </si>
  <si>
    <t>Tubuh air</t>
  </si>
  <si>
    <t>ID</t>
  </si>
  <si>
    <t>Land Cover</t>
  </si>
  <si>
    <t>CAGR 1</t>
  </si>
  <si>
    <t>CAGR 2</t>
  </si>
  <si>
    <t>CAGR 3</t>
  </si>
  <si>
    <t>CAGR 4</t>
  </si>
  <si>
    <t>TP</t>
  </si>
  <si>
    <t>Tanaman pangan</t>
  </si>
  <si>
    <t>Hort</t>
  </si>
  <si>
    <t>Kelapa sawit</t>
  </si>
  <si>
    <t>Perkebunan lainnya</t>
  </si>
  <si>
    <t>Jasa pertanian &amp; perburuan</t>
  </si>
  <si>
    <t>Kehutanan &amp; penebangan kayu</t>
  </si>
  <si>
    <t>Pkn</t>
  </si>
  <si>
    <t>Pertambangan migas &amp; panas bumi</t>
  </si>
  <si>
    <t>Pertambangan batubara</t>
  </si>
  <si>
    <t>PBjL</t>
  </si>
  <si>
    <t>Pertambangan bijih logam</t>
  </si>
  <si>
    <t>Pertambangan &amp; penggalian lainnya</t>
  </si>
  <si>
    <t>Industri batubara &amp; kilang migas</t>
  </si>
  <si>
    <t>Industri makanan &amp; minuman</t>
  </si>
  <si>
    <t>Industri tembakau</t>
  </si>
  <si>
    <t>Industri tekstil &amp; pakaian jadi</t>
  </si>
  <si>
    <t>IKAK</t>
  </si>
  <si>
    <t>Industri kulit &amp; alas kaki</t>
  </si>
  <si>
    <t>IKBR</t>
  </si>
  <si>
    <t>Industri kayu, bambu &amp; rotan</t>
  </si>
  <si>
    <t>Industri kertas &amp; percetakan</t>
  </si>
  <si>
    <t>Industri kimia &amp; farmasi</t>
  </si>
  <si>
    <t>IKBP</t>
  </si>
  <si>
    <t>Industri karet &amp; plastik</t>
  </si>
  <si>
    <t>Industri barang galian non-logam</t>
  </si>
  <si>
    <t>Industri logam dasar</t>
  </si>
  <si>
    <t>Industri barang logam &amp; elektronik</t>
  </si>
  <si>
    <t>IMPk</t>
  </si>
  <si>
    <t>Industri mesin &amp; perlengkapan</t>
  </si>
  <si>
    <t>Industri alat angkutan</t>
  </si>
  <si>
    <t>Industri furnitur</t>
  </si>
  <si>
    <t>IPLR</t>
  </si>
  <si>
    <t>Industri lainnya &amp; reparasi mesin</t>
  </si>
  <si>
    <t>Lstr</t>
  </si>
  <si>
    <t>Pengadaan gas &amp; produksi es</t>
  </si>
  <si>
    <t>PASL</t>
  </si>
  <si>
    <t>Air, sampah &amp; daur ulang</t>
  </si>
  <si>
    <t>Pengadaan Air; Pengelolaan Sampah, Limbah, dan Daur Ulang</t>
  </si>
  <si>
    <t>PMSM</t>
  </si>
  <si>
    <t>Perdagangan &amp; reparasi kendaraan</t>
  </si>
  <si>
    <t>Perdagangan besar &amp; eceran</t>
  </si>
  <si>
    <t>Angkutan rel</t>
  </si>
  <si>
    <t>Angkutan darat</t>
  </si>
  <si>
    <t>Angkutan laut</t>
  </si>
  <si>
    <t>ASDP</t>
  </si>
  <si>
    <t>Angkutan sungai, danau &amp; penyeberangan</t>
  </si>
  <si>
    <t>Angkutan udara</t>
  </si>
  <si>
    <t>PJPA</t>
  </si>
  <si>
    <t>Pergudangan, penunjang angkutan &amp; kurir</t>
  </si>
  <si>
    <t>Akm</t>
  </si>
  <si>
    <t>Akomodasi</t>
  </si>
  <si>
    <t>Penyediaan makan &amp; minum</t>
  </si>
  <si>
    <t>Infokom</t>
  </si>
  <si>
    <t>Informasi &amp; komunikasi</t>
  </si>
  <si>
    <t>Perantara keuangan</t>
  </si>
  <si>
    <t>Asuransi &amp; dana pensiun</t>
  </si>
  <si>
    <t>Jasa keuangan lainnya</t>
  </si>
  <si>
    <t>JPKu</t>
  </si>
  <si>
    <t>Jasa penunjang keuangan</t>
  </si>
  <si>
    <t>Real estat</t>
  </si>
  <si>
    <t>Real Estat</t>
  </si>
  <si>
    <t>JP</t>
  </si>
  <si>
    <t>Jasa perusahaan</t>
  </si>
  <si>
    <t>APPJ</t>
  </si>
  <si>
    <t>Administrasi pemerintahan &amp; pertahanan</t>
  </si>
  <si>
    <t>Administrasi Pemerintahan, Pertahanan, dan Jaminan Sosial Wajib</t>
  </si>
  <si>
    <t>JPdk</t>
  </si>
  <si>
    <t>Jasa pendidikan</t>
  </si>
  <si>
    <t>JKKS</t>
  </si>
  <si>
    <t>Kesehatan &amp; kegiatan sosial</t>
  </si>
  <si>
    <t>SLTJ</t>
  </si>
  <si>
    <t>Sektor lainnya</t>
  </si>
  <si>
    <t>Tanaman Hortikultura</t>
  </si>
  <si>
    <t xml:space="preserve">Kehutanan </t>
  </si>
  <si>
    <t>PENJELASAN</t>
  </si>
  <si>
    <t>SUM</t>
  </si>
  <si>
    <t>Peruntukan Lainnya</t>
  </si>
  <si>
    <r>
      <rPr>
        <b/>
        <sz val="11"/>
        <color theme="1"/>
        <rFont val="Calibri"/>
        <family val="2"/>
        <scheme val="minor"/>
      </rPr>
      <t>Petunjuk Pengisian</t>
    </r>
    <r>
      <rPr>
        <sz val="11"/>
        <color theme="1"/>
        <rFont val="Calibri"/>
        <family val="2"/>
        <scheme val="minor"/>
      </rPr>
      <t xml:space="preserve">
1. Baris menunjukkan jenis tutupan lahan, sedangkan kolom menunjukkan jenis komoditas.
2. Pilih satu baris tutupan lahan, misalnya karet agroforestri.
3. Periksa setiap kolom untuk menentukan komoditas apa saja yang terdapat pada tutupan lahan tersebut dan perkirakan persentase luasnya.
4. Ulangi langkah yang sama untuk seluruh jenis tutupan lahan.
5. Periksa kolom SUM. Total persentase pada setiap baris harus 100% (atau 1 dalam format desimal).
</t>
    </r>
    <r>
      <rPr>
        <b/>
        <sz val="11"/>
        <color theme="1"/>
        <rFont val="Calibri"/>
        <family val="2"/>
        <scheme val="minor"/>
      </rPr>
      <t>Contoh Pengisian</t>
    </r>
    <r>
      <rPr>
        <sz val="11"/>
        <color theme="1"/>
        <rFont val="Calibri"/>
        <family val="2"/>
        <scheme val="minor"/>
      </rPr>
      <t xml:space="preserve">
Pada tutupan lahan karet agroforestri:
- Karet: 50%
- Tanaman pangan (misalnya jagung): 5%
- Tanaman perkebunan lainnya: 10%
- Peruntukan lainnya: 35%
Interpretasi: Tutupan lahan karet agroforestri terdiri atas 50% karet, 5% tanaman pangan, 10% tanaman perkebunan lainnya, dan 35% sisanya adalah peruntukan lainnya.</t>
    </r>
  </si>
  <si>
    <t>BAU_Lahan</t>
  </si>
  <si>
    <t>LAS_Lahan</t>
  </si>
  <si>
    <t>FROM</t>
  </si>
  <si>
    <t>TO</t>
  </si>
  <si>
    <t>sum baris</t>
  </si>
  <si>
    <t>Rasio Ekspor thd Total Output Sektoral</t>
  </si>
  <si>
    <t>NTB</t>
  </si>
  <si>
    <t>Rasio NTB thd Total Output</t>
  </si>
  <si>
    <t>NTB to Kuartil NTB</t>
  </si>
  <si>
    <t>ITFL</t>
  </si>
  <si>
    <t>ITBL</t>
  </si>
  <si>
    <t>Linkage Kuadran</t>
  </si>
  <si>
    <t>From</t>
  </si>
  <si>
    <t>To Q1 + NTB VERY LOW</t>
  </si>
  <si>
    <t>To Q2 &amp; Q3 + NTB VERY LOW</t>
  </si>
  <si>
    <t>MEDIAN</t>
  </si>
  <si>
    <t>Min</t>
  </si>
  <si>
    <t>Q1</t>
  </si>
  <si>
    <t>Q2</t>
  </si>
  <si>
    <t>Q3</t>
  </si>
  <si>
    <t>Max</t>
  </si>
  <si>
    <t>ID_Sektor</t>
  </si>
  <si>
    <t>Nama_Sektor</t>
  </si>
  <si>
    <t>DBL</t>
  </si>
  <si>
    <t>DFL</t>
  </si>
  <si>
    <t>TBL</t>
  </si>
  <si>
    <t>TFL</t>
  </si>
  <si>
    <t>Kuadran</t>
  </si>
  <si>
    <t>Kategori</t>
  </si>
  <si>
    <t>K4 (BL Rendah, FL Rendah)</t>
  </si>
  <si>
    <t>Sektor Lemah / Terisolasi (Weak Sector)</t>
  </si>
  <si>
    <t>K1 (BL Tinggi, FL Tinggi)</t>
  </si>
  <si>
    <t>Sektor Kunci (Key Sector)</t>
  </si>
  <si>
    <t>K3 (BL Rendah, FL Tinggi)</t>
  </si>
  <si>
    <t>Sektor Pendukung Hilir (Forward-Oriented)</t>
  </si>
  <si>
    <t>K2 (BL Tinggi, FL Rendah)</t>
  </si>
  <si>
    <t>Sektor Pendorong Hulu (Backward-Oriented)</t>
  </si>
  <si>
    <t>Sumatera Selatan</t>
  </si>
  <si>
    <t>(dalam ribu jiwa)</t>
  </si>
  <si>
    <t>Sumber</t>
  </si>
  <si>
    <t>BPS (2023). Proyeksi Penduduk Indonesia 2020–2050 Hasil Sensus Penduduk 2020. No. Katalog 2101040, No. Publikasi 04100.2304, rilis 16 Mei 2023. https://www.bps.go.id/id/publication/2023/05/16/fad83131cd3bb9be3bb2a657/proyeksi-penduduk-indonesia-2020-2050-hasil-sensus-penduduk-2020.html</t>
  </si>
  <si>
    <t>populasiPenduduk</t>
  </si>
  <si>
    <t>Year</t>
  </si>
  <si>
    <t>Populasi</t>
  </si>
  <si>
    <t>Rasio Total Input Antara thd Total Output Sektoral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</si>
</sst>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64" formatCode="_(* #,##0.00_);_(* \(#,##0.00\);_(* &quot;-&quot;??_);_(@_)"/>
    <numFmt numFmtId="165" formatCode="_(* #,##0_);_(* \(#,##0\);_(* &quot;-&quot;??_);_(@_)"/>
    <numFmt numFmtId="166" formatCode="0.0"/>
    <numFmt numFmtId="167" formatCode="_-* #,##0.0000_-;\-* #,##0.0000_-;_-* &quot;-&quot;_-;_-@_-"/>
    <numFmt numFmtId="168" formatCode="0.000000"/>
  </numFmts>
  <fonts count="6">
    <font>
      <sz val="11"/>
      <color theme="1"/>
      <name val="Calibri"/>
      <family val="2"/>
      <scheme val="minor"/>
    </font>
    <font>
      <b/>
      <sz val="11"/>
      <color theme="1"/>
      <name val="Calibri"/>
      <family val="2"/>
      <scheme val="minor"/>
    </font>
    <font>
      <sz val="11"/>
      <color theme="1"/>
      <name val="Calibri"/>
      <family val="2"/>
      <scheme val="minor"/>
    </font>
    <font>
      <b/>
      <sz val="11"/>
      <name val="Carlito"/>
    </font>
    <font>
      <sz val="11"/>
      <name val="Calibri"/>
      <family val="2"/>
      <scheme val="minor"/>
    </font>
    <font>
      <sz val="12"/>
      <color theme="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rgb="FF92D05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164"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41" fontId="2" fillId="0" borderId="0" applyFont="0" applyFill="0" applyBorder="0" applyAlignment="0" applyProtection="0"/>
    <xf numFmtId="0" fontId="5" fillId="0" borderId="0"/>
    <xf numFmtId="0" fontId="2" fillId="0" borderId="0"/>
  </cellStyleXfs>
  <cellXfs count="51">
    <xf numFmtId="0" fontId="0" fillId="0" borderId="0" xfId="0"/>
    <xf numFmtId="0" fontId="1" fillId="0" borderId="0" xfId="0" applyFont="1" applyAlignment="1">
      <alignment horizontal="center"/>
    </xf>
    <xf numFmtId="3" fontId="0" fillId="0" borderId="0" xfId="0" applyNumberFormat="1"/>
    <xf numFmtId="10" fontId="0" fillId="0" borderId="0" xfId="0" applyNumberFormat="1"/>
    <xf numFmtId="0" fontId="0" fillId="2" borderId="0" xfId="0" applyFill="1"/>
    <xf numFmtId="0" fontId="3" fillId="3" borderId="0" xfId="0" applyFont="1" applyFill="1"/>
    <xf numFmtId="0" fontId="3" fillId="4" borderId="0" xfId="0" applyFont="1" applyFill="1"/>
    <xf numFmtId="0" fontId="3" fillId="5" borderId="0" xfId="0" applyFont="1" applyFill="1"/>
    <xf numFmtId="0" fontId="3" fillId="6" borderId="0" xfId="0" applyFont="1" applyFill="1"/>
    <xf numFmtId="10" fontId="0" fillId="3" borderId="0" xfId="3" applyNumberFormat="1" applyFont="1" applyFill="1"/>
    <xf numFmtId="10" fontId="0" fillId="4" borderId="0" xfId="3" applyNumberFormat="1" applyFont="1" applyFill="1"/>
    <xf numFmtId="10" fontId="0" fillId="5" borderId="0" xfId="3" applyNumberFormat="1" applyFont="1" applyFill="1"/>
    <xf numFmtId="10" fontId="0" fillId="6" borderId="0" xfId="3" applyNumberFormat="1" applyFont="1" applyFill="1"/>
    <xf numFmtId="165" fontId="3" fillId="0" borderId="0" xfId="1" applyNumberFormat="1" applyFont="1"/>
    <xf numFmtId="166" fontId="0" fillId="4" borderId="0" xfId="0" applyNumberFormat="1" applyFill="1"/>
    <xf numFmtId="166" fontId="0" fillId="5" borderId="0" xfId="0" applyNumberFormat="1" applyFill="1"/>
    <xf numFmtId="0" fontId="0" fillId="6" borderId="0" xfId="0" applyFill="1"/>
    <xf numFmtId="165" fontId="0" fillId="0" borderId="0" xfId="1" applyNumberFormat="1" applyFont="1"/>
    <xf numFmtId="166" fontId="0" fillId="3" borderId="0" xfId="0" applyNumberFormat="1" applyFill="1"/>
    <xf numFmtId="164" fontId="0" fillId="6" borderId="0" xfId="1" applyFont="1" applyFill="1"/>
    <xf numFmtId="9" fontId="0" fillId="0" borderId="0" xfId="2" applyFont="1"/>
    <xf numFmtId="10" fontId="0" fillId="0" borderId="0" xfId="2" applyNumberFormat="1" applyFont="1"/>
    <xf numFmtId="0" fontId="0" fillId="0" borderId="0" xfId="0" applyAlignment="1">
      <alignment horizontal="left" vertical="top" wrapText="1"/>
    </xf>
    <xf numFmtId="0" fontId="0" fillId="3" borderId="0" xfId="0" applyFill="1"/>
    <xf numFmtId="0" fontId="0" fillId="0" borderId="1" xfId="0" applyBorder="1"/>
    <xf numFmtId="0" fontId="0" fillId="7" borderId="1" xfId="0" applyFill="1" applyBorder="1"/>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165" fontId="0" fillId="0" borderId="0" xfId="0" applyNumberFormat="1"/>
    <xf numFmtId="0" fontId="0" fillId="0" borderId="0" xfId="1" applyNumberFormat="1" applyFont="1"/>
    <xf numFmtId="2" fontId="0" fillId="0" borderId="0" xfId="1" applyNumberFormat="1" applyFont="1"/>
    <xf numFmtId="164" fontId="0" fillId="0" borderId="0" xfId="1" applyFont="1"/>
    <xf numFmtId="164" fontId="0" fillId="0" borderId="0" xfId="0" applyNumberFormat="1"/>
    <xf numFmtId="0" fontId="0" fillId="9" borderId="0" xfId="0" applyFill="1"/>
    <xf numFmtId="0" fontId="0" fillId="10" borderId="0" xfId="0" applyFill="1"/>
    <xf numFmtId="0" fontId="0" fillId="11" borderId="0" xfId="0" applyFill="1"/>
    <xf numFmtId="2" fontId="0" fillId="0" borderId="0" xfId="0" applyNumberFormat="1"/>
    <xf numFmtId="0" fontId="1" fillId="0" borderId="0" xfId="0" applyFont="1" applyAlignment="1">
      <alignment horizontal="center" vertical="center" wrapText="1"/>
    </xf>
    <xf numFmtId="0" fontId="0" fillId="0" borderId="0" xfId="0" applyAlignment="1">
      <alignment horizontal="center" vertical="center" wrapText="1"/>
    </xf>
    <xf numFmtId="9" fontId="0" fillId="0" borderId="0" xfId="0" applyNumberFormat="1"/>
    <xf numFmtId="0" fontId="4" fillId="0" borderId="0" xfId="0" applyFont="1"/>
    <xf numFmtId="0" fontId="5" fillId="0" borderId="0" xfId="5"/>
    <xf numFmtId="167" fontId="0" fillId="0" borderId="0" xfId="4" applyNumberFormat="1" applyFont="1"/>
    <xf numFmtId="168" fontId="0" fillId="0" borderId="0" xfId="0" applyNumberFormat="1"/>
    <xf numFmtId="0" fontId="0" fillId="0" borderId="0" xfId="0" applyAlignment="1">
      <alignment horizontal="center" vertical="center" wrapText="1"/>
    </xf>
    <xf numFmtId="0" fontId="0" fillId="8" borderId="0" xfId="0" applyFill="1" applyAlignment="1">
      <alignment horizontal="left" vertical="top" wrapText="1"/>
    </xf>
    <xf numFmtId="41" fontId="0" fillId="3" borderId="0" xfId="4" applyFont="1" applyFill="1"/>
    <xf numFmtId="0" fontId="0" fillId="0" borderId="0" xfId="6" applyFont="1"/>
    <xf numFmtId="0" fontId="1" fillId="0" borderId="0" xfId="6" applyFont="1" applyAlignment="1">
      <alignment horizontal="center"/>
    </xf>
    <xf numFmtId="0" fontId="0" fillId="7" borderId="0" xfId="0" applyFill="1"/>
  </cellXfs>
  <cellStyles count="7">
    <cellStyle name="Comma" xfId="1" builtinId="3"/>
    <cellStyle name="Comma [0]" xfId="4" builtinId="6"/>
    <cellStyle name="Normal" xfId="0" builtinId="0"/>
    <cellStyle name="Normal 2" xfId="5" xr:uid="{A2EADB92-2DFE-44B8-87E6-C123FB00C750}"/>
    <cellStyle name="Normal 7 2" xfId="6" xr:uid="{9245ED3E-2F9C-4654-ADC8-7776AE9269B4}"/>
    <cellStyle name="Percent" xfId="2" builtinId="5"/>
    <cellStyle name="Percent 4" xfId="3" xr:uid="{55CAE965-2F00-49A9-B634-D67426DC963D}"/>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Proyeksi Populasi Sumatera Selatan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Populasi!$A$2</c:f>
              <c:strCache>
                <c:ptCount val="1"/>
                <c:pt idx="0">
                  <c:v>Sumatera Selatan</c:v>
                </c:pt>
              </c:strCache>
            </c:strRef>
          </c:tx>
          <c:spPr>
            <a:ln w="28575" cap="rnd">
              <a:solidFill>
                <a:schemeClr val="accent1"/>
              </a:solidFill>
              <a:round/>
            </a:ln>
            <a:effectLst/>
          </c:spPr>
          <c:marker>
            <c:symbol val="none"/>
          </c:marker>
          <c:cat>
            <c:numRef>
              <c:f>Populasi!$B$1:$AA$1</c:f>
              <c:numCache>
                <c:formatCode>General</c:formatCode>
                <c:ptCount val="2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numCache>
            </c:numRef>
          </c:cat>
          <c:val>
            <c:numRef>
              <c:f>Populasi!$B$2:$AA$2</c:f>
              <c:numCache>
                <c:formatCode>_(* #,##0_);_(* \(#,##0\);_(* "-"_);_(@_)</c:formatCode>
                <c:ptCount val="26"/>
                <c:pt idx="0">
                  <c:v>8447760</c:v>
                </c:pt>
                <c:pt idx="1">
                  <c:v>8548610</c:v>
                </c:pt>
                <c:pt idx="2">
                  <c:v>8647260</c:v>
                </c:pt>
                <c:pt idx="3">
                  <c:v>8743520</c:v>
                </c:pt>
                <c:pt idx="4">
                  <c:v>8837300</c:v>
                </c:pt>
                <c:pt idx="5">
                  <c:v>8928520</c:v>
                </c:pt>
                <c:pt idx="6">
                  <c:v>9017140</c:v>
                </c:pt>
                <c:pt idx="7">
                  <c:v>9103180</c:v>
                </c:pt>
                <c:pt idx="8">
                  <c:v>9186600</c:v>
                </c:pt>
                <c:pt idx="9">
                  <c:v>9267400</c:v>
                </c:pt>
                <c:pt idx="10">
                  <c:v>9345650</c:v>
                </c:pt>
                <c:pt idx="11">
                  <c:v>9421670</c:v>
                </c:pt>
                <c:pt idx="12">
                  <c:v>9495790</c:v>
                </c:pt>
                <c:pt idx="13">
                  <c:v>9568080</c:v>
                </c:pt>
                <c:pt idx="14">
                  <c:v>9638580</c:v>
                </c:pt>
                <c:pt idx="15">
                  <c:v>9707360</c:v>
                </c:pt>
                <c:pt idx="16">
                  <c:v>9774490</c:v>
                </c:pt>
                <c:pt idx="17">
                  <c:v>9839900</c:v>
                </c:pt>
                <c:pt idx="18">
                  <c:v>9903640</c:v>
                </c:pt>
                <c:pt idx="19">
                  <c:v>9965680</c:v>
                </c:pt>
                <c:pt idx="20">
                  <c:v>10025960</c:v>
                </c:pt>
                <c:pt idx="21">
                  <c:v>10084270</c:v>
                </c:pt>
                <c:pt idx="22">
                  <c:v>10140350</c:v>
                </c:pt>
                <c:pt idx="23">
                  <c:v>10194060</c:v>
                </c:pt>
                <c:pt idx="24">
                  <c:v>10245340</c:v>
                </c:pt>
                <c:pt idx="25">
                  <c:v>10294090</c:v>
                </c:pt>
              </c:numCache>
            </c:numRef>
          </c:val>
          <c:smooth val="0"/>
          <c:extLst>
            <c:ext xmlns:c16="http://schemas.microsoft.com/office/drawing/2014/chart" uri="{C3380CC4-5D6E-409C-BE32-E72D297353CC}">
              <c16:uniqueId val="{00000000-0751-47A7-8D4B-759F9F45E807}"/>
            </c:ext>
          </c:extLst>
        </c:ser>
        <c:dLbls>
          <c:showLegendKey val="0"/>
          <c:showVal val="0"/>
          <c:showCatName val="0"/>
          <c:showSerName val="0"/>
          <c:showPercent val="0"/>
          <c:showBubbleSize val="0"/>
        </c:dLbls>
        <c:smooth val="0"/>
        <c:axId val="1267351664"/>
        <c:axId val="1772261328"/>
      </c:lineChart>
      <c:catAx>
        <c:axId val="126735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261328"/>
        <c:crosses val="autoZero"/>
        <c:auto val="1"/>
        <c:lblAlgn val="ctr"/>
        <c:lblOffset val="100"/>
        <c:noMultiLvlLbl val="0"/>
      </c:catAx>
      <c:valAx>
        <c:axId val="1772261328"/>
        <c:scaling>
          <c:orientation val="minMax"/>
          <c:min val="800000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351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187325</xdr:colOff>
      <xdr:row>10</xdr:row>
      <xdr:rowOff>120650</xdr:rowOff>
    </xdr:from>
    <xdr:to>
      <xdr:col>23</xdr:col>
      <xdr:colOff>485775</xdr:colOff>
      <xdr:row>25</xdr:row>
      <xdr:rowOff>101600</xdr:rowOff>
    </xdr:to>
    <xdr:graphicFrame macro="">
      <xdr:nvGraphicFramePr>
        <xdr:cNvPr id="2" name="Chart 1">
          <a:extLst>
            <a:ext uri="{FF2B5EF4-FFF2-40B4-BE49-F238E27FC236}">
              <a16:creationId xmlns:a16="http://schemas.microsoft.com/office/drawing/2014/main" id="{5DE55DB3-9B5B-459D-BA04-F27C9C540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BQ64"/>
  <sheetViews>
    <sheetView topLeftCell="A52" zoomScale="58" workbookViewId="0">
      <selection activeCell="BC11" sqref="BC11"/>
    </sheetView>
  </sheetViews>
  <sheetFormatPr defaultRowHeight="14.5"/>
  <cols>
    <col min="2" max="2" width="82" bestFit="1" customWidth="1"/>
    <col min="47" max="57" width="8.81640625" bestFit="1" customWidth="1"/>
    <col min="58" max="59" width="12" bestFit="1" customWidth="1"/>
    <col min="60" max="61" width="8.81640625" bestFit="1" customWidth="1"/>
    <col min="62" max="62" width="11.54296875" bestFit="1" customWidth="1"/>
    <col min="63" max="63" width="12" bestFit="1" customWidth="1"/>
    <col min="64" max="64" width="10.90625" bestFit="1" customWidth="1"/>
    <col min="65" max="65" width="13.08984375" bestFit="1" customWidth="1"/>
    <col min="66" max="66" width="8.81640625" bestFit="1" customWidth="1"/>
  </cols>
  <sheetData>
    <row r="1" spans="1:69"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row>
    <row r="2" spans="1:69">
      <c r="A2" t="s">
        <v>2</v>
      </c>
      <c r="B2" t="s">
        <v>69</v>
      </c>
      <c r="C2">
        <v>1069044.9731999999</v>
      </c>
      <c r="D2">
        <v>0</v>
      </c>
      <c r="E2">
        <v>0</v>
      </c>
      <c r="F2">
        <v>0</v>
      </c>
      <c r="G2">
        <v>0</v>
      </c>
      <c r="H2">
        <v>697.38919999999996</v>
      </c>
      <c r="I2">
        <v>0</v>
      </c>
      <c r="J2">
        <v>0</v>
      </c>
      <c r="K2">
        <v>21452.0743</v>
      </c>
      <c r="L2">
        <v>0</v>
      </c>
      <c r="M2">
        <v>0</v>
      </c>
      <c r="N2">
        <v>0</v>
      </c>
      <c r="O2">
        <v>0</v>
      </c>
      <c r="P2">
        <v>0</v>
      </c>
      <c r="Q2">
        <v>16469292.002699999</v>
      </c>
      <c r="R2">
        <v>0</v>
      </c>
      <c r="S2">
        <v>0</v>
      </c>
      <c r="T2">
        <v>0</v>
      </c>
      <c r="U2">
        <v>0</v>
      </c>
      <c r="V2">
        <v>0</v>
      </c>
      <c r="W2">
        <v>5192.8968999999997</v>
      </c>
      <c r="X2">
        <v>0</v>
      </c>
      <c r="Y2">
        <v>2043.1564000000001</v>
      </c>
      <c r="Z2">
        <v>0</v>
      </c>
      <c r="AA2">
        <v>0</v>
      </c>
      <c r="AB2">
        <v>0</v>
      </c>
      <c r="AC2">
        <v>0</v>
      </c>
      <c r="AD2">
        <v>0</v>
      </c>
      <c r="AE2">
        <v>0</v>
      </c>
      <c r="AF2">
        <v>0</v>
      </c>
      <c r="AG2">
        <v>0</v>
      </c>
      <c r="AH2">
        <v>0</v>
      </c>
      <c r="AI2">
        <v>0</v>
      </c>
      <c r="AJ2">
        <v>0</v>
      </c>
      <c r="AK2">
        <v>0</v>
      </c>
      <c r="AL2">
        <v>0</v>
      </c>
      <c r="AM2">
        <v>0</v>
      </c>
      <c r="AN2">
        <v>0</v>
      </c>
      <c r="AO2">
        <v>0</v>
      </c>
      <c r="AP2">
        <v>0</v>
      </c>
      <c r="AQ2">
        <v>0</v>
      </c>
      <c r="AR2">
        <v>6373.7154</v>
      </c>
      <c r="AS2">
        <v>222413.55910000001</v>
      </c>
      <c r="AT2">
        <v>0</v>
      </c>
      <c r="AU2">
        <v>0</v>
      </c>
      <c r="AV2">
        <v>0</v>
      </c>
      <c r="AW2">
        <v>0</v>
      </c>
      <c r="AX2">
        <v>0</v>
      </c>
      <c r="AY2">
        <v>0</v>
      </c>
      <c r="AZ2">
        <v>0</v>
      </c>
      <c r="BA2">
        <v>70927.807100000005</v>
      </c>
      <c r="BB2">
        <v>5489.5983999999999</v>
      </c>
      <c r="BC2">
        <v>7671.5012999999999</v>
      </c>
      <c r="BD2">
        <v>34190.167999999998</v>
      </c>
      <c r="BE2">
        <v>0</v>
      </c>
      <c r="BF2">
        <v>17914788.841899998</v>
      </c>
      <c r="BG2">
        <v>369043.29680000001</v>
      </c>
      <c r="BH2">
        <v>0</v>
      </c>
      <c r="BI2">
        <v>0</v>
      </c>
      <c r="BJ2">
        <v>73419.347399999999</v>
      </c>
      <c r="BK2">
        <v>271170.00020000001</v>
      </c>
      <c r="BL2">
        <v>713632.64439999999</v>
      </c>
      <c r="BM2">
        <v>18628421.486299999</v>
      </c>
      <c r="BN2">
        <v>0</v>
      </c>
      <c r="BO2">
        <v>0</v>
      </c>
      <c r="BP2">
        <v>18628421.486299999</v>
      </c>
      <c r="BQ2">
        <v>18628421.486299999</v>
      </c>
    </row>
    <row r="3" spans="1:69">
      <c r="A3" t="s">
        <v>3</v>
      </c>
      <c r="B3" t="s">
        <v>70</v>
      </c>
      <c r="C3">
        <v>0</v>
      </c>
      <c r="D3">
        <v>75321.677500000005</v>
      </c>
      <c r="E3">
        <v>0</v>
      </c>
      <c r="F3">
        <v>0</v>
      </c>
      <c r="G3">
        <v>76.159400000000005</v>
      </c>
      <c r="H3">
        <v>0</v>
      </c>
      <c r="I3">
        <v>0</v>
      </c>
      <c r="J3">
        <v>0</v>
      </c>
      <c r="K3">
        <v>0</v>
      </c>
      <c r="L3">
        <v>0</v>
      </c>
      <c r="M3">
        <v>0</v>
      </c>
      <c r="N3">
        <v>0</v>
      </c>
      <c r="O3">
        <v>0</v>
      </c>
      <c r="P3">
        <v>0</v>
      </c>
      <c r="Q3">
        <v>1238533.9775</v>
      </c>
      <c r="R3">
        <v>0</v>
      </c>
      <c r="S3">
        <v>0</v>
      </c>
      <c r="T3">
        <v>0</v>
      </c>
      <c r="U3">
        <v>0</v>
      </c>
      <c r="V3">
        <v>0</v>
      </c>
      <c r="W3">
        <v>10570.4566</v>
      </c>
      <c r="X3">
        <v>6.6199000000000003</v>
      </c>
      <c r="Y3">
        <v>0</v>
      </c>
      <c r="Z3">
        <v>0</v>
      </c>
      <c r="AA3">
        <v>0</v>
      </c>
      <c r="AB3">
        <v>0</v>
      </c>
      <c r="AC3">
        <v>0</v>
      </c>
      <c r="AD3">
        <v>19.6128</v>
      </c>
      <c r="AE3">
        <v>0</v>
      </c>
      <c r="AF3">
        <v>27.549499999999998</v>
      </c>
      <c r="AG3">
        <v>0</v>
      </c>
      <c r="AH3">
        <v>0</v>
      </c>
      <c r="AI3">
        <v>31036.8138</v>
      </c>
      <c r="AJ3">
        <v>0</v>
      </c>
      <c r="AK3">
        <v>0</v>
      </c>
      <c r="AL3">
        <v>3636.1612</v>
      </c>
      <c r="AM3">
        <v>0</v>
      </c>
      <c r="AN3">
        <v>927.90229999999997</v>
      </c>
      <c r="AO3">
        <v>0</v>
      </c>
      <c r="AP3">
        <v>16386.870699999999</v>
      </c>
      <c r="AQ3">
        <v>0</v>
      </c>
      <c r="AR3">
        <v>20599.847600000001</v>
      </c>
      <c r="AS3">
        <v>541937.30119999999</v>
      </c>
      <c r="AT3">
        <v>0.3453</v>
      </c>
      <c r="AU3">
        <v>242.08940000000001</v>
      </c>
      <c r="AV3">
        <v>0</v>
      </c>
      <c r="AW3">
        <v>0</v>
      </c>
      <c r="AX3">
        <v>0</v>
      </c>
      <c r="AY3">
        <v>0</v>
      </c>
      <c r="AZ3">
        <v>0</v>
      </c>
      <c r="BA3">
        <v>2170.2044000000001</v>
      </c>
      <c r="BB3">
        <v>2348.2498000000001</v>
      </c>
      <c r="BC3">
        <v>57539.736499999999</v>
      </c>
      <c r="BD3">
        <v>4049.9285</v>
      </c>
      <c r="BE3">
        <v>0</v>
      </c>
      <c r="BF3">
        <v>2005431.5038999999</v>
      </c>
      <c r="BG3">
        <v>4139011.0392</v>
      </c>
      <c r="BH3">
        <v>0</v>
      </c>
      <c r="BI3">
        <v>179801.1335</v>
      </c>
      <c r="BJ3">
        <v>52261.440499999997</v>
      </c>
      <c r="BK3">
        <v>601604.07189999998</v>
      </c>
      <c r="BL3">
        <v>4972677.6849999996</v>
      </c>
      <c r="BM3">
        <v>6978109.1889000004</v>
      </c>
      <c r="BN3">
        <v>0</v>
      </c>
      <c r="BO3">
        <v>0</v>
      </c>
      <c r="BP3">
        <v>6978109.1889000004</v>
      </c>
      <c r="BQ3">
        <v>6978109.1889000004</v>
      </c>
    </row>
    <row r="4" spans="1:69">
      <c r="A4" t="s">
        <v>4</v>
      </c>
      <c r="B4" t="s">
        <v>71</v>
      </c>
      <c r="C4">
        <v>0</v>
      </c>
      <c r="D4">
        <v>0</v>
      </c>
      <c r="E4">
        <v>1091869.9638</v>
      </c>
      <c r="F4">
        <v>0</v>
      </c>
      <c r="G4">
        <v>0</v>
      </c>
      <c r="H4">
        <v>0</v>
      </c>
      <c r="I4">
        <v>0</v>
      </c>
      <c r="J4">
        <v>0</v>
      </c>
      <c r="K4">
        <v>0</v>
      </c>
      <c r="L4">
        <v>0</v>
      </c>
      <c r="M4">
        <v>0</v>
      </c>
      <c r="N4">
        <v>0</v>
      </c>
      <c r="O4">
        <v>0</v>
      </c>
      <c r="P4">
        <v>0</v>
      </c>
      <c r="Q4">
        <v>0</v>
      </c>
      <c r="R4">
        <v>0</v>
      </c>
      <c r="S4">
        <v>0</v>
      </c>
      <c r="T4">
        <v>0</v>
      </c>
      <c r="U4">
        <v>0</v>
      </c>
      <c r="V4">
        <v>0</v>
      </c>
      <c r="W4">
        <v>0</v>
      </c>
      <c r="X4">
        <v>11154451.5362</v>
      </c>
      <c r="Y4">
        <v>0</v>
      </c>
      <c r="Z4">
        <v>0</v>
      </c>
      <c r="AA4">
        <v>0</v>
      </c>
      <c r="AB4">
        <v>0</v>
      </c>
      <c r="AC4">
        <v>0</v>
      </c>
      <c r="AD4">
        <v>0</v>
      </c>
      <c r="AE4">
        <v>0</v>
      </c>
      <c r="AF4">
        <v>0</v>
      </c>
      <c r="AG4">
        <v>0</v>
      </c>
      <c r="AH4">
        <v>0</v>
      </c>
      <c r="AI4">
        <v>0</v>
      </c>
      <c r="AJ4">
        <v>0</v>
      </c>
      <c r="AK4">
        <v>6820.7965000000004</v>
      </c>
      <c r="AL4">
        <v>0</v>
      </c>
      <c r="AM4">
        <v>0</v>
      </c>
      <c r="AN4">
        <v>0</v>
      </c>
      <c r="AO4">
        <v>0</v>
      </c>
      <c r="AP4">
        <v>0</v>
      </c>
      <c r="AQ4">
        <v>0</v>
      </c>
      <c r="AR4">
        <v>0</v>
      </c>
      <c r="AS4">
        <v>0</v>
      </c>
      <c r="AT4">
        <v>0</v>
      </c>
      <c r="AU4">
        <v>0</v>
      </c>
      <c r="AV4">
        <v>0</v>
      </c>
      <c r="AW4">
        <v>0</v>
      </c>
      <c r="AX4">
        <v>0</v>
      </c>
      <c r="AY4">
        <v>0</v>
      </c>
      <c r="AZ4">
        <v>0</v>
      </c>
      <c r="BA4">
        <v>0</v>
      </c>
      <c r="BB4">
        <v>0</v>
      </c>
      <c r="BC4">
        <v>0</v>
      </c>
      <c r="BD4">
        <v>0</v>
      </c>
      <c r="BE4">
        <v>0</v>
      </c>
      <c r="BF4">
        <v>12253142.296499999</v>
      </c>
      <c r="BG4">
        <v>0</v>
      </c>
      <c r="BH4">
        <v>0</v>
      </c>
      <c r="BI4">
        <v>0</v>
      </c>
      <c r="BJ4">
        <v>0</v>
      </c>
      <c r="BK4">
        <v>64.577500000000001</v>
      </c>
      <c r="BL4">
        <v>64.577500000000001</v>
      </c>
      <c r="BM4">
        <v>12253206.8741</v>
      </c>
      <c r="BN4">
        <v>0</v>
      </c>
      <c r="BO4">
        <v>0</v>
      </c>
      <c r="BP4">
        <v>12253206.8741</v>
      </c>
      <c r="BQ4">
        <v>12253206.8741</v>
      </c>
    </row>
    <row r="5" spans="1:69">
      <c r="A5" t="s">
        <v>5</v>
      </c>
      <c r="B5" t="s">
        <v>72</v>
      </c>
      <c r="C5">
        <v>0</v>
      </c>
      <c r="D5">
        <v>0</v>
      </c>
      <c r="E5">
        <v>0</v>
      </c>
      <c r="F5">
        <v>2061576.2553000001</v>
      </c>
      <c r="G5">
        <v>0</v>
      </c>
      <c r="H5">
        <v>0</v>
      </c>
      <c r="I5">
        <v>0</v>
      </c>
      <c r="J5">
        <v>0</v>
      </c>
      <c r="K5">
        <v>0</v>
      </c>
      <c r="L5">
        <v>0</v>
      </c>
      <c r="M5">
        <v>0</v>
      </c>
      <c r="N5">
        <v>0</v>
      </c>
      <c r="O5">
        <v>0</v>
      </c>
      <c r="P5">
        <v>0</v>
      </c>
      <c r="Q5">
        <v>20717828.145199999</v>
      </c>
      <c r="R5">
        <v>0</v>
      </c>
      <c r="S5">
        <v>0</v>
      </c>
      <c r="T5">
        <v>0</v>
      </c>
      <c r="U5">
        <v>0</v>
      </c>
      <c r="V5">
        <v>0</v>
      </c>
      <c r="W5">
        <v>0</v>
      </c>
      <c r="X5">
        <v>0</v>
      </c>
      <c r="Y5">
        <v>0</v>
      </c>
      <c r="Z5">
        <v>0</v>
      </c>
      <c r="AA5">
        <v>0</v>
      </c>
      <c r="AB5">
        <v>0</v>
      </c>
      <c r="AC5">
        <v>0</v>
      </c>
      <c r="AD5">
        <v>0</v>
      </c>
      <c r="AE5">
        <v>0</v>
      </c>
      <c r="AF5">
        <v>0</v>
      </c>
      <c r="AG5">
        <v>0</v>
      </c>
      <c r="AH5">
        <v>0</v>
      </c>
      <c r="AI5">
        <v>0</v>
      </c>
      <c r="AJ5">
        <v>0</v>
      </c>
      <c r="AK5">
        <v>15026.465399999999</v>
      </c>
      <c r="AL5">
        <v>0</v>
      </c>
      <c r="AM5">
        <v>0</v>
      </c>
      <c r="AN5">
        <v>0</v>
      </c>
      <c r="AO5">
        <v>0</v>
      </c>
      <c r="AP5">
        <v>0</v>
      </c>
      <c r="AQ5">
        <v>0</v>
      </c>
      <c r="AR5">
        <v>0</v>
      </c>
      <c r="AS5">
        <v>0</v>
      </c>
      <c r="AT5">
        <v>0</v>
      </c>
      <c r="AU5">
        <v>0</v>
      </c>
      <c r="AV5">
        <v>0</v>
      </c>
      <c r="AW5">
        <v>0</v>
      </c>
      <c r="AX5">
        <v>0</v>
      </c>
      <c r="AY5">
        <v>0</v>
      </c>
      <c r="AZ5">
        <v>0</v>
      </c>
      <c r="BA5">
        <v>0</v>
      </c>
      <c r="BB5">
        <v>0</v>
      </c>
      <c r="BC5">
        <v>0</v>
      </c>
      <c r="BD5">
        <v>0</v>
      </c>
      <c r="BE5">
        <v>0</v>
      </c>
      <c r="BF5">
        <v>22794430.865899999</v>
      </c>
      <c r="BG5">
        <v>0</v>
      </c>
      <c r="BH5">
        <v>0</v>
      </c>
      <c r="BI5">
        <v>0</v>
      </c>
      <c r="BJ5">
        <v>0</v>
      </c>
      <c r="BK5">
        <v>876645.06629999995</v>
      </c>
      <c r="BL5">
        <v>876645.06629999995</v>
      </c>
      <c r="BM5">
        <v>23671075.9322</v>
      </c>
      <c r="BN5">
        <v>0</v>
      </c>
      <c r="BO5">
        <v>0</v>
      </c>
      <c r="BP5">
        <v>23671075.9322</v>
      </c>
      <c r="BQ5">
        <v>23671075.9322</v>
      </c>
    </row>
    <row r="6" spans="1:69">
      <c r="A6" t="s">
        <v>6</v>
      </c>
      <c r="B6" t="s">
        <v>73</v>
      </c>
      <c r="C6">
        <v>0</v>
      </c>
      <c r="D6">
        <v>0</v>
      </c>
      <c r="E6">
        <v>0</v>
      </c>
      <c r="F6">
        <v>0</v>
      </c>
      <c r="G6">
        <v>313476.60080000001</v>
      </c>
      <c r="H6">
        <v>0</v>
      </c>
      <c r="I6">
        <v>0</v>
      </c>
      <c r="J6">
        <v>0</v>
      </c>
      <c r="K6">
        <v>0</v>
      </c>
      <c r="L6">
        <v>0</v>
      </c>
      <c r="M6">
        <v>0</v>
      </c>
      <c r="N6">
        <v>0</v>
      </c>
      <c r="O6">
        <v>0</v>
      </c>
      <c r="P6">
        <v>0</v>
      </c>
      <c r="Q6">
        <v>247988.1893</v>
      </c>
      <c r="R6">
        <v>0</v>
      </c>
      <c r="S6">
        <v>0</v>
      </c>
      <c r="T6">
        <v>21.748000000000001</v>
      </c>
      <c r="U6">
        <v>37.757899999999999</v>
      </c>
      <c r="V6">
        <v>0</v>
      </c>
      <c r="W6">
        <v>766241.01199999999</v>
      </c>
      <c r="X6">
        <v>3206.6985</v>
      </c>
      <c r="Y6">
        <v>12.986800000000001</v>
      </c>
      <c r="Z6">
        <v>0</v>
      </c>
      <c r="AA6">
        <v>0</v>
      </c>
      <c r="AB6">
        <v>3.6648999999999998</v>
      </c>
      <c r="AC6">
        <v>0</v>
      </c>
      <c r="AD6">
        <v>1969.0134</v>
      </c>
      <c r="AE6">
        <v>2189.6912000000002</v>
      </c>
      <c r="AF6">
        <v>0</v>
      </c>
      <c r="AG6">
        <v>0</v>
      </c>
      <c r="AH6">
        <v>0</v>
      </c>
      <c r="AI6">
        <v>263.63799999999998</v>
      </c>
      <c r="AJ6">
        <v>0</v>
      </c>
      <c r="AK6">
        <v>0</v>
      </c>
      <c r="AL6">
        <v>0</v>
      </c>
      <c r="AM6">
        <v>0</v>
      </c>
      <c r="AN6">
        <v>0</v>
      </c>
      <c r="AO6">
        <v>0</v>
      </c>
      <c r="AP6">
        <v>0</v>
      </c>
      <c r="AQ6">
        <v>0</v>
      </c>
      <c r="AR6">
        <v>87.121600000000001</v>
      </c>
      <c r="AS6">
        <v>164973.83420000001</v>
      </c>
      <c r="AT6">
        <v>0</v>
      </c>
      <c r="AU6">
        <v>0</v>
      </c>
      <c r="AV6">
        <v>0</v>
      </c>
      <c r="AW6">
        <v>0</v>
      </c>
      <c r="AX6">
        <v>0</v>
      </c>
      <c r="AY6">
        <v>0</v>
      </c>
      <c r="AZ6">
        <v>0</v>
      </c>
      <c r="BA6">
        <v>21.834800000000001</v>
      </c>
      <c r="BB6">
        <v>117.28449999999999</v>
      </c>
      <c r="BC6">
        <v>7811.2873</v>
      </c>
      <c r="BD6">
        <v>964.45159999999998</v>
      </c>
      <c r="BE6">
        <v>0</v>
      </c>
      <c r="BF6">
        <v>1509386.8148000001</v>
      </c>
      <c r="BG6">
        <v>172325.96230000001</v>
      </c>
      <c r="BH6">
        <v>0</v>
      </c>
      <c r="BI6">
        <v>1543475.4253</v>
      </c>
      <c r="BJ6">
        <v>80904.957299999995</v>
      </c>
      <c r="BK6">
        <v>1542357.3429</v>
      </c>
      <c r="BL6">
        <v>3339063.6878</v>
      </c>
      <c r="BM6">
        <v>4848450.5026000002</v>
      </c>
      <c r="BN6">
        <v>0</v>
      </c>
      <c r="BO6">
        <v>0</v>
      </c>
      <c r="BP6">
        <v>4848450.5026000002</v>
      </c>
      <c r="BQ6">
        <v>4848450.5026000002</v>
      </c>
    </row>
    <row r="7" spans="1:69">
      <c r="A7" t="s">
        <v>7</v>
      </c>
      <c r="B7" t="s">
        <v>74</v>
      </c>
      <c r="C7">
        <v>28631.704099999999</v>
      </c>
      <c r="D7">
        <v>61683.885199999997</v>
      </c>
      <c r="E7">
        <v>0</v>
      </c>
      <c r="F7">
        <v>1085.4154000000001</v>
      </c>
      <c r="G7">
        <v>327.87819999999999</v>
      </c>
      <c r="H7">
        <v>134988.79920000001</v>
      </c>
      <c r="I7">
        <v>6920.5817999999999</v>
      </c>
      <c r="J7">
        <v>813.23879999999997</v>
      </c>
      <c r="K7">
        <v>168.41069999999999</v>
      </c>
      <c r="L7">
        <v>0</v>
      </c>
      <c r="M7">
        <v>0</v>
      </c>
      <c r="N7">
        <v>0</v>
      </c>
      <c r="O7">
        <v>0</v>
      </c>
      <c r="P7">
        <v>0</v>
      </c>
      <c r="Q7">
        <v>5249641.0829999996</v>
      </c>
      <c r="R7">
        <v>0</v>
      </c>
      <c r="S7">
        <v>4803.2183000000005</v>
      </c>
      <c r="T7">
        <v>22.441199999999998</v>
      </c>
      <c r="U7">
        <v>0</v>
      </c>
      <c r="V7">
        <v>0</v>
      </c>
      <c r="W7">
        <v>433.51620000000003</v>
      </c>
      <c r="X7">
        <v>0</v>
      </c>
      <c r="Y7">
        <v>0</v>
      </c>
      <c r="Z7">
        <v>0</v>
      </c>
      <c r="AA7">
        <v>0</v>
      </c>
      <c r="AB7">
        <v>0</v>
      </c>
      <c r="AC7">
        <v>0</v>
      </c>
      <c r="AD7">
        <v>9.7999999999999997E-3</v>
      </c>
      <c r="AE7">
        <v>0</v>
      </c>
      <c r="AF7">
        <v>0</v>
      </c>
      <c r="AG7">
        <v>0</v>
      </c>
      <c r="AH7">
        <v>0</v>
      </c>
      <c r="AI7">
        <v>0</v>
      </c>
      <c r="AJ7">
        <v>0</v>
      </c>
      <c r="AK7">
        <v>0</v>
      </c>
      <c r="AL7">
        <v>0</v>
      </c>
      <c r="AM7">
        <v>0</v>
      </c>
      <c r="AN7">
        <v>0</v>
      </c>
      <c r="AO7">
        <v>0</v>
      </c>
      <c r="AP7">
        <v>0</v>
      </c>
      <c r="AQ7">
        <v>0</v>
      </c>
      <c r="AR7">
        <v>38344.743199999997</v>
      </c>
      <c r="AS7">
        <v>683315.58169999998</v>
      </c>
      <c r="AT7">
        <v>0</v>
      </c>
      <c r="AU7">
        <v>0</v>
      </c>
      <c r="AV7">
        <v>0</v>
      </c>
      <c r="AW7">
        <v>0</v>
      </c>
      <c r="AX7">
        <v>0</v>
      </c>
      <c r="AY7">
        <v>0</v>
      </c>
      <c r="AZ7">
        <v>0</v>
      </c>
      <c r="BA7">
        <v>47729.645600000003</v>
      </c>
      <c r="BB7">
        <v>13354.978999999999</v>
      </c>
      <c r="BC7">
        <v>41265.269399999997</v>
      </c>
      <c r="BD7">
        <v>32619.371200000001</v>
      </c>
      <c r="BE7">
        <v>0</v>
      </c>
      <c r="BF7">
        <v>6346149.7720999997</v>
      </c>
      <c r="BG7">
        <v>2947885.3037</v>
      </c>
      <c r="BH7">
        <v>0</v>
      </c>
      <c r="BI7">
        <v>3614047.6266999999</v>
      </c>
      <c r="BJ7">
        <v>198195.77849999999</v>
      </c>
      <c r="BK7">
        <v>32740.831300000002</v>
      </c>
      <c r="BL7">
        <v>6792869.5401999997</v>
      </c>
      <c r="BM7">
        <v>13139019.3124</v>
      </c>
      <c r="BN7">
        <v>0</v>
      </c>
      <c r="BO7">
        <v>0</v>
      </c>
      <c r="BP7">
        <v>13139019.3124</v>
      </c>
      <c r="BQ7">
        <v>13139019.3124</v>
      </c>
    </row>
    <row r="8" spans="1:69">
      <c r="A8" t="s">
        <v>8</v>
      </c>
      <c r="B8" t="s">
        <v>75</v>
      </c>
      <c r="C8">
        <v>197662.84289999999</v>
      </c>
      <c r="D8">
        <v>51424.309399999998</v>
      </c>
      <c r="E8">
        <v>0</v>
      </c>
      <c r="F8">
        <v>1041080.7928000001</v>
      </c>
      <c r="G8">
        <v>779061.32090000005</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7224.8617999999997</v>
      </c>
      <c r="BB8">
        <v>0</v>
      </c>
      <c r="BC8">
        <v>0</v>
      </c>
      <c r="BD8">
        <v>0</v>
      </c>
      <c r="BE8">
        <v>0</v>
      </c>
      <c r="BF8">
        <v>2076454.1277999999</v>
      </c>
      <c r="BG8">
        <v>4523.2212</v>
      </c>
      <c r="BH8">
        <v>0</v>
      </c>
      <c r="BI8">
        <v>0</v>
      </c>
      <c r="BJ8">
        <v>0</v>
      </c>
      <c r="BK8">
        <v>0</v>
      </c>
      <c r="BL8">
        <v>4523.2212</v>
      </c>
      <c r="BM8">
        <v>2080977.3489999999</v>
      </c>
      <c r="BN8">
        <v>0</v>
      </c>
      <c r="BO8">
        <v>0</v>
      </c>
      <c r="BP8">
        <v>2080977.3489999999</v>
      </c>
      <c r="BQ8">
        <v>2080977.3489999999</v>
      </c>
    </row>
    <row r="9" spans="1:69">
      <c r="A9" t="s">
        <v>9</v>
      </c>
      <c r="B9" t="s">
        <v>76</v>
      </c>
      <c r="C9">
        <v>1.0454000000000001</v>
      </c>
      <c r="D9">
        <v>620.02980000000002</v>
      </c>
      <c r="E9">
        <v>0</v>
      </c>
      <c r="F9">
        <v>19104.264899999998</v>
      </c>
      <c r="G9">
        <v>1560.9711</v>
      </c>
      <c r="H9">
        <v>6494.6021000000001</v>
      </c>
      <c r="I9">
        <v>2.0291000000000001</v>
      </c>
      <c r="J9">
        <v>119124.83869999999</v>
      </c>
      <c r="K9">
        <v>678.59010000000001</v>
      </c>
      <c r="L9">
        <v>0</v>
      </c>
      <c r="M9">
        <v>33769.314899999998</v>
      </c>
      <c r="N9">
        <v>0</v>
      </c>
      <c r="O9">
        <v>5412.3936999999996</v>
      </c>
      <c r="P9">
        <v>1432.2474999999999</v>
      </c>
      <c r="Q9">
        <v>80449.066800000001</v>
      </c>
      <c r="R9">
        <v>0</v>
      </c>
      <c r="S9">
        <v>3094.5963999999999</v>
      </c>
      <c r="T9">
        <v>2.9142999999999999</v>
      </c>
      <c r="U9">
        <v>571531.65480000002</v>
      </c>
      <c r="V9">
        <v>669693.81189999997</v>
      </c>
      <c r="W9">
        <v>35875.712399999997</v>
      </c>
      <c r="X9">
        <v>12354.974099999999</v>
      </c>
      <c r="Y9">
        <v>132.01650000000001</v>
      </c>
      <c r="Z9">
        <v>0.3821</v>
      </c>
      <c r="AA9">
        <v>66.456400000000002</v>
      </c>
      <c r="AB9">
        <v>0</v>
      </c>
      <c r="AC9">
        <v>254.70840000000001</v>
      </c>
      <c r="AD9">
        <v>3400.5183999999999</v>
      </c>
      <c r="AE9">
        <v>3163.0569999999998</v>
      </c>
      <c r="AF9">
        <v>0</v>
      </c>
      <c r="AG9">
        <v>0</v>
      </c>
      <c r="AH9">
        <v>0</v>
      </c>
      <c r="AI9">
        <v>3160108.9364999998</v>
      </c>
      <c r="AJ9">
        <v>3260.6437000000001</v>
      </c>
      <c r="AK9">
        <v>1492.2122999999999</v>
      </c>
      <c r="AL9">
        <v>0</v>
      </c>
      <c r="AM9">
        <v>0</v>
      </c>
      <c r="AN9">
        <v>0</v>
      </c>
      <c r="AO9">
        <v>0</v>
      </c>
      <c r="AP9">
        <v>0</v>
      </c>
      <c r="AQ9">
        <v>0</v>
      </c>
      <c r="AR9">
        <v>508.44420000000002</v>
      </c>
      <c r="AS9">
        <v>5270.0725000000002</v>
      </c>
      <c r="AT9">
        <v>0</v>
      </c>
      <c r="AU9">
        <v>0</v>
      </c>
      <c r="AV9">
        <v>0</v>
      </c>
      <c r="AW9">
        <v>0</v>
      </c>
      <c r="AX9">
        <v>0</v>
      </c>
      <c r="AY9">
        <v>0</v>
      </c>
      <c r="AZ9">
        <v>0</v>
      </c>
      <c r="BA9">
        <v>76.531499999999994</v>
      </c>
      <c r="BB9">
        <v>0</v>
      </c>
      <c r="BC9">
        <v>0</v>
      </c>
      <c r="BD9">
        <v>781.38170000000002</v>
      </c>
      <c r="BE9">
        <v>0</v>
      </c>
      <c r="BF9">
        <v>4739718.4194999998</v>
      </c>
      <c r="BG9">
        <v>13484.3685</v>
      </c>
      <c r="BH9">
        <v>0</v>
      </c>
      <c r="BI9">
        <v>0</v>
      </c>
      <c r="BJ9">
        <v>-109.3009</v>
      </c>
      <c r="BK9">
        <v>4739674.5154999997</v>
      </c>
      <c r="BL9">
        <v>4753049.5831000004</v>
      </c>
      <c r="BM9">
        <v>9492768.0025999993</v>
      </c>
      <c r="BN9">
        <v>0</v>
      </c>
      <c r="BO9">
        <v>0</v>
      </c>
      <c r="BP9">
        <v>9492768.0025999993</v>
      </c>
      <c r="BQ9">
        <v>9492768.0025999993</v>
      </c>
    </row>
    <row r="10" spans="1:69">
      <c r="A10" t="s">
        <v>10</v>
      </c>
      <c r="B10" t="s">
        <v>77</v>
      </c>
      <c r="C10">
        <v>0</v>
      </c>
      <c r="D10">
        <v>0</v>
      </c>
      <c r="E10">
        <v>0</v>
      </c>
      <c r="F10">
        <v>0</v>
      </c>
      <c r="G10">
        <v>0</v>
      </c>
      <c r="H10">
        <v>0</v>
      </c>
      <c r="I10">
        <v>0</v>
      </c>
      <c r="J10">
        <v>0</v>
      </c>
      <c r="K10">
        <v>272957.95419999998</v>
      </c>
      <c r="L10">
        <v>0</v>
      </c>
      <c r="M10">
        <v>0</v>
      </c>
      <c r="N10">
        <v>0</v>
      </c>
      <c r="O10">
        <v>0</v>
      </c>
      <c r="P10">
        <v>0</v>
      </c>
      <c r="Q10">
        <v>5756748.8912000004</v>
      </c>
      <c r="R10">
        <v>0</v>
      </c>
      <c r="S10">
        <v>0</v>
      </c>
      <c r="T10">
        <v>0</v>
      </c>
      <c r="U10">
        <v>0</v>
      </c>
      <c r="V10">
        <v>0</v>
      </c>
      <c r="W10">
        <v>2458.4178999999999</v>
      </c>
      <c r="X10">
        <v>0</v>
      </c>
      <c r="Y10">
        <v>0</v>
      </c>
      <c r="Z10">
        <v>0</v>
      </c>
      <c r="AA10">
        <v>0</v>
      </c>
      <c r="AB10">
        <v>0</v>
      </c>
      <c r="AC10">
        <v>0</v>
      </c>
      <c r="AD10">
        <v>11.8705</v>
      </c>
      <c r="AE10">
        <v>2265.0765000000001</v>
      </c>
      <c r="AF10">
        <v>0</v>
      </c>
      <c r="AG10">
        <v>0</v>
      </c>
      <c r="AH10">
        <v>0</v>
      </c>
      <c r="AI10">
        <v>0</v>
      </c>
      <c r="AJ10">
        <v>0</v>
      </c>
      <c r="AK10">
        <v>0</v>
      </c>
      <c r="AL10">
        <v>0</v>
      </c>
      <c r="AM10">
        <v>0</v>
      </c>
      <c r="AN10">
        <v>0</v>
      </c>
      <c r="AO10">
        <v>0</v>
      </c>
      <c r="AP10">
        <v>0</v>
      </c>
      <c r="AQ10">
        <v>0</v>
      </c>
      <c r="AR10">
        <v>39374.6711</v>
      </c>
      <c r="AS10">
        <v>1575254.3807000001</v>
      </c>
      <c r="AT10">
        <v>0</v>
      </c>
      <c r="AU10">
        <v>0</v>
      </c>
      <c r="AV10">
        <v>0</v>
      </c>
      <c r="AW10">
        <v>0</v>
      </c>
      <c r="AX10">
        <v>0</v>
      </c>
      <c r="AY10">
        <v>0</v>
      </c>
      <c r="AZ10">
        <v>0</v>
      </c>
      <c r="BA10">
        <v>7571.2064</v>
      </c>
      <c r="BB10">
        <v>34918.310599999997</v>
      </c>
      <c r="BC10">
        <v>28159.1823</v>
      </c>
      <c r="BD10">
        <v>86265.892200000002</v>
      </c>
      <c r="BE10">
        <v>0</v>
      </c>
      <c r="BF10">
        <v>7805985.8536999999</v>
      </c>
      <c r="BG10">
        <v>9869527.7271999996</v>
      </c>
      <c r="BH10">
        <v>0</v>
      </c>
      <c r="BI10">
        <v>187528.0172</v>
      </c>
      <c r="BJ10">
        <v>-9.4E-2</v>
      </c>
      <c r="BK10">
        <v>31153.629300000001</v>
      </c>
      <c r="BL10">
        <v>10088209.2797</v>
      </c>
      <c r="BM10">
        <v>17894195.133299999</v>
      </c>
      <c r="BN10">
        <v>0</v>
      </c>
      <c r="BO10">
        <v>0</v>
      </c>
      <c r="BP10">
        <v>17894195.133299999</v>
      </c>
      <c r="BQ10">
        <v>17894195.133299999</v>
      </c>
    </row>
    <row r="11" spans="1:69">
      <c r="A11" t="s">
        <v>11</v>
      </c>
      <c r="B11" t="s">
        <v>78</v>
      </c>
      <c r="C11">
        <v>1238.2717</v>
      </c>
      <c r="D11">
        <v>669.79700000000003</v>
      </c>
      <c r="E11">
        <v>0</v>
      </c>
      <c r="F11">
        <v>0</v>
      </c>
      <c r="G11">
        <v>72.270899999999997</v>
      </c>
      <c r="H11">
        <v>7477.4958999999999</v>
      </c>
      <c r="I11">
        <v>27.472899999999999</v>
      </c>
      <c r="J11">
        <v>1536.4911</v>
      </c>
      <c r="K11">
        <v>912.53210000000001</v>
      </c>
      <c r="L11">
        <v>4356637.4733999996</v>
      </c>
      <c r="M11">
        <v>216440.03810000001</v>
      </c>
      <c r="N11">
        <v>0</v>
      </c>
      <c r="O11">
        <v>8436.8919000000005</v>
      </c>
      <c r="P11">
        <v>6614663.3479000004</v>
      </c>
      <c r="Q11">
        <v>4760.7047000000002</v>
      </c>
      <c r="R11">
        <v>0</v>
      </c>
      <c r="S11">
        <v>101.04689999999999</v>
      </c>
      <c r="T11">
        <v>0.57410000000000005</v>
      </c>
      <c r="U11">
        <v>237.40629999999999</v>
      </c>
      <c r="V11">
        <v>3531.2750000000001</v>
      </c>
      <c r="W11">
        <v>3654922.7700999998</v>
      </c>
      <c r="X11">
        <v>1306298.8337999999</v>
      </c>
      <c r="Y11">
        <v>64002.905500000001</v>
      </c>
      <c r="Z11">
        <v>16962.1096</v>
      </c>
      <c r="AA11">
        <v>17568.854500000001</v>
      </c>
      <c r="AB11">
        <v>1.8883000000000001</v>
      </c>
      <c r="AC11">
        <v>316.27370000000002</v>
      </c>
      <c r="AD11">
        <v>87.316900000000004</v>
      </c>
      <c r="AE11">
        <v>114.5579</v>
      </c>
      <c r="AF11">
        <v>2666792.4076999999</v>
      </c>
      <c r="AG11">
        <v>32655.649600000001</v>
      </c>
      <c r="AH11">
        <v>155.08000000000001</v>
      </c>
      <c r="AI11">
        <v>87357.548599999995</v>
      </c>
      <c r="AJ11">
        <v>5568.7390999999998</v>
      </c>
      <c r="AK11">
        <v>51067.167800000003</v>
      </c>
      <c r="AL11">
        <v>1037.5159000000001</v>
      </c>
      <c r="AM11">
        <v>5153.9197000000004</v>
      </c>
      <c r="AN11">
        <v>1084.0427999999999</v>
      </c>
      <c r="AO11">
        <v>627.97860000000003</v>
      </c>
      <c r="AP11">
        <v>8840.5841</v>
      </c>
      <c r="AQ11">
        <v>1213.7711999999999</v>
      </c>
      <c r="AR11">
        <v>308.32279999999997</v>
      </c>
      <c r="AS11">
        <v>1066.2199000000001</v>
      </c>
      <c r="AT11">
        <v>18496.963299999999</v>
      </c>
      <c r="AU11">
        <v>7906.0311000000002</v>
      </c>
      <c r="AV11">
        <v>3386.5207</v>
      </c>
      <c r="AW11">
        <v>1091.3541</v>
      </c>
      <c r="AX11">
        <v>5.7930000000000001</v>
      </c>
      <c r="AY11">
        <v>5216.3838999999998</v>
      </c>
      <c r="AZ11">
        <v>745.20939999999996</v>
      </c>
      <c r="BA11">
        <v>16849.0854</v>
      </c>
      <c r="BB11">
        <v>7473.6030000000001</v>
      </c>
      <c r="BC11">
        <v>569.80589999999995</v>
      </c>
      <c r="BD11">
        <v>814.13469999999995</v>
      </c>
      <c r="BE11">
        <v>0</v>
      </c>
      <c r="BF11">
        <v>19202502.432100002</v>
      </c>
      <c r="BG11">
        <v>15281.711799999999</v>
      </c>
      <c r="BH11">
        <v>0</v>
      </c>
      <c r="BI11">
        <v>3897.2928000000002</v>
      </c>
      <c r="BJ11">
        <v>-942234.478</v>
      </c>
      <c r="BK11">
        <v>23199489.2128</v>
      </c>
      <c r="BL11">
        <v>22276433.739500001</v>
      </c>
      <c r="BM11">
        <v>41478936.171599999</v>
      </c>
      <c r="BN11">
        <v>0</v>
      </c>
      <c r="BO11">
        <v>0</v>
      </c>
      <c r="BP11">
        <v>41478936.171599999</v>
      </c>
      <c r="BQ11">
        <v>41478936.171599999</v>
      </c>
    </row>
    <row r="12" spans="1:69">
      <c r="A12" t="s">
        <v>12</v>
      </c>
      <c r="B12" t="s">
        <v>79</v>
      </c>
      <c r="C12">
        <v>1609.376</v>
      </c>
      <c r="D12">
        <v>887.8596</v>
      </c>
      <c r="E12">
        <v>0</v>
      </c>
      <c r="F12">
        <v>0</v>
      </c>
      <c r="G12">
        <v>80.637100000000004</v>
      </c>
      <c r="H12">
        <v>9695.4982999999993</v>
      </c>
      <c r="I12">
        <v>39.325400000000002</v>
      </c>
      <c r="J12">
        <v>2028.0537999999999</v>
      </c>
      <c r="K12">
        <v>1255.8833999999999</v>
      </c>
      <c r="L12">
        <v>15102.4535</v>
      </c>
      <c r="M12">
        <v>14561915.955499999</v>
      </c>
      <c r="N12">
        <v>0</v>
      </c>
      <c r="O12">
        <v>6415.7516999999998</v>
      </c>
      <c r="P12">
        <v>255683.6839</v>
      </c>
      <c r="Q12">
        <v>6231.8757999999998</v>
      </c>
      <c r="R12">
        <v>0</v>
      </c>
      <c r="S12">
        <v>224.7533</v>
      </c>
      <c r="T12">
        <v>0.91949999999999998</v>
      </c>
      <c r="U12">
        <v>383.95080000000002</v>
      </c>
      <c r="V12">
        <v>7106.0712999999996</v>
      </c>
      <c r="W12">
        <v>27630.009399999999</v>
      </c>
      <c r="X12">
        <v>4230.9165000000003</v>
      </c>
      <c r="Y12">
        <v>925465.68929999997</v>
      </c>
      <c r="Z12">
        <v>5700.0271000000002</v>
      </c>
      <c r="AA12">
        <v>43342.460500000001</v>
      </c>
      <c r="AB12">
        <v>3.4342000000000001</v>
      </c>
      <c r="AC12">
        <v>429.20209999999997</v>
      </c>
      <c r="AD12">
        <v>116.74209999999999</v>
      </c>
      <c r="AE12">
        <v>152.51140000000001</v>
      </c>
      <c r="AF12">
        <v>1150651.8759999999</v>
      </c>
      <c r="AG12">
        <v>8927.3942000000006</v>
      </c>
      <c r="AH12">
        <v>400.18639999999999</v>
      </c>
      <c r="AI12">
        <v>58534.2981</v>
      </c>
      <c r="AJ12">
        <v>7777.3424000000005</v>
      </c>
      <c r="AK12">
        <v>70028.320900000006</v>
      </c>
      <c r="AL12">
        <v>2380.2239</v>
      </c>
      <c r="AM12">
        <v>6690.3734999999997</v>
      </c>
      <c r="AN12">
        <v>1407.5425</v>
      </c>
      <c r="AO12">
        <v>867.24040000000002</v>
      </c>
      <c r="AP12">
        <v>11418.0404</v>
      </c>
      <c r="AQ12">
        <v>1677.8530000000001</v>
      </c>
      <c r="AR12">
        <v>465.7081</v>
      </c>
      <c r="AS12">
        <v>1595.1114</v>
      </c>
      <c r="AT12">
        <v>24741.4244</v>
      </c>
      <c r="AU12">
        <v>10277.877500000001</v>
      </c>
      <c r="AV12">
        <v>4439.2484999999997</v>
      </c>
      <c r="AW12">
        <v>1444.4519</v>
      </c>
      <c r="AX12">
        <v>7.6784999999999997</v>
      </c>
      <c r="AY12">
        <v>6890.1819999999998</v>
      </c>
      <c r="AZ12">
        <v>990.88329999999996</v>
      </c>
      <c r="BA12">
        <v>23356.3534</v>
      </c>
      <c r="BB12">
        <v>10256.791300000001</v>
      </c>
      <c r="BC12">
        <v>1079.479</v>
      </c>
      <c r="BD12">
        <v>1435.2207000000001</v>
      </c>
      <c r="BE12">
        <v>0</v>
      </c>
      <c r="BF12">
        <v>17283474.143199999</v>
      </c>
      <c r="BG12">
        <v>68041.654299999995</v>
      </c>
      <c r="BH12">
        <v>0</v>
      </c>
      <c r="BI12">
        <v>7284.0225</v>
      </c>
      <c r="BJ12">
        <v>360.3494</v>
      </c>
      <c r="BK12">
        <v>90059557.717700005</v>
      </c>
      <c r="BL12">
        <v>90135243.743900001</v>
      </c>
      <c r="BM12">
        <v>107418717.8871</v>
      </c>
      <c r="BN12">
        <v>0</v>
      </c>
      <c r="BO12">
        <v>0</v>
      </c>
      <c r="BP12">
        <v>107418717.8871</v>
      </c>
      <c r="BQ12">
        <v>107418717.8871</v>
      </c>
    </row>
    <row r="13" spans="1:69">
      <c r="A13" t="s">
        <v>13</v>
      </c>
      <c r="B13" t="s">
        <v>80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row>
    <row r="14" spans="1:69">
      <c r="A14" t="s">
        <v>14</v>
      </c>
      <c r="B14" t="s">
        <v>81</v>
      </c>
      <c r="C14">
        <v>360.8562</v>
      </c>
      <c r="D14">
        <v>159.7603</v>
      </c>
      <c r="E14">
        <v>0</v>
      </c>
      <c r="F14">
        <v>0</v>
      </c>
      <c r="G14">
        <v>70.675399999999996</v>
      </c>
      <c r="H14">
        <v>1458.6068</v>
      </c>
      <c r="I14">
        <v>5.9931000000000001</v>
      </c>
      <c r="J14">
        <v>380.35759999999999</v>
      </c>
      <c r="K14">
        <v>189.708</v>
      </c>
      <c r="L14">
        <v>380268.49489999999</v>
      </c>
      <c r="M14">
        <v>10404147.074899999</v>
      </c>
      <c r="N14">
        <v>0</v>
      </c>
      <c r="O14">
        <v>667255.88989999995</v>
      </c>
      <c r="P14">
        <v>1042.0417</v>
      </c>
      <c r="Q14">
        <v>177338.57889999999</v>
      </c>
      <c r="R14">
        <v>0</v>
      </c>
      <c r="S14">
        <v>19.357099999999999</v>
      </c>
      <c r="T14">
        <v>1.2859</v>
      </c>
      <c r="U14">
        <v>122.6122</v>
      </c>
      <c r="V14">
        <v>680.12090000000001</v>
      </c>
      <c r="W14">
        <v>616010.58019999997</v>
      </c>
      <c r="X14">
        <v>18784.902300000002</v>
      </c>
      <c r="Y14">
        <v>244095.80859999999</v>
      </c>
      <c r="Z14">
        <v>146.87970000000001</v>
      </c>
      <c r="AA14">
        <v>1831.7573</v>
      </c>
      <c r="AB14">
        <v>1.9574</v>
      </c>
      <c r="AC14">
        <v>194.50530000000001</v>
      </c>
      <c r="AD14">
        <v>1172.2147</v>
      </c>
      <c r="AE14">
        <v>6568.9539000000004</v>
      </c>
      <c r="AF14">
        <v>8534.7502000000004</v>
      </c>
      <c r="AG14">
        <v>2.8187000000000002</v>
      </c>
      <c r="AH14">
        <v>35.894300000000001</v>
      </c>
      <c r="AI14">
        <v>8404859.6654000003</v>
      </c>
      <c r="AJ14">
        <v>1100.4534000000001</v>
      </c>
      <c r="AK14">
        <v>10449.343500000001</v>
      </c>
      <c r="AL14">
        <v>249.56299999999999</v>
      </c>
      <c r="AM14">
        <v>976.77319999999997</v>
      </c>
      <c r="AN14">
        <v>214.32650000000001</v>
      </c>
      <c r="AO14">
        <v>124.7097</v>
      </c>
      <c r="AP14">
        <v>1675.538</v>
      </c>
      <c r="AQ14">
        <v>279.13459999999998</v>
      </c>
      <c r="AR14">
        <v>62.242400000000004</v>
      </c>
      <c r="AS14">
        <v>208.9178</v>
      </c>
      <c r="AT14">
        <v>3633.8739</v>
      </c>
      <c r="AU14">
        <v>1521.787</v>
      </c>
      <c r="AV14">
        <v>648.94529999999997</v>
      </c>
      <c r="AW14">
        <v>208.62819999999999</v>
      </c>
      <c r="AX14">
        <v>1.1165</v>
      </c>
      <c r="AY14">
        <v>1416.9903999999999</v>
      </c>
      <c r="AZ14">
        <v>142.9683</v>
      </c>
      <c r="BA14">
        <v>3590.1448999999998</v>
      </c>
      <c r="BB14">
        <v>1449.3511000000001</v>
      </c>
      <c r="BC14">
        <v>112.72539999999999</v>
      </c>
      <c r="BD14">
        <v>162.9144</v>
      </c>
      <c r="BE14">
        <v>0</v>
      </c>
      <c r="BF14">
        <v>20963972.5495</v>
      </c>
      <c r="BG14">
        <v>54146.789400000001</v>
      </c>
      <c r="BH14">
        <v>0</v>
      </c>
      <c r="BI14">
        <v>272877.43599999999</v>
      </c>
      <c r="BJ14">
        <v>1451.3202000000001</v>
      </c>
      <c r="BK14">
        <v>22426308.344300002</v>
      </c>
      <c r="BL14">
        <v>22754783.889899999</v>
      </c>
      <c r="BM14">
        <v>43718756.439400002</v>
      </c>
      <c r="BN14">
        <v>0</v>
      </c>
      <c r="BO14">
        <v>0</v>
      </c>
      <c r="BP14">
        <v>43718756.439400002</v>
      </c>
      <c r="BQ14">
        <v>43718756.439400002</v>
      </c>
    </row>
    <row r="15" spans="1:69">
      <c r="A15" t="s">
        <v>15</v>
      </c>
      <c r="B15" t="s">
        <v>82</v>
      </c>
      <c r="C15">
        <v>13011.0159</v>
      </c>
      <c r="D15">
        <v>14614.407300000001</v>
      </c>
      <c r="E15">
        <v>0</v>
      </c>
      <c r="F15">
        <v>0</v>
      </c>
      <c r="G15">
        <v>1417.0359000000001</v>
      </c>
      <c r="H15">
        <v>939395.98340000003</v>
      </c>
      <c r="I15">
        <v>994.78300000000002</v>
      </c>
      <c r="J15">
        <v>129319.14479999999</v>
      </c>
      <c r="K15">
        <v>275077.95740000001</v>
      </c>
      <c r="L15">
        <v>86679.044500000004</v>
      </c>
      <c r="M15">
        <v>2971054.6852000002</v>
      </c>
      <c r="N15">
        <v>0</v>
      </c>
      <c r="O15">
        <v>1451393.5482000001</v>
      </c>
      <c r="P15">
        <v>117704.5687</v>
      </c>
      <c r="Q15">
        <v>257561.1286</v>
      </c>
      <c r="R15">
        <v>0</v>
      </c>
      <c r="S15">
        <v>14820.735199999999</v>
      </c>
      <c r="T15">
        <v>50.206200000000003</v>
      </c>
      <c r="U15">
        <v>27085.625100000001</v>
      </c>
      <c r="V15">
        <v>499123.94939999998</v>
      </c>
      <c r="W15">
        <v>278410.15649999998</v>
      </c>
      <c r="X15">
        <v>194572.27789999999</v>
      </c>
      <c r="Y15">
        <v>48746.255899999996</v>
      </c>
      <c r="Z15">
        <v>2689.4906000000001</v>
      </c>
      <c r="AA15">
        <v>7698.8211000000001</v>
      </c>
      <c r="AB15">
        <v>40.030299999999997</v>
      </c>
      <c r="AC15">
        <v>11199.2485</v>
      </c>
      <c r="AD15">
        <v>3036.7420999999999</v>
      </c>
      <c r="AE15">
        <v>8805.4999000000007</v>
      </c>
      <c r="AF15">
        <v>20649.460299999999</v>
      </c>
      <c r="AG15">
        <v>4318.1692000000003</v>
      </c>
      <c r="AH15">
        <v>4178.5751</v>
      </c>
      <c r="AI15">
        <v>6805167.9692000002</v>
      </c>
      <c r="AJ15">
        <v>386532.75300000003</v>
      </c>
      <c r="AK15">
        <v>6396859.1794999996</v>
      </c>
      <c r="AL15">
        <v>318281.80849999998</v>
      </c>
      <c r="AM15">
        <v>2955506.3639000002</v>
      </c>
      <c r="AN15">
        <v>347114.80810000002</v>
      </c>
      <c r="AO15">
        <v>241243.0287</v>
      </c>
      <c r="AP15">
        <v>2174532.1109000002</v>
      </c>
      <c r="AQ15">
        <v>31362.4545</v>
      </c>
      <c r="AR15">
        <v>5558.8710000000001</v>
      </c>
      <c r="AS15">
        <v>62476.233899999999</v>
      </c>
      <c r="AT15">
        <v>64794.065000000002</v>
      </c>
      <c r="AU15">
        <v>4404.3281999999999</v>
      </c>
      <c r="AV15">
        <v>2977.3726000000001</v>
      </c>
      <c r="AW15">
        <v>38.387500000000003</v>
      </c>
      <c r="AX15">
        <v>21.763999999999999</v>
      </c>
      <c r="AY15">
        <v>77178.405499999993</v>
      </c>
      <c r="AZ15">
        <v>35936.277699999999</v>
      </c>
      <c r="BA15">
        <v>31172.440200000001</v>
      </c>
      <c r="BB15">
        <v>53718.102200000001</v>
      </c>
      <c r="BC15">
        <v>49094.978300000002</v>
      </c>
      <c r="BD15">
        <v>121352.1479</v>
      </c>
      <c r="BE15">
        <v>0</v>
      </c>
      <c r="BF15">
        <v>27548972.396000002</v>
      </c>
      <c r="BG15">
        <v>2407676.4167999998</v>
      </c>
      <c r="BH15">
        <v>0</v>
      </c>
      <c r="BI15">
        <v>0</v>
      </c>
      <c r="BJ15">
        <v>276611.21010000003</v>
      </c>
      <c r="BK15">
        <v>1520373.9182</v>
      </c>
      <c r="BL15">
        <v>4204661.5450999998</v>
      </c>
      <c r="BM15">
        <v>31753633.941199999</v>
      </c>
      <c r="BN15">
        <v>0</v>
      </c>
      <c r="BO15">
        <v>0</v>
      </c>
      <c r="BP15">
        <v>31753633.941199999</v>
      </c>
      <c r="BQ15">
        <v>31753633.941199999</v>
      </c>
    </row>
    <row r="16" spans="1:69">
      <c r="A16" t="s">
        <v>16</v>
      </c>
      <c r="B16" t="s">
        <v>83</v>
      </c>
      <c r="C16">
        <v>368.24220000000003</v>
      </c>
      <c r="D16">
        <v>308.6413</v>
      </c>
      <c r="E16">
        <v>240784.52540000001</v>
      </c>
      <c r="F16">
        <v>662172.57059999998</v>
      </c>
      <c r="G16">
        <v>31138.149700000002</v>
      </c>
      <c r="H16">
        <v>453910.18359999999</v>
      </c>
      <c r="I16">
        <v>465058.21850000002</v>
      </c>
      <c r="J16">
        <v>1300.3688</v>
      </c>
      <c r="K16">
        <v>562262.42500000005</v>
      </c>
      <c r="L16">
        <v>35451.951300000001</v>
      </c>
      <c r="M16">
        <v>211992.55609999999</v>
      </c>
      <c r="N16">
        <v>0</v>
      </c>
      <c r="O16">
        <v>1372.5730000000001</v>
      </c>
      <c r="P16">
        <v>10958.3838</v>
      </c>
      <c r="Q16">
        <v>32080692.607700001</v>
      </c>
      <c r="R16">
        <v>5.8500000000000003E-2</v>
      </c>
      <c r="S16">
        <v>9935.6038000000008</v>
      </c>
      <c r="T16">
        <v>313.78609999999998</v>
      </c>
      <c r="U16">
        <v>12129.8354</v>
      </c>
      <c r="V16">
        <v>54081.446499999998</v>
      </c>
      <c r="W16">
        <v>482018.23389999999</v>
      </c>
      <c r="X16">
        <v>17686.732400000001</v>
      </c>
      <c r="Y16">
        <v>3360.8814000000002</v>
      </c>
      <c r="Z16">
        <v>328.1037</v>
      </c>
      <c r="AA16">
        <v>2093.1381000000001</v>
      </c>
      <c r="AB16">
        <v>37.183900000000001</v>
      </c>
      <c r="AC16">
        <v>2762.4521</v>
      </c>
      <c r="AD16">
        <v>1501.2157</v>
      </c>
      <c r="AE16">
        <v>2088.2548999999999</v>
      </c>
      <c r="AF16">
        <v>2411.1388999999999</v>
      </c>
      <c r="AG16">
        <v>280.62580000000003</v>
      </c>
      <c r="AH16">
        <v>6295.7768999999998</v>
      </c>
      <c r="AI16">
        <v>116700.22470000001</v>
      </c>
      <c r="AJ16">
        <v>17531.675299999999</v>
      </c>
      <c r="AK16">
        <v>189384.76980000001</v>
      </c>
      <c r="AL16">
        <v>10506.9256</v>
      </c>
      <c r="AM16">
        <v>1072.385</v>
      </c>
      <c r="AN16">
        <v>101714.1859</v>
      </c>
      <c r="AO16">
        <v>24864.516800000001</v>
      </c>
      <c r="AP16">
        <v>220286.6378</v>
      </c>
      <c r="AQ16">
        <v>10570.1394</v>
      </c>
      <c r="AR16">
        <v>454122.85460000002</v>
      </c>
      <c r="AS16">
        <v>8953330.0077</v>
      </c>
      <c r="AT16">
        <v>26974.256099999999</v>
      </c>
      <c r="AU16">
        <v>33781.828999999998</v>
      </c>
      <c r="AV16">
        <v>39065.918400000002</v>
      </c>
      <c r="AW16">
        <v>2158.4994999999999</v>
      </c>
      <c r="AX16">
        <v>42.530700000000003</v>
      </c>
      <c r="AY16">
        <v>18460.5085</v>
      </c>
      <c r="AZ16">
        <v>4031.3514</v>
      </c>
      <c r="BA16">
        <v>734055.00459999999</v>
      </c>
      <c r="BB16">
        <v>742338.04740000004</v>
      </c>
      <c r="BC16">
        <v>822693.21219999995</v>
      </c>
      <c r="BD16">
        <v>209068.93530000001</v>
      </c>
      <c r="BE16">
        <v>0</v>
      </c>
      <c r="BF16">
        <v>48087850.2808</v>
      </c>
      <c r="BG16">
        <v>89427004.109500006</v>
      </c>
      <c r="BH16">
        <v>1040496.1108</v>
      </c>
      <c r="BI16">
        <v>12103.788399999999</v>
      </c>
      <c r="BJ16">
        <v>-1737523.8322000001</v>
      </c>
      <c r="BK16">
        <v>38320140.838399999</v>
      </c>
      <c r="BL16">
        <v>127062221.015</v>
      </c>
      <c r="BM16">
        <v>175150071.2958</v>
      </c>
      <c r="BN16">
        <v>0</v>
      </c>
      <c r="BO16">
        <v>0</v>
      </c>
      <c r="BP16">
        <v>175150071.2958</v>
      </c>
      <c r="BQ16">
        <v>175150071.2958</v>
      </c>
    </row>
    <row r="17" spans="1:69">
      <c r="A17" t="s">
        <v>17</v>
      </c>
      <c r="B17" t="s">
        <v>84</v>
      </c>
      <c r="C17">
        <v>1.6155999999999999</v>
      </c>
      <c r="D17">
        <v>0.87250000000000005</v>
      </c>
      <c r="E17">
        <v>0</v>
      </c>
      <c r="F17">
        <v>0</v>
      </c>
      <c r="G17">
        <v>7.0190000000000001</v>
      </c>
      <c r="H17">
        <v>9.7297999999999991</v>
      </c>
      <c r="I17">
        <v>3.5499999999999997E-2</v>
      </c>
      <c r="J17">
        <v>2.0024999999999999</v>
      </c>
      <c r="K17">
        <v>137.1405</v>
      </c>
      <c r="L17">
        <v>12.900700000000001</v>
      </c>
      <c r="M17">
        <v>211.41309999999999</v>
      </c>
      <c r="N17">
        <v>0</v>
      </c>
      <c r="O17">
        <v>6.4743000000000004</v>
      </c>
      <c r="P17">
        <v>1.7330000000000001</v>
      </c>
      <c r="Q17">
        <v>4.9989999999999997</v>
      </c>
      <c r="R17">
        <v>1.6442000000000001</v>
      </c>
      <c r="S17">
        <v>0.13569999999999999</v>
      </c>
      <c r="T17">
        <v>0</v>
      </c>
      <c r="U17">
        <v>0.3115</v>
      </c>
      <c r="V17">
        <v>4.5949999999999998</v>
      </c>
      <c r="W17">
        <v>1.3223</v>
      </c>
      <c r="X17">
        <v>2.976</v>
      </c>
      <c r="Y17">
        <v>0.56230000000000002</v>
      </c>
      <c r="Z17">
        <v>1.7600000000000001E-2</v>
      </c>
      <c r="AA17">
        <v>0.2266</v>
      </c>
      <c r="AB17">
        <v>0</v>
      </c>
      <c r="AC17">
        <v>0.40849999999999997</v>
      </c>
      <c r="AD17">
        <v>0.1081</v>
      </c>
      <c r="AE17">
        <v>0.10349999999999999</v>
      </c>
      <c r="AF17">
        <v>3.7221000000000002</v>
      </c>
      <c r="AG17">
        <v>1.5699999999999999E-2</v>
      </c>
      <c r="AH17">
        <v>0.20280000000000001</v>
      </c>
      <c r="AI17">
        <v>56.864100000000001</v>
      </c>
      <c r="AJ17">
        <v>7.2450999999999999</v>
      </c>
      <c r="AK17">
        <v>66.424499999999995</v>
      </c>
      <c r="AL17">
        <v>1.3409</v>
      </c>
      <c r="AM17">
        <v>6.7073999999999998</v>
      </c>
      <c r="AN17">
        <v>1.4118999999999999</v>
      </c>
      <c r="AO17">
        <v>0.81679999999999997</v>
      </c>
      <c r="AP17">
        <v>11.4933</v>
      </c>
      <c r="AQ17">
        <v>1.5765</v>
      </c>
      <c r="AR17">
        <v>0.4037</v>
      </c>
      <c r="AS17">
        <v>1.3894</v>
      </c>
      <c r="AT17">
        <v>24.059100000000001</v>
      </c>
      <c r="AU17">
        <v>10.281000000000001</v>
      </c>
      <c r="AV17">
        <v>4.4017999999999997</v>
      </c>
      <c r="AW17">
        <v>1.4191</v>
      </c>
      <c r="AX17">
        <v>1.03E-2</v>
      </c>
      <c r="AY17">
        <v>6.7884000000000002</v>
      </c>
      <c r="AZ17">
        <v>0.96850000000000003</v>
      </c>
      <c r="BA17">
        <v>21.918199999999999</v>
      </c>
      <c r="BB17">
        <v>9.7250999999999994</v>
      </c>
      <c r="BC17">
        <v>0.73699999999999999</v>
      </c>
      <c r="BD17">
        <v>1.4676</v>
      </c>
      <c r="BE17">
        <v>0</v>
      </c>
      <c r="BF17">
        <v>649.73720000000003</v>
      </c>
      <c r="BG17">
        <v>1170.7476999999999</v>
      </c>
      <c r="BH17">
        <v>0</v>
      </c>
      <c r="BI17">
        <v>3.4097</v>
      </c>
      <c r="BJ17">
        <v>-0.33090000000000003</v>
      </c>
      <c r="BK17">
        <v>0</v>
      </c>
      <c r="BL17">
        <v>1173.8264999999999</v>
      </c>
      <c r="BM17">
        <v>1823.5636999999999</v>
      </c>
      <c r="BN17">
        <v>0</v>
      </c>
      <c r="BO17">
        <v>0</v>
      </c>
      <c r="BP17">
        <v>1823.5636999999999</v>
      </c>
      <c r="BQ17">
        <v>1823.5636999999999</v>
      </c>
    </row>
    <row r="18" spans="1:69">
      <c r="A18" t="s">
        <v>18</v>
      </c>
      <c r="B18" t="s">
        <v>85</v>
      </c>
      <c r="C18">
        <v>1834.211</v>
      </c>
      <c r="D18">
        <v>3849.7431999999999</v>
      </c>
      <c r="E18">
        <v>97729.303899999999</v>
      </c>
      <c r="F18">
        <v>3984.1408999999999</v>
      </c>
      <c r="G18">
        <v>269.11110000000002</v>
      </c>
      <c r="H18">
        <v>2281.9531999999999</v>
      </c>
      <c r="I18">
        <v>1.5659000000000001</v>
      </c>
      <c r="J18">
        <v>223.69159999999999</v>
      </c>
      <c r="K18">
        <v>324.53030000000001</v>
      </c>
      <c r="L18">
        <v>322.32159999999999</v>
      </c>
      <c r="M18">
        <v>4010.9443000000001</v>
      </c>
      <c r="N18">
        <v>0</v>
      </c>
      <c r="O18">
        <v>66.9041</v>
      </c>
      <c r="P18">
        <v>0.76929999999999998</v>
      </c>
      <c r="Q18">
        <v>1920.4453000000001</v>
      </c>
      <c r="R18">
        <v>0</v>
      </c>
      <c r="S18">
        <v>24650.489600000001</v>
      </c>
      <c r="T18">
        <v>6.2895000000000003</v>
      </c>
      <c r="U18">
        <v>263.03370000000001</v>
      </c>
      <c r="V18">
        <v>1982.6155000000001</v>
      </c>
      <c r="W18">
        <v>1463.1141</v>
      </c>
      <c r="X18">
        <v>8424.3176999999996</v>
      </c>
      <c r="Y18">
        <v>53.090800000000002</v>
      </c>
      <c r="Z18">
        <v>0.42549999999999999</v>
      </c>
      <c r="AA18">
        <v>135.32579999999999</v>
      </c>
      <c r="AB18">
        <v>0.1031</v>
      </c>
      <c r="AC18">
        <v>30.084800000000001</v>
      </c>
      <c r="AD18">
        <v>975.34010000000001</v>
      </c>
      <c r="AE18">
        <v>227.19290000000001</v>
      </c>
      <c r="AF18">
        <v>0.34429999999999999</v>
      </c>
      <c r="AG18">
        <v>0.60119999999999996</v>
      </c>
      <c r="AH18">
        <v>26.103200000000001</v>
      </c>
      <c r="AI18">
        <v>13612.0684</v>
      </c>
      <c r="AJ18">
        <v>3893.4630999999999</v>
      </c>
      <c r="AK18">
        <v>23477.8449</v>
      </c>
      <c r="AL18">
        <v>0.26600000000000001</v>
      </c>
      <c r="AM18">
        <v>10.240399999999999</v>
      </c>
      <c r="AN18">
        <v>30.214600000000001</v>
      </c>
      <c r="AO18">
        <v>0.2233</v>
      </c>
      <c r="AP18">
        <v>9.7318999999999996</v>
      </c>
      <c r="AQ18">
        <v>219.98060000000001</v>
      </c>
      <c r="AR18">
        <v>509.9314</v>
      </c>
      <c r="AS18">
        <v>319.01510000000002</v>
      </c>
      <c r="AT18">
        <v>350.93279999999999</v>
      </c>
      <c r="AU18">
        <v>917.65980000000002</v>
      </c>
      <c r="AV18">
        <v>112.94029999999999</v>
      </c>
      <c r="AW18">
        <v>27.964600000000001</v>
      </c>
      <c r="AX18">
        <v>0.16159999999999999</v>
      </c>
      <c r="AY18">
        <v>647.57889999999998</v>
      </c>
      <c r="AZ18">
        <v>93.788300000000007</v>
      </c>
      <c r="BA18">
        <v>3885.55</v>
      </c>
      <c r="BB18">
        <v>5112.4102999999996</v>
      </c>
      <c r="BC18">
        <v>8581.0633999999991</v>
      </c>
      <c r="BD18">
        <v>9499.6527999999998</v>
      </c>
      <c r="BE18">
        <v>0</v>
      </c>
      <c r="BF18">
        <v>226370.7899</v>
      </c>
      <c r="BG18">
        <v>497705.13569999998</v>
      </c>
      <c r="BH18">
        <v>0</v>
      </c>
      <c r="BI18">
        <v>24504.427800000001</v>
      </c>
      <c r="BJ18">
        <v>653.94399999999996</v>
      </c>
      <c r="BK18">
        <v>4682.0374000000002</v>
      </c>
      <c r="BL18">
        <v>527545.54489999998</v>
      </c>
      <c r="BM18">
        <v>753916.33479999995</v>
      </c>
      <c r="BN18">
        <v>0</v>
      </c>
      <c r="BO18">
        <v>0</v>
      </c>
      <c r="BP18">
        <v>753916.33479999995</v>
      </c>
      <c r="BQ18">
        <v>753916.33479999995</v>
      </c>
    </row>
    <row r="19" spans="1:69">
      <c r="A19" t="s">
        <v>19</v>
      </c>
      <c r="B19" t="s">
        <v>86</v>
      </c>
      <c r="C19">
        <v>0</v>
      </c>
      <c r="D19">
        <v>0</v>
      </c>
      <c r="E19">
        <v>0</v>
      </c>
      <c r="F19">
        <v>0</v>
      </c>
      <c r="G19">
        <v>0</v>
      </c>
      <c r="H19">
        <v>0</v>
      </c>
      <c r="I19">
        <v>0</v>
      </c>
      <c r="J19">
        <v>0</v>
      </c>
      <c r="K19">
        <v>0</v>
      </c>
      <c r="L19">
        <v>0</v>
      </c>
      <c r="M19">
        <v>0</v>
      </c>
      <c r="N19">
        <v>0</v>
      </c>
      <c r="O19">
        <v>0</v>
      </c>
      <c r="P19">
        <v>0</v>
      </c>
      <c r="Q19">
        <v>46.026600000000002</v>
      </c>
      <c r="R19">
        <v>0</v>
      </c>
      <c r="S19">
        <v>0</v>
      </c>
      <c r="T19">
        <v>0</v>
      </c>
      <c r="U19">
        <v>0</v>
      </c>
      <c r="V19">
        <v>0</v>
      </c>
      <c r="W19">
        <v>0</v>
      </c>
      <c r="X19">
        <v>0</v>
      </c>
      <c r="Y19">
        <v>0</v>
      </c>
      <c r="Z19">
        <v>0</v>
      </c>
      <c r="AA19">
        <v>0</v>
      </c>
      <c r="AB19">
        <v>0</v>
      </c>
      <c r="AC19">
        <v>0</v>
      </c>
      <c r="AD19">
        <v>25.0566</v>
      </c>
      <c r="AE19">
        <v>0</v>
      </c>
      <c r="AF19">
        <v>0</v>
      </c>
      <c r="AG19">
        <v>0</v>
      </c>
      <c r="AH19">
        <v>30.816500000000001</v>
      </c>
      <c r="AI19">
        <v>0</v>
      </c>
      <c r="AJ19">
        <v>0</v>
      </c>
      <c r="AK19">
        <v>0</v>
      </c>
      <c r="AL19">
        <v>0</v>
      </c>
      <c r="AM19">
        <v>0</v>
      </c>
      <c r="AN19">
        <v>0</v>
      </c>
      <c r="AO19">
        <v>0</v>
      </c>
      <c r="AP19">
        <v>0</v>
      </c>
      <c r="AQ19">
        <v>0</v>
      </c>
      <c r="AR19">
        <v>0</v>
      </c>
      <c r="AS19">
        <v>3.9922</v>
      </c>
      <c r="AT19">
        <v>0</v>
      </c>
      <c r="AU19">
        <v>0</v>
      </c>
      <c r="AV19">
        <v>0</v>
      </c>
      <c r="AW19">
        <v>0</v>
      </c>
      <c r="AX19">
        <v>0</v>
      </c>
      <c r="AY19">
        <v>0</v>
      </c>
      <c r="AZ19">
        <v>0</v>
      </c>
      <c r="BA19">
        <v>0</v>
      </c>
      <c r="BB19">
        <v>0</v>
      </c>
      <c r="BC19">
        <v>0</v>
      </c>
      <c r="BD19">
        <v>0</v>
      </c>
      <c r="BE19">
        <v>0</v>
      </c>
      <c r="BF19">
        <v>105.892</v>
      </c>
      <c r="BG19">
        <v>3066.1262999999999</v>
      </c>
      <c r="BH19">
        <v>0</v>
      </c>
      <c r="BI19">
        <v>0</v>
      </c>
      <c r="BJ19">
        <v>-71.854500000000002</v>
      </c>
      <c r="BK19">
        <v>0</v>
      </c>
      <c r="BL19">
        <v>2994.2719000000002</v>
      </c>
      <c r="BM19">
        <v>3100.1637999999998</v>
      </c>
      <c r="BN19">
        <v>0</v>
      </c>
      <c r="BO19">
        <v>0</v>
      </c>
      <c r="BP19">
        <v>3100.1637999999998</v>
      </c>
      <c r="BQ19">
        <v>3100.1637999999998</v>
      </c>
    </row>
    <row r="20" spans="1:69">
      <c r="A20" t="s">
        <v>20</v>
      </c>
      <c r="B20" t="s">
        <v>87</v>
      </c>
      <c r="C20">
        <v>377.13490000000002</v>
      </c>
      <c r="D20">
        <v>492.32819999999998</v>
      </c>
      <c r="E20">
        <v>47128.183799999999</v>
      </c>
      <c r="F20">
        <v>0</v>
      </c>
      <c r="G20">
        <v>156.9949</v>
      </c>
      <c r="H20">
        <v>2989.4805999999999</v>
      </c>
      <c r="I20">
        <v>59.8979</v>
      </c>
      <c r="J20">
        <v>226.24979999999999</v>
      </c>
      <c r="K20">
        <v>267.55919999999998</v>
      </c>
      <c r="L20">
        <v>592.52419999999995</v>
      </c>
      <c r="M20">
        <v>11243.1554</v>
      </c>
      <c r="N20">
        <v>0</v>
      </c>
      <c r="O20">
        <v>1779.1309000000001</v>
      </c>
      <c r="P20">
        <v>132.95079999999999</v>
      </c>
      <c r="Q20">
        <v>11146.9025</v>
      </c>
      <c r="R20">
        <v>4.9500000000000002E-2</v>
      </c>
      <c r="S20">
        <v>75.177800000000005</v>
      </c>
      <c r="T20">
        <v>0.27160000000000001</v>
      </c>
      <c r="U20">
        <v>7746.6571999999996</v>
      </c>
      <c r="V20">
        <v>2585.4065000000001</v>
      </c>
      <c r="W20">
        <v>1423.0654999999999</v>
      </c>
      <c r="X20">
        <v>3192.6169</v>
      </c>
      <c r="Y20">
        <v>161.9819</v>
      </c>
      <c r="Z20">
        <v>11.929600000000001</v>
      </c>
      <c r="AA20">
        <v>203.2209</v>
      </c>
      <c r="AB20">
        <v>5.3221999999999996</v>
      </c>
      <c r="AC20">
        <v>359.154</v>
      </c>
      <c r="AD20">
        <v>1715.0416</v>
      </c>
      <c r="AE20">
        <v>2254.4493000000002</v>
      </c>
      <c r="AF20">
        <v>189.56049999999999</v>
      </c>
      <c r="AG20">
        <v>1.7412000000000001</v>
      </c>
      <c r="AH20">
        <v>36.386099999999999</v>
      </c>
      <c r="AI20">
        <v>326633.71830000001</v>
      </c>
      <c r="AJ20">
        <v>868.99260000000004</v>
      </c>
      <c r="AK20">
        <v>17723.162899999999</v>
      </c>
      <c r="AL20">
        <v>145.7689</v>
      </c>
      <c r="AM20">
        <v>1023.914</v>
      </c>
      <c r="AN20">
        <v>116.8515</v>
      </c>
      <c r="AO20">
        <v>99.425600000000003</v>
      </c>
      <c r="AP20">
        <v>1098.4477999999999</v>
      </c>
      <c r="AQ20">
        <v>101.58450000000001</v>
      </c>
      <c r="AR20">
        <v>116.0946</v>
      </c>
      <c r="AS20">
        <v>2183.3676</v>
      </c>
      <c r="AT20">
        <v>1606.5071</v>
      </c>
      <c r="AU20">
        <v>446.40039999999999</v>
      </c>
      <c r="AV20">
        <v>214.40719999999999</v>
      </c>
      <c r="AW20">
        <v>67.883399999999995</v>
      </c>
      <c r="AX20">
        <v>0.35589999999999999</v>
      </c>
      <c r="AY20">
        <v>386.12729999999999</v>
      </c>
      <c r="AZ20">
        <v>74.805099999999996</v>
      </c>
      <c r="BA20">
        <v>1307.9277</v>
      </c>
      <c r="BB20">
        <v>867.80050000000006</v>
      </c>
      <c r="BC20">
        <v>424.34899999999999</v>
      </c>
      <c r="BD20">
        <v>838.93709999999999</v>
      </c>
      <c r="BE20">
        <v>0</v>
      </c>
      <c r="BF20">
        <v>452901.35470000003</v>
      </c>
      <c r="BG20">
        <v>37725.879800000002</v>
      </c>
      <c r="BH20">
        <v>75.300700000000006</v>
      </c>
      <c r="BI20">
        <v>8188.7043999999996</v>
      </c>
      <c r="BJ20">
        <v>12559.0308</v>
      </c>
      <c r="BK20">
        <v>2049150.1577000001</v>
      </c>
      <c r="BL20">
        <v>2107699.0732999998</v>
      </c>
      <c r="BM20">
        <v>2560600.4279999998</v>
      </c>
      <c r="BN20">
        <v>0</v>
      </c>
      <c r="BO20">
        <v>0</v>
      </c>
      <c r="BP20">
        <v>2560600.4279999998</v>
      </c>
      <c r="BQ20">
        <v>2560600.4279999998</v>
      </c>
    </row>
    <row r="21" spans="1:69">
      <c r="A21" t="s">
        <v>21</v>
      </c>
      <c r="B21" t="s">
        <v>88</v>
      </c>
      <c r="C21">
        <v>4758.9004000000004</v>
      </c>
      <c r="D21">
        <v>13043.763499999999</v>
      </c>
      <c r="E21">
        <v>7898.4745000000003</v>
      </c>
      <c r="F21">
        <v>0</v>
      </c>
      <c r="G21">
        <v>249.643</v>
      </c>
      <c r="H21">
        <v>53649.425499999998</v>
      </c>
      <c r="I21">
        <v>332.4787</v>
      </c>
      <c r="J21">
        <v>1769.5650000000001</v>
      </c>
      <c r="K21">
        <v>1371.0252</v>
      </c>
      <c r="L21">
        <v>68016.452999999994</v>
      </c>
      <c r="M21">
        <v>668742.6507</v>
      </c>
      <c r="N21">
        <v>0</v>
      </c>
      <c r="O21">
        <v>17807.512599999998</v>
      </c>
      <c r="P21">
        <v>877.60479999999995</v>
      </c>
      <c r="Q21">
        <v>109608.5944</v>
      </c>
      <c r="R21">
        <v>0.26219999999999999</v>
      </c>
      <c r="S21">
        <v>1891.5614</v>
      </c>
      <c r="T21">
        <v>11.0252</v>
      </c>
      <c r="U21">
        <v>2369.0776999999998</v>
      </c>
      <c r="V21">
        <v>4245575.3535000002</v>
      </c>
      <c r="W21">
        <v>21645.176800000001</v>
      </c>
      <c r="X21">
        <v>74508.035699999993</v>
      </c>
      <c r="Y21">
        <v>4932.2438000000002</v>
      </c>
      <c r="Z21">
        <v>195.48939999999999</v>
      </c>
      <c r="AA21">
        <v>5171.8630000000003</v>
      </c>
      <c r="AB21">
        <v>33.846299999999999</v>
      </c>
      <c r="AC21">
        <v>2506.4839999999999</v>
      </c>
      <c r="AD21">
        <v>2144.7849999999999</v>
      </c>
      <c r="AE21">
        <v>1580.3705</v>
      </c>
      <c r="AF21">
        <v>736.45479999999998</v>
      </c>
      <c r="AG21">
        <v>39.014699999999998</v>
      </c>
      <c r="AH21">
        <v>397.17610000000002</v>
      </c>
      <c r="AI21">
        <v>496958.32410000003</v>
      </c>
      <c r="AJ21">
        <v>111983.1565</v>
      </c>
      <c r="AK21">
        <v>1522752.3899000001</v>
      </c>
      <c r="AL21">
        <v>4988.8617999999997</v>
      </c>
      <c r="AM21">
        <v>6794.0902999999998</v>
      </c>
      <c r="AN21">
        <v>1348.9531999999999</v>
      </c>
      <c r="AO21">
        <v>2912.0349000000001</v>
      </c>
      <c r="AP21">
        <v>6493.0767999999998</v>
      </c>
      <c r="AQ21">
        <v>3366.8586</v>
      </c>
      <c r="AR21">
        <v>2458.6165000000001</v>
      </c>
      <c r="AS21">
        <v>17360.758999999998</v>
      </c>
      <c r="AT21">
        <v>606775.48239999998</v>
      </c>
      <c r="AU21">
        <v>38297.136700000003</v>
      </c>
      <c r="AV21">
        <v>58975.188000000002</v>
      </c>
      <c r="AW21">
        <v>12648.477199999999</v>
      </c>
      <c r="AX21">
        <v>83.336699999999993</v>
      </c>
      <c r="AY21">
        <v>46648.84</v>
      </c>
      <c r="AZ21">
        <v>12248.2583</v>
      </c>
      <c r="BA21">
        <v>247691.59570000001</v>
      </c>
      <c r="BB21">
        <v>363484.27230000001</v>
      </c>
      <c r="BC21">
        <v>16962.033100000001</v>
      </c>
      <c r="BD21">
        <v>25748.462100000001</v>
      </c>
      <c r="BE21">
        <v>0</v>
      </c>
      <c r="BF21">
        <v>8918844.5153000001</v>
      </c>
      <c r="BG21">
        <v>672909.89390000002</v>
      </c>
      <c r="BH21">
        <v>477.8845</v>
      </c>
      <c r="BI21">
        <v>50536.096899999997</v>
      </c>
      <c r="BJ21">
        <v>-26134.640100000001</v>
      </c>
      <c r="BK21">
        <v>13514154.8739</v>
      </c>
      <c r="BL21">
        <v>14211944.109099999</v>
      </c>
      <c r="BM21">
        <v>23130788.624400001</v>
      </c>
      <c r="BN21">
        <v>0</v>
      </c>
      <c r="BO21">
        <v>0</v>
      </c>
      <c r="BP21">
        <v>23130788.624400001</v>
      </c>
      <c r="BQ21">
        <v>23130788.624400001</v>
      </c>
    </row>
    <row r="22" spans="1:69">
      <c r="A22" t="s">
        <v>22</v>
      </c>
      <c r="B22" t="s">
        <v>89</v>
      </c>
      <c r="C22">
        <v>957501.07070000004</v>
      </c>
      <c r="D22">
        <v>546843.33380000002</v>
      </c>
      <c r="E22">
        <v>1127093.9058999999</v>
      </c>
      <c r="F22">
        <v>782024.38459999999</v>
      </c>
      <c r="G22">
        <v>89396.002900000007</v>
      </c>
      <c r="H22">
        <v>363329.76520000002</v>
      </c>
      <c r="I22">
        <v>10478.2631</v>
      </c>
      <c r="J22">
        <v>3741.3074999999999</v>
      </c>
      <c r="K22">
        <v>28140.3894</v>
      </c>
      <c r="L22">
        <v>12925.104600000001</v>
      </c>
      <c r="M22">
        <v>1256898.2047999999</v>
      </c>
      <c r="N22">
        <v>0</v>
      </c>
      <c r="O22">
        <v>1599262.1935000001</v>
      </c>
      <c r="P22">
        <v>11472.094999999999</v>
      </c>
      <c r="Q22">
        <v>897181.36589999998</v>
      </c>
      <c r="R22">
        <v>0</v>
      </c>
      <c r="S22">
        <v>121661.9256</v>
      </c>
      <c r="T22">
        <v>325.04989999999998</v>
      </c>
      <c r="U22">
        <v>135031.55910000001</v>
      </c>
      <c r="V22">
        <v>1259900.0785000001</v>
      </c>
      <c r="W22">
        <v>2580316.7483999999</v>
      </c>
      <c r="X22">
        <v>3760631.9342999998</v>
      </c>
      <c r="Y22">
        <v>161631.1796</v>
      </c>
      <c r="Z22">
        <v>17328.850299999998</v>
      </c>
      <c r="AA22">
        <v>90532.7399</v>
      </c>
      <c r="AB22">
        <v>266.64210000000003</v>
      </c>
      <c r="AC22">
        <v>20230.090400000001</v>
      </c>
      <c r="AD22">
        <v>27295.7186</v>
      </c>
      <c r="AE22">
        <v>59167.207300000002</v>
      </c>
      <c r="AF22">
        <v>15919.232</v>
      </c>
      <c r="AG22">
        <v>27.611499999999999</v>
      </c>
      <c r="AH22">
        <v>134386.0282</v>
      </c>
      <c r="AI22">
        <v>1678166.1758000001</v>
      </c>
      <c r="AJ22">
        <v>87302.806400000001</v>
      </c>
      <c r="AK22">
        <v>552438.40899999999</v>
      </c>
      <c r="AL22">
        <v>11793.779200000001</v>
      </c>
      <c r="AM22">
        <v>21932.829300000001</v>
      </c>
      <c r="AN22">
        <v>7070.5446000000002</v>
      </c>
      <c r="AO22">
        <v>10067.031800000001</v>
      </c>
      <c r="AP22">
        <v>6183.5973000000004</v>
      </c>
      <c r="AQ22">
        <v>3940.6898999999999</v>
      </c>
      <c r="AR22">
        <v>10746.0021</v>
      </c>
      <c r="AS22">
        <v>29437.504700000001</v>
      </c>
      <c r="AT22">
        <v>98427.688299999994</v>
      </c>
      <c r="AU22">
        <v>19300.105299999999</v>
      </c>
      <c r="AV22">
        <v>25775.026399999999</v>
      </c>
      <c r="AW22">
        <v>5065.9731000000002</v>
      </c>
      <c r="AX22">
        <v>17.331800000000001</v>
      </c>
      <c r="AY22">
        <v>37931.775900000001</v>
      </c>
      <c r="AZ22">
        <v>12753.0419</v>
      </c>
      <c r="BA22">
        <v>177684.8345</v>
      </c>
      <c r="BB22">
        <v>407259.35979999998</v>
      </c>
      <c r="BC22">
        <v>990332.66700000002</v>
      </c>
      <c r="BD22">
        <v>288369.79619999998</v>
      </c>
      <c r="BE22">
        <v>0</v>
      </c>
      <c r="BF22">
        <v>20552936.953000002</v>
      </c>
      <c r="BG22">
        <v>2187241.4024</v>
      </c>
      <c r="BH22">
        <v>1.4789000000000001</v>
      </c>
      <c r="BI22">
        <v>1120.635</v>
      </c>
      <c r="BJ22">
        <v>-76777.913499999995</v>
      </c>
      <c r="BK22">
        <v>355267.24890000001</v>
      </c>
      <c r="BL22">
        <v>2466852.8517</v>
      </c>
      <c r="BM22">
        <v>23019789.804699998</v>
      </c>
      <c r="BN22">
        <v>0</v>
      </c>
      <c r="BO22">
        <v>0</v>
      </c>
      <c r="BP22">
        <v>23019789.804699998</v>
      </c>
      <c r="BQ22">
        <v>23019789.804699998</v>
      </c>
    </row>
    <row r="23" spans="1:69">
      <c r="A23" t="s">
        <v>23</v>
      </c>
      <c r="B23" t="s">
        <v>90</v>
      </c>
      <c r="C23">
        <v>7748.6337000000003</v>
      </c>
      <c r="D23">
        <v>8941.6370999999999</v>
      </c>
      <c r="E23">
        <v>5874.2281000000003</v>
      </c>
      <c r="F23">
        <v>0</v>
      </c>
      <c r="G23">
        <v>49910.815699999999</v>
      </c>
      <c r="H23">
        <v>118804.1963</v>
      </c>
      <c r="I23">
        <v>305.54599999999999</v>
      </c>
      <c r="J23">
        <v>1697.1795</v>
      </c>
      <c r="K23">
        <v>3001.7638999999999</v>
      </c>
      <c r="L23">
        <v>5058.9615999999996</v>
      </c>
      <c r="M23">
        <v>76867.660499999998</v>
      </c>
      <c r="N23">
        <v>0</v>
      </c>
      <c r="O23">
        <v>17656.891199999998</v>
      </c>
      <c r="P23">
        <v>1118.2954999999999</v>
      </c>
      <c r="Q23">
        <v>50085.556700000001</v>
      </c>
      <c r="R23">
        <v>0.15759999999999999</v>
      </c>
      <c r="S23">
        <v>3875.0239000000001</v>
      </c>
      <c r="T23">
        <v>43.704700000000003</v>
      </c>
      <c r="U23">
        <v>7377.9787999999999</v>
      </c>
      <c r="V23">
        <v>45089.705800000003</v>
      </c>
      <c r="W23">
        <v>40355.647599999997</v>
      </c>
      <c r="X23">
        <v>2428146.2071000002</v>
      </c>
      <c r="Y23">
        <v>1466.1652999999999</v>
      </c>
      <c r="Z23">
        <v>91.038700000000006</v>
      </c>
      <c r="AA23">
        <v>14833.0371</v>
      </c>
      <c r="AB23">
        <v>62.7059</v>
      </c>
      <c r="AC23">
        <v>23132.2778</v>
      </c>
      <c r="AD23">
        <v>11474.3712</v>
      </c>
      <c r="AE23">
        <v>11622.9558</v>
      </c>
      <c r="AF23">
        <v>2975.6529999999998</v>
      </c>
      <c r="AG23">
        <v>11.181100000000001</v>
      </c>
      <c r="AH23">
        <v>769.37609999999995</v>
      </c>
      <c r="AI23">
        <v>3057792.7121000001</v>
      </c>
      <c r="AJ23">
        <v>123579.6079</v>
      </c>
      <c r="AK23">
        <v>1304493.4504</v>
      </c>
      <c r="AL23">
        <v>4739.6788999999999</v>
      </c>
      <c r="AM23">
        <v>160390.9227</v>
      </c>
      <c r="AN23">
        <v>11011.398300000001</v>
      </c>
      <c r="AO23">
        <v>7923.4823999999999</v>
      </c>
      <c r="AP23">
        <v>116904.1418</v>
      </c>
      <c r="AQ23">
        <v>13830.4241</v>
      </c>
      <c r="AR23">
        <v>913.47400000000005</v>
      </c>
      <c r="AS23">
        <v>23525.5982</v>
      </c>
      <c r="AT23">
        <v>21185.4689</v>
      </c>
      <c r="AU23">
        <v>26331.470300000001</v>
      </c>
      <c r="AV23">
        <v>12712.591399999999</v>
      </c>
      <c r="AW23">
        <v>8203.7718999999997</v>
      </c>
      <c r="AX23">
        <v>47.8386</v>
      </c>
      <c r="AY23">
        <v>35100.956400000003</v>
      </c>
      <c r="AZ23">
        <v>5316.6571000000004</v>
      </c>
      <c r="BA23">
        <v>29800.508000000002</v>
      </c>
      <c r="BB23">
        <v>59412.373599999999</v>
      </c>
      <c r="BC23">
        <v>19521.636699999999</v>
      </c>
      <c r="BD23">
        <v>21834.211500000001</v>
      </c>
      <c r="BE23">
        <v>0</v>
      </c>
      <c r="BF23">
        <v>8002970.9287999999</v>
      </c>
      <c r="BG23">
        <v>1041702.079</v>
      </c>
      <c r="BH23">
        <v>228.72069999999999</v>
      </c>
      <c r="BI23">
        <v>26358.867300000002</v>
      </c>
      <c r="BJ23">
        <v>-61460.865599999997</v>
      </c>
      <c r="BK23">
        <v>33975029.453299999</v>
      </c>
      <c r="BL23">
        <v>34981858.254600003</v>
      </c>
      <c r="BM23">
        <v>42984829.183399998</v>
      </c>
      <c r="BN23">
        <v>0</v>
      </c>
      <c r="BO23">
        <v>0</v>
      </c>
      <c r="BP23">
        <v>42984829.183399998</v>
      </c>
      <c r="BQ23">
        <v>42984829.183399998</v>
      </c>
    </row>
    <row r="24" spans="1:69">
      <c r="A24" t="s">
        <v>24</v>
      </c>
      <c r="B24" t="s">
        <v>91</v>
      </c>
      <c r="C24">
        <v>9.5739000000000001</v>
      </c>
      <c r="D24">
        <v>23.772600000000001</v>
      </c>
      <c r="E24">
        <v>4343.8337000000001</v>
      </c>
      <c r="F24">
        <v>0</v>
      </c>
      <c r="G24">
        <v>7.2337999999999996</v>
      </c>
      <c r="H24">
        <v>8320.9387999999999</v>
      </c>
      <c r="I24">
        <v>2.4047000000000001</v>
      </c>
      <c r="J24">
        <v>6.4692999999999996</v>
      </c>
      <c r="K24">
        <v>33.489100000000001</v>
      </c>
      <c r="L24">
        <v>6.8509000000000002</v>
      </c>
      <c r="M24">
        <v>164.23679999999999</v>
      </c>
      <c r="N24">
        <v>0</v>
      </c>
      <c r="O24">
        <v>30.047499999999999</v>
      </c>
      <c r="P24">
        <v>10331.053599999999</v>
      </c>
      <c r="Q24">
        <v>11733.7413</v>
      </c>
      <c r="R24">
        <v>0</v>
      </c>
      <c r="S24">
        <v>320.86680000000001</v>
      </c>
      <c r="T24">
        <v>0.27810000000000001</v>
      </c>
      <c r="U24">
        <v>5562.7641999999996</v>
      </c>
      <c r="V24">
        <v>1095.8801000000001</v>
      </c>
      <c r="W24">
        <v>6483.8644000000004</v>
      </c>
      <c r="X24">
        <v>67976.537299999996</v>
      </c>
      <c r="Y24">
        <v>117975.4656</v>
      </c>
      <c r="Z24">
        <v>152.76730000000001</v>
      </c>
      <c r="AA24">
        <v>1926.5045</v>
      </c>
      <c r="AB24">
        <v>2.3534999999999999</v>
      </c>
      <c r="AC24">
        <v>1634.7573</v>
      </c>
      <c r="AD24">
        <v>1962.0315000000001</v>
      </c>
      <c r="AE24">
        <v>8749.8353999999999</v>
      </c>
      <c r="AF24">
        <v>292.52960000000002</v>
      </c>
      <c r="AG24">
        <v>3.2399999999999998E-2</v>
      </c>
      <c r="AH24">
        <v>593.78229999999996</v>
      </c>
      <c r="AI24">
        <v>2847531.9197999998</v>
      </c>
      <c r="AJ24">
        <v>1470.8438000000001</v>
      </c>
      <c r="AK24">
        <v>12234.865299999999</v>
      </c>
      <c r="AL24">
        <v>43812.588600000003</v>
      </c>
      <c r="AM24">
        <v>24970.3442</v>
      </c>
      <c r="AN24">
        <v>1720.4768999999999</v>
      </c>
      <c r="AO24">
        <v>13.980499999999999</v>
      </c>
      <c r="AP24">
        <v>184.87690000000001</v>
      </c>
      <c r="AQ24">
        <v>50.883699999999997</v>
      </c>
      <c r="AR24">
        <v>2.7193000000000001</v>
      </c>
      <c r="AS24">
        <v>54.322099999999999</v>
      </c>
      <c r="AT24">
        <v>134.8169</v>
      </c>
      <c r="AU24">
        <v>106.1057</v>
      </c>
      <c r="AV24">
        <v>2.1718000000000002</v>
      </c>
      <c r="AW24">
        <v>1.524</v>
      </c>
      <c r="AX24">
        <v>3.1699999999999999E-2</v>
      </c>
      <c r="AY24">
        <v>95243.642800000001</v>
      </c>
      <c r="AZ24">
        <v>1441.6856</v>
      </c>
      <c r="BA24">
        <v>19674.947100000001</v>
      </c>
      <c r="BB24">
        <v>93682.712799999994</v>
      </c>
      <c r="BC24">
        <v>22015.514899999998</v>
      </c>
      <c r="BD24">
        <v>29900.207699999999</v>
      </c>
      <c r="BE24">
        <v>0</v>
      </c>
      <c r="BF24">
        <v>3443995.0781</v>
      </c>
      <c r="BG24">
        <v>288628.63280000002</v>
      </c>
      <c r="BH24">
        <v>1.9781</v>
      </c>
      <c r="BI24">
        <v>42641.135499999997</v>
      </c>
      <c r="BJ24">
        <v>-77626.651100000003</v>
      </c>
      <c r="BK24">
        <v>4241.3689999999997</v>
      </c>
      <c r="BL24">
        <v>257886.4644</v>
      </c>
      <c r="BM24">
        <v>3701881.5425</v>
      </c>
      <c r="BN24">
        <v>0</v>
      </c>
      <c r="BO24">
        <v>0</v>
      </c>
      <c r="BP24">
        <v>3701881.5425</v>
      </c>
      <c r="BQ24">
        <v>3701881.5425</v>
      </c>
    </row>
    <row r="25" spans="1:69">
      <c r="A25" t="s">
        <v>25</v>
      </c>
      <c r="B25" t="s">
        <v>92</v>
      </c>
      <c r="C25">
        <v>0.92689999999999995</v>
      </c>
      <c r="D25">
        <v>0.153</v>
      </c>
      <c r="E25">
        <v>2523.4041999999999</v>
      </c>
      <c r="F25">
        <v>0</v>
      </c>
      <c r="G25">
        <v>5.8003</v>
      </c>
      <c r="H25">
        <v>6.2512999999999996</v>
      </c>
      <c r="I25">
        <v>8.0999999999999996E-3</v>
      </c>
      <c r="J25">
        <v>5.2999999999999999E-2</v>
      </c>
      <c r="K25">
        <v>2.6499999999999999E-2</v>
      </c>
      <c r="L25">
        <v>1.1924999999999999</v>
      </c>
      <c r="M25">
        <v>36.896599999999999</v>
      </c>
      <c r="N25">
        <v>0</v>
      </c>
      <c r="O25">
        <v>11.286799999999999</v>
      </c>
      <c r="P25">
        <v>4.0735000000000001</v>
      </c>
      <c r="Q25">
        <v>2981.1702</v>
      </c>
      <c r="R25">
        <v>0</v>
      </c>
      <c r="S25">
        <v>53.701000000000001</v>
      </c>
      <c r="T25">
        <v>5.7799999999999997E-2</v>
      </c>
      <c r="U25">
        <v>91.8078</v>
      </c>
      <c r="V25">
        <v>9946.9724999999999</v>
      </c>
      <c r="W25">
        <v>765.05629999999996</v>
      </c>
      <c r="X25">
        <v>725.37559999999996</v>
      </c>
      <c r="Y25">
        <v>489.98039999999997</v>
      </c>
      <c r="Z25">
        <v>1885.8061</v>
      </c>
      <c r="AA25">
        <v>8122.6383999999998</v>
      </c>
      <c r="AB25">
        <v>26.596</v>
      </c>
      <c r="AC25">
        <v>1903.4962</v>
      </c>
      <c r="AD25">
        <v>393.48480000000001</v>
      </c>
      <c r="AE25">
        <v>3024.2024000000001</v>
      </c>
      <c r="AF25">
        <v>1.2975000000000001</v>
      </c>
      <c r="AG25">
        <v>0</v>
      </c>
      <c r="AH25">
        <v>0.26719999999999999</v>
      </c>
      <c r="AI25">
        <v>183590.1942</v>
      </c>
      <c r="AJ25">
        <v>18.452500000000001</v>
      </c>
      <c r="AK25">
        <v>29.807700000000001</v>
      </c>
      <c r="AL25">
        <v>2.2446999999999999</v>
      </c>
      <c r="AM25">
        <v>3.2107999999999999</v>
      </c>
      <c r="AN25">
        <v>8.2699999999999996E-2</v>
      </c>
      <c r="AO25">
        <v>9.1200000000000003E-2</v>
      </c>
      <c r="AP25">
        <v>2.7099999999999999E-2</v>
      </c>
      <c r="AQ25">
        <v>0.2132</v>
      </c>
      <c r="AR25">
        <v>0.1191</v>
      </c>
      <c r="AS25">
        <v>0.2923</v>
      </c>
      <c r="AT25">
        <v>27.975999999999999</v>
      </c>
      <c r="AU25">
        <v>1.1708000000000001</v>
      </c>
      <c r="AV25">
        <v>0.25790000000000002</v>
      </c>
      <c r="AW25">
        <v>5.4699999999999999E-2</v>
      </c>
      <c r="AX25">
        <v>0</v>
      </c>
      <c r="AY25">
        <v>1.1089</v>
      </c>
      <c r="AZ25">
        <v>0.87939999999999996</v>
      </c>
      <c r="BA25">
        <v>3.9283000000000001</v>
      </c>
      <c r="BB25">
        <v>9.49</v>
      </c>
      <c r="BC25">
        <v>7.8868</v>
      </c>
      <c r="BD25">
        <v>3.7968000000000002</v>
      </c>
      <c r="BE25">
        <v>0</v>
      </c>
      <c r="BF25">
        <v>216703.2683</v>
      </c>
      <c r="BG25">
        <v>115.44370000000001</v>
      </c>
      <c r="BH25">
        <v>0</v>
      </c>
      <c r="BI25">
        <v>61.1036</v>
      </c>
      <c r="BJ25">
        <v>36.878399999999999</v>
      </c>
      <c r="BK25">
        <v>2058.9643999999998</v>
      </c>
      <c r="BL25">
        <v>2272.39</v>
      </c>
      <c r="BM25">
        <v>218975.65839999999</v>
      </c>
      <c r="BN25">
        <v>0</v>
      </c>
      <c r="BO25">
        <v>0</v>
      </c>
      <c r="BP25">
        <v>218975.65839999999</v>
      </c>
      <c r="BQ25">
        <v>218975.65839999999</v>
      </c>
    </row>
    <row r="26" spans="1:69">
      <c r="A26" t="s">
        <v>26</v>
      </c>
      <c r="B26" t="s">
        <v>93</v>
      </c>
      <c r="C26">
        <v>3885.2727</v>
      </c>
      <c r="D26">
        <v>637.61120000000005</v>
      </c>
      <c r="E26">
        <v>2581.4605000000001</v>
      </c>
      <c r="F26">
        <v>0</v>
      </c>
      <c r="G26">
        <v>45.935400000000001</v>
      </c>
      <c r="H26">
        <v>26284.061099999999</v>
      </c>
      <c r="I26">
        <v>23.8156</v>
      </c>
      <c r="J26">
        <v>223.1927</v>
      </c>
      <c r="K26">
        <v>125.27</v>
      </c>
      <c r="L26">
        <v>5027.9985999999999</v>
      </c>
      <c r="M26">
        <v>155174.5042</v>
      </c>
      <c r="N26">
        <v>0</v>
      </c>
      <c r="O26">
        <v>47408.9876</v>
      </c>
      <c r="P26">
        <v>1660.1587</v>
      </c>
      <c r="Q26">
        <v>7668.5375000000004</v>
      </c>
      <c r="R26">
        <v>0</v>
      </c>
      <c r="S26">
        <v>486.38409999999999</v>
      </c>
      <c r="T26">
        <v>3.8336999999999999</v>
      </c>
      <c r="U26">
        <v>2003.3</v>
      </c>
      <c r="V26">
        <v>12913.1646</v>
      </c>
      <c r="W26">
        <v>4926.1869999999999</v>
      </c>
      <c r="X26">
        <v>16410.328799999999</v>
      </c>
      <c r="Y26">
        <v>2554.453</v>
      </c>
      <c r="Z26">
        <v>166.9571</v>
      </c>
      <c r="AA26">
        <v>43783.188600000001</v>
      </c>
      <c r="AB26">
        <v>715.59029999999996</v>
      </c>
      <c r="AC26">
        <v>8292.8081999999995</v>
      </c>
      <c r="AD26">
        <v>2276.9475000000002</v>
      </c>
      <c r="AE26">
        <v>3780.6610000000001</v>
      </c>
      <c r="AF26">
        <v>5474.0718999999999</v>
      </c>
      <c r="AG26">
        <v>1.47E-2</v>
      </c>
      <c r="AH26">
        <v>1134.1569</v>
      </c>
      <c r="AI26">
        <v>412096.27039999998</v>
      </c>
      <c r="AJ26">
        <v>77495.624800000005</v>
      </c>
      <c r="AK26">
        <v>125284.2687</v>
      </c>
      <c r="AL26">
        <v>9450.4487000000008</v>
      </c>
      <c r="AM26">
        <v>13472.599200000001</v>
      </c>
      <c r="AN26">
        <v>334.1386</v>
      </c>
      <c r="AO26">
        <v>392.12400000000002</v>
      </c>
      <c r="AP26">
        <v>139.52719999999999</v>
      </c>
      <c r="AQ26">
        <v>885.47640000000001</v>
      </c>
      <c r="AR26">
        <v>520.42240000000004</v>
      </c>
      <c r="AS26">
        <v>1246.9349999999999</v>
      </c>
      <c r="AT26">
        <v>117558.15919999999</v>
      </c>
      <c r="AU26">
        <v>4917.7840999999999</v>
      </c>
      <c r="AV26">
        <v>1086.4914000000001</v>
      </c>
      <c r="AW26">
        <v>243.52889999999999</v>
      </c>
      <c r="AX26">
        <v>0.48949999999999999</v>
      </c>
      <c r="AY26">
        <v>4676.6464999999998</v>
      </c>
      <c r="AZ26">
        <v>3694.8955000000001</v>
      </c>
      <c r="BA26">
        <v>12320.8601</v>
      </c>
      <c r="BB26">
        <v>39883.757599999997</v>
      </c>
      <c r="BC26">
        <v>21194.101500000001</v>
      </c>
      <c r="BD26">
        <v>15935.456099999999</v>
      </c>
      <c r="BE26">
        <v>0</v>
      </c>
      <c r="BF26">
        <v>1218498.8588</v>
      </c>
      <c r="BG26">
        <v>287810.10239999997</v>
      </c>
      <c r="BH26">
        <v>0</v>
      </c>
      <c r="BI26">
        <v>110640.97930000001</v>
      </c>
      <c r="BJ26">
        <v>-320.8494</v>
      </c>
      <c r="BK26">
        <v>96712.896099999998</v>
      </c>
      <c r="BL26">
        <v>494843.12839999999</v>
      </c>
      <c r="BM26">
        <v>1713341.9872000001</v>
      </c>
      <c r="BN26">
        <v>0</v>
      </c>
      <c r="BO26">
        <v>0</v>
      </c>
      <c r="BP26">
        <v>1713341.9872000001</v>
      </c>
      <c r="BQ26">
        <v>1713341.9872000001</v>
      </c>
    </row>
    <row r="27" spans="1:69">
      <c r="A27" t="s">
        <v>27</v>
      </c>
      <c r="B27" t="s">
        <v>94</v>
      </c>
      <c r="C27">
        <v>0</v>
      </c>
      <c r="D27">
        <v>0</v>
      </c>
      <c r="E27">
        <v>4608.6181999999999</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4608.6181999999999</v>
      </c>
      <c r="BG27">
        <v>0</v>
      </c>
      <c r="BH27">
        <v>0</v>
      </c>
      <c r="BI27">
        <v>0</v>
      </c>
      <c r="BJ27">
        <v>0</v>
      </c>
      <c r="BK27">
        <v>47504.101499999997</v>
      </c>
      <c r="BL27">
        <v>47504.101499999997</v>
      </c>
      <c r="BM27">
        <v>52112.719599999997</v>
      </c>
      <c r="BN27">
        <v>0</v>
      </c>
      <c r="BO27">
        <v>0</v>
      </c>
      <c r="BP27">
        <v>52112.719599999997</v>
      </c>
      <c r="BQ27">
        <v>52112.719599999997</v>
      </c>
    </row>
    <row r="28" spans="1:69">
      <c r="A28" t="s">
        <v>28</v>
      </c>
      <c r="B28" t="s">
        <v>95</v>
      </c>
      <c r="C28">
        <v>1315.9149</v>
      </c>
      <c r="D28">
        <v>798.91369999999995</v>
      </c>
      <c r="E28">
        <v>14068.0221</v>
      </c>
      <c r="F28">
        <v>10154.004000000001</v>
      </c>
      <c r="G28">
        <v>15.286</v>
      </c>
      <c r="H28">
        <v>5494.7543999999998</v>
      </c>
      <c r="I28">
        <v>9.0135000000000005</v>
      </c>
      <c r="J28">
        <v>1329.6608000000001</v>
      </c>
      <c r="K28">
        <v>4159.6958999999997</v>
      </c>
      <c r="L28">
        <v>2328.1709999999998</v>
      </c>
      <c r="M28">
        <v>31458.9463</v>
      </c>
      <c r="N28">
        <v>0</v>
      </c>
      <c r="O28">
        <v>13760.793299999999</v>
      </c>
      <c r="P28">
        <v>1513.3497</v>
      </c>
      <c r="Q28">
        <v>11437.3851</v>
      </c>
      <c r="R28">
        <v>0</v>
      </c>
      <c r="S28">
        <v>217.29130000000001</v>
      </c>
      <c r="T28">
        <v>0.68559999999999999</v>
      </c>
      <c r="U28">
        <v>329.82920000000001</v>
      </c>
      <c r="V28">
        <v>5514.5509000000002</v>
      </c>
      <c r="W28">
        <v>2566.7824000000001</v>
      </c>
      <c r="X28">
        <v>7775.7808999999997</v>
      </c>
      <c r="Y28">
        <v>428.12880000000001</v>
      </c>
      <c r="Z28">
        <v>41.706299999999999</v>
      </c>
      <c r="AA28">
        <v>493.41849999999999</v>
      </c>
      <c r="AB28">
        <v>4.2942</v>
      </c>
      <c r="AC28">
        <v>19199.663100000002</v>
      </c>
      <c r="AD28">
        <v>89.259900000000002</v>
      </c>
      <c r="AE28">
        <v>285.30489999999998</v>
      </c>
      <c r="AF28">
        <v>63.4754</v>
      </c>
      <c r="AG28">
        <v>18.857900000000001</v>
      </c>
      <c r="AH28">
        <v>227.65479999999999</v>
      </c>
      <c r="AI28">
        <v>49058.816800000001</v>
      </c>
      <c r="AJ28">
        <v>12202.017099999999</v>
      </c>
      <c r="AK28">
        <v>38845.741300000002</v>
      </c>
      <c r="AL28">
        <v>332.57100000000003</v>
      </c>
      <c r="AM28">
        <v>30138.1077</v>
      </c>
      <c r="AN28">
        <v>438.7389</v>
      </c>
      <c r="AO28">
        <v>2395.1909999999998</v>
      </c>
      <c r="AP28">
        <v>30225.598300000001</v>
      </c>
      <c r="AQ28">
        <v>1006.1527</v>
      </c>
      <c r="AR28">
        <v>174.46270000000001</v>
      </c>
      <c r="AS28">
        <v>4883.4735000000001</v>
      </c>
      <c r="AT28">
        <v>2237.2748999999999</v>
      </c>
      <c r="AU28">
        <v>1683.6052</v>
      </c>
      <c r="AV28">
        <v>640.83079999999995</v>
      </c>
      <c r="AW28">
        <v>512.91930000000002</v>
      </c>
      <c r="AX28">
        <v>1.4536</v>
      </c>
      <c r="AY28">
        <v>2629.1801</v>
      </c>
      <c r="AZ28">
        <v>874.72389999999996</v>
      </c>
      <c r="BA28">
        <v>2605.5518000000002</v>
      </c>
      <c r="BB28">
        <v>1918.9450999999999</v>
      </c>
      <c r="BC28">
        <v>839.69110000000001</v>
      </c>
      <c r="BD28">
        <v>554.78970000000004</v>
      </c>
      <c r="BE28">
        <v>0</v>
      </c>
      <c r="BF28">
        <v>319300.4313</v>
      </c>
      <c r="BG28">
        <v>473955.39179999998</v>
      </c>
      <c r="BH28">
        <v>0</v>
      </c>
      <c r="BI28">
        <v>380903.54759999999</v>
      </c>
      <c r="BJ28">
        <v>-1383.5409</v>
      </c>
      <c r="BK28">
        <v>30306.0772</v>
      </c>
      <c r="BL28">
        <v>883781.47569999995</v>
      </c>
      <c r="BM28">
        <v>1203081.9069999999</v>
      </c>
      <c r="BN28">
        <v>0</v>
      </c>
      <c r="BO28">
        <v>0</v>
      </c>
      <c r="BP28">
        <v>1203081.9069999999</v>
      </c>
      <c r="BQ28">
        <v>1203081.9069999999</v>
      </c>
    </row>
    <row r="29" spans="1:69">
      <c r="A29" t="s">
        <v>29</v>
      </c>
      <c r="B29" t="s">
        <v>96</v>
      </c>
      <c r="C29">
        <v>11.088100000000001</v>
      </c>
      <c r="D29">
        <v>9.7885000000000009</v>
      </c>
      <c r="E29">
        <v>0</v>
      </c>
      <c r="F29">
        <v>0</v>
      </c>
      <c r="G29">
        <v>7.1612</v>
      </c>
      <c r="H29">
        <v>18.5687</v>
      </c>
      <c r="I29">
        <v>2.2725</v>
      </c>
      <c r="J29">
        <v>3.5135999999999998</v>
      </c>
      <c r="K29">
        <v>12.911899999999999</v>
      </c>
      <c r="L29">
        <v>6.2546999999999997</v>
      </c>
      <c r="M29">
        <v>172.43180000000001</v>
      </c>
      <c r="N29">
        <v>0</v>
      </c>
      <c r="O29">
        <v>192.39570000000001</v>
      </c>
      <c r="P29">
        <v>2.5146000000000002</v>
      </c>
      <c r="Q29">
        <v>9904.9177</v>
      </c>
      <c r="R29">
        <v>0</v>
      </c>
      <c r="S29">
        <v>40.122999999999998</v>
      </c>
      <c r="T29">
        <v>0.70340000000000003</v>
      </c>
      <c r="U29">
        <v>99.749899999999997</v>
      </c>
      <c r="V29">
        <v>3278.2082999999998</v>
      </c>
      <c r="W29">
        <v>104.9487</v>
      </c>
      <c r="X29">
        <v>487.07490000000001</v>
      </c>
      <c r="Y29">
        <v>5.4789000000000003</v>
      </c>
      <c r="Z29">
        <v>0.4889</v>
      </c>
      <c r="AA29">
        <v>7.7820999999999998</v>
      </c>
      <c r="AB29">
        <v>0.21829999999999999</v>
      </c>
      <c r="AC29">
        <v>15.710900000000001</v>
      </c>
      <c r="AD29">
        <v>658.87249999999995</v>
      </c>
      <c r="AE29">
        <v>288.81599999999997</v>
      </c>
      <c r="AF29">
        <v>2.1360000000000001</v>
      </c>
      <c r="AG29">
        <v>3.5700000000000003E-2</v>
      </c>
      <c r="AH29">
        <v>1.8491</v>
      </c>
      <c r="AI29">
        <v>24542.512500000001</v>
      </c>
      <c r="AJ29">
        <v>29.212399999999999</v>
      </c>
      <c r="AK29">
        <v>228.24950000000001</v>
      </c>
      <c r="AL29">
        <v>11.5548</v>
      </c>
      <c r="AM29">
        <v>48.41</v>
      </c>
      <c r="AN29">
        <v>39.416699999999999</v>
      </c>
      <c r="AO29">
        <v>13.836</v>
      </c>
      <c r="AP29">
        <v>171.56809999999999</v>
      </c>
      <c r="AQ29">
        <v>21.912199999999999</v>
      </c>
      <c r="AR29">
        <v>532.40949999999998</v>
      </c>
      <c r="AS29">
        <v>257.62329999999997</v>
      </c>
      <c r="AT29">
        <v>33.818100000000001</v>
      </c>
      <c r="AU29">
        <v>1599.7657999999999</v>
      </c>
      <c r="AV29">
        <v>386.37909999999999</v>
      </c>
      <c r="AW29">
        <v>160.44399999999999</v>
      </c>
      <c r="AX29">
        <v>2.0716000000000001</v>
      </c>
      <c r="AY29">
        <v>165.2397</v>
      </c>
      <c r="AZ29">
        <v>165.27359999999999</v>
      </c>
      <c r="BA29">
        <v>16.678699999999999</v>
      </c>
      <c r="BB29">
        <v>3589.1044000000002</v>
      </c>
      <c r="BC29">
        <v>1079.5615</v>
      </c>
      <c r="BD29">
        <v>2250.3761</v>
      </c>
      <c r="BE29">
        <v>0</v>
      </c>
      <c r="BF29">
        <v>50681.4329</v>
      </c>
      <c r="BG29">
        <v>243259.9694</v>
      </c>
      <c r="BH29">
        <v>2.7179000000000002</v>
      </c>
      <c r="BI29">
        <v>120449.03479999999</v>
      </c>
      <c r="BJ29">
        <v>778.0557</v>
      </c>
      <c r="BK29">
        <v>2206.4767999999999</v>
      </c>
      <c r="BL29">
        <v>366696.25459999999</v>
      </c>
      <c r="BM29">
        <v>417377.6875</v>
      </c>
      <c r="BN29">
        <v>0</v>
      </c>
      <c r="BO29">
        <v>0</v>
      </c>
      <c r="BP29">
        <v>417377.6875</v>
      </c>
      <c r="BQ29">
        <v>417377.6875</v>
      </c>
    </row>
    <row r="30" spans="1:69">
      <c r="A30" t="s">
        <v>30</v>
      </c>
      <c r="B30" t="s">
        <v>97</v>
      </c>
      <c r="C30">
        <v>1172.0029</v>
      </c>
      <c r="D30">
        <v>3293.5731999999998</v>
      </c>
      <c r="E30">
        <v>10596.4647</v>
      </c>
      <c r="F30">
        <v>141962.7795</v>
      </c>
      <c r="G30">
        <v>202.06639999999999</v>
      </c>
      <c r="H30">
        <v>18933.331900000001</v>
      </c>
      <c r="I30">
        <v>87.606399999999994</v>
      </c>
      <c r="J30">
        <v>1348.9296999999999</v>
      </c>
      <c r="K30">
        <v>14913.1008</v>
      </c>
      <c r="L30">
        <v>7380.8489</v>
      </c>
      <c r="M30">
        <v>26523.736700000001</v>
      </c>
      <c r="N30">
        <v>0</v>
      </c>
      <c r="O30">
        <v>3865.9355999999998</v>
      </c>
      <c r="P30">
        <v>1473.8226</v>
      </c>
      <c r="Q30">
        <v>9934.3305999999993</v>
      </c>
      <c r="R30">
        <v>0</v>
      </c>
      <c r="S30">
        <v>413.45920000000001</v>
      </c>
      <c r="T30">
        <v>0.38840000000000002</v>
      </c>
      <c r="U30">
        <v>245.4562</v>
      </c>
      <c r="V30">
        <v>1937.4337</v>
      </c>
      <c r="W30">
        <v>7334.3401999999996</v>
      </c>
      <c r="X30">
        <v>3407.5504999999998</v>
      </c>
      <c r="Y30">
        <v>195.81209999999999</v>
      </c>
      <c r="Z30">
        <v>33.303100000000001</v>
      </c>
      <c r="AA30">
        <v>541.20989999999995</v>
      </c>
      <c r="AB30">
        <v>2.47E-2</v>
      </c>
      <c r="AC30">
        <v>50.601300000000002</v>
      </c>
      <c r="AD30">
        <v>156.36959999999999</v>
      </c>
      <c r="AE30">
        <v>3943.7257</v>
      </c>
      <c r="AF30">
        <v>274.17070000000001</v>
      </c>
      <c r="AG30">
        <v>75.977199999999996</v>
      </c>
      <c r="AH30">
        <v>107.6343</v>
      </c>
      <c r="AI30">
        <v>17296.072899999999</v>
      </c>
      <c r="AJ30">
        <v>4944.8946999999998</v>
      </c>
      <c r="AK30">
        <v>83343.295400000003</v>
      </c>
      <c r="AL30">
        <v>20770.583900000001</v>
      </c>
      <c r="AM30">
        <v>228.2877</v>
      </c>
      <c r="AN30">
        <v>4212.2647999999999</v>
      </c>
      <c r="AO30">
        <v>7238.5918000000001</v>
      </c>
      <c r="AP30">
        <v>13251.182000000001</v>
      </c>
      <c r="AQ30">
        <v>234.74600000000001</v>
      </c>
      <c r="AR30">
        <v>389.33510000000001</v>
      </c>
      <c r="AS30">
        <v>922.31140000000005</v>
      </c>
      <c r="AT30">
        <v>27806.453099999999</v>
      </c>
      <c r="AU30">
        <v>7347.4466000000002</v>
      </c>
      <c r="AV30">
        <v>3918.8773999999999</v>
      </c>
      <c r="AW30">
        <v>841.63699999999994</v>
      </c>
      <c r="AX30">
        <v>1.5979000000000001</v>
      </c>
      <c r="AY30">
        <v>6084.8908000000001</v>
      </c>
      <c r="AZ30">
        <v>2235.4196999999999</v>
      </c>
      <c r="BA30">
        <v>28692.192500000001</v>
      </c>
      <c r="BB30">
        <v>33946.444600000003</v>
      </c>
      <c r="BC30">
        <v>49146.347900000001</v>
      </c>
      <c r="BD30">
        <v>28611.691299999999</v>
      </c>
      <c r="BE30">
        <v>0</v>
      </c>
      <c r="BF30">
        <v>601870.55119999999</v>
      </c>
      <c r="BG30">
        <v>194340.73199999999</v>
      </c>
      <c r="BH30">
        <v>0.31440000000000001</v>
      </c>
      <c r="BI30">
        <v>1268.2416000000001</v>
      </c>
      <c r="BJ30">
        <v>-9350.7333999999992</v>
      </c>
      <c r="BK30">
        <v>345.10919999999999</v>
      </c>
      <c r="BL30">
        <v>186603.66380000001</v>
      </c>
      <c r="BM30">
        <v>788474.21499999997</v>
      </c>
      <c r="BN30">
        <v>0</v>
      </c>
      <c r="BO30">
        <v>0</v>
      </c>
      <c r="BP30">
        <v>788474.21499999997</v>
      </c>
      <c r="BQ30">
        <v>788474.21499999997</v>
      </c>
    </row>
    <row r="31" spans="1:69">
      <c r="A31" t="s">
        <v>31</v>
      </c>
      <c r="B31" t="s">
        <v>98</v>
      </c>
      <c r="C31">
        <v>2274.0252</v>
      </c>
      <c r="D31">
        <v>3863.9879000000001</v>
      </c>
      <c r="E31">
        <v>78728.401700000002</v>
      </c>
      <c r="F31">
        <v>192991.9773</v>
      </c>
      <c r="G31">
        <v>16.319299999999998</v>
      </c>
      <c r="H31">
        <v>10234.4581</v>
      </c>
      <c r="I31">
        <v>600.3623</v>
      </c>
      <c r="J31">
        <v>7548.2556999999997</v>
      </c>
      <c r="K31">
        <v>12302.052299999999</v>
      </c>
      <c r="L31">
        <v>28974.974099999999</v>
      </c>
      <c r="M31">
        <v>82861.773000000001</v>
      </c>
      <c r="N31">
        <v>0</v>
      </c>
      <c r="O31">
        <v>1080.1441</v>
      </c>
      <c r="P31">
        <v>11962.2282</v>
      </c>
      <c r="Q31">
        <v>166752.91649999999</v>
      </c>
      <c r="R31">
        <v>0</v>
      </c>
      <c r="S31">
        <v>7126.4103999999998</v>
      </c>
      <c r="T31">
        <v>24.878900000000002</v>
      </c>
      <c r="U31">
        <v>5825.7007999999996</v>
      </c>
      <c r="V31">
        <v>186659.24979999999</v>
      </c>
      <c r="W31">
        <v>41910.933299999997</v>
      </c>
      <c r="X31">
        <v>140267.12359999999</v>
      </c>
      <c r="Y31">
        <v>16779.8259</v>
      </c>
      <c r="Z31">
        <v>963.05709999999999</v>
      </c>
      <c r="AA31">
        <v>10050.1374</v>
      </c>
      <c r="AB31">
        <v>65.376499999999993</v>
      </c>
      <c r="AC31">
        <v>3403.4643000000001</v>
      </c>
      <c r="AD31">
        <v>1832.319</v>
      </c>
      <c r="AE31">
        <v>7429.7470999999996</v>
      </c>
      <c r="AF31">
        <v>1047972.6701</v>
      </c>
      <c r="AG31">
        <v>36.400599999999997</v>
      </c>
      <c r="AH31">
        <v>30491.2647</v>
      </c>
      <c r="AI31">
        <v>137823.2745</v>
      </c>
      <c r="AJ31">
        <v>92297.478300000002</v>
      </c>
      <c r="AK31">
        <v>448185.42259999999</v>
      </c>
      <c r="AL31">
        <v>158818.6827</v>
      </c>
      <c r="AM31">
        <v>8221.8945999999996</v>
      </c>
      <c r="AN31">
        <v>1780.8848</v>
      </c>
      <c r="AO31">
        <v>8918.6733999999997</v>
      </c>
      <c r="AP31">
        <v>5277.4323000000004</v>
      </c>
      <c r="AQ31">
        <v>17484.328399999999</v>
      </c>
      <c r="AR31">
        <v>10446.7881</v>
      </c>
      <c r="AS31">
        <v>33796.4303</v>
      </c>
      <c r="AT31">
        <v>140567.1814</v>
      </c>
      <c r="AU31">
        <v>14885.273499999999</v>
      </c>
      <c r="AV31">
        <v>11966.117700000001</v>
      </c>
      <c r="AW31">
        <v>5961.9647000000004</v>
      </c>
      <c r="AX31">
        <v>32.973199999999999</v>
      </c>
      <c r="AY31">
        <v>26377.308400000002</v>
      </c>
      <c r="AZ31">
        <v>4764.8796000000002</v>
      </c>
      <c r="BA31">
        <v>252679.05439999999</v>
      </c>
      <c r="BB31">
        <v>96359.199900000007</v>
      </c>
      <c r="BC31">
        <v>52588.111400000002</v>
      </c>
      <c r="BD31">
        <v>58842.552100000001</v>
      </c>
      <c r="BE31">
        <v>0</v>
      </c>
      <c r="BF31">
        <v>3689106.3415999999</v>
      </c>
      <c r="BG31">
        <v>2351796.6269999999</v>
      </c>
      <c r="BH31">
        <v>54766.976799999997</v>
      </c>
      <c r="BI31">
        <v>0</v>
      </c>
      <c r="BJ31">
        <v>0</v>
      </c>
      <c r="BK31">
        <v>0</v>
      </c>
      <c r="BL31">
        <v>2406563.6038000002</v>
      </c>
      <c r="BM31">
        <v>6095669.9453999996</v>
      </c>
      <c r="BN31">
        <v>0</v>
      </c>
      <c r="BO31">
        <v>0</v>
      </c>
      <c r="BP31">
        <v>6095669.9453999996</v>
      </c>
      <c r="BQ31">
        <v>6095669.9453999996</v>
      </c>
    </row>
    <row r="32" spans="1:69">
      <c r="A32" t="s">
        <v>32</v>
      </c>
      <c r="B32" t="s">
        <v>99</v>
      </c>
      <c r="C32">
        <v>0</v>
      </c>
      <c r="D32">
        <v>0</v>
      </c>
      <c r="E32">
        <v>1730.5646999999999</v>
      </c>
      <c r="F32">
        <v>0</v>
      </c>
      <c r="G32">
        <v>0</v>
      </c>
      <c r="H32">
        <v>0</v>
      </c>
      <c r="I32">
        <v>0</v>
      </c>
      <c r="J32">
        <v>0</v>
      </c>
      <c r="K32">
        <v>16221.971100000001</v>
      </c>
      <c r="L32">
        <v>2.2225000000000001</v>
      </c>
      <c r="M32">
        <v>2.5537000000000001</v>
      </c>
      <c r="N32">
        <v>0</v>
      </c>
      <c r="O32">
        <v>386.1533</v>
      </c>
      <c r="P32">
        <v>0</v>
      </c>
      <c r="Q32">
        <v>22494.9031</v>
      </c>
      <c r="R32">
        <v>0</v>
      </c>
      <c r="S32">
        <v>869.3297</v>
      </c>
      <c r="T32">
        <v>2.4184999999999999</v>
      </c>
      <c r="U32">
        <v>1165.4093</v>
      </c>
      <c r="V32">
        <v>12975.554899999999</v>
      </c>
      <c r="W32">
        <v>10390.266799999999</v>
      </c>
      <c r="X32">
        <v>26703.177</v>
      </c>
      <c r="Y32">
        <v>5076.8041000000003</v>
      </c>
      <c r="Z32">
        <v>272.49</v>
      </c>
      <c r="AA32">
        <v>1808.9113</v>
      </c>
      <c r="AB32">
        <v>20.939699999999998</v>
      </c>
      <c r="AC32">
        <v>545.65350000000001</v>
      </c>
      <c r="AD32">
        <v>457.29070000000002</v>
      </c>
      <c r="AE32">
        <v>934.68230000000005</v>
      </c>
      <c r="AF32">
        <v>283.96260000000001</v>
      </c>
      <c r="AG32">
        <v>33.553899999999999</v>
      </c>
      <c r="AH32">
        <v>32.423299999999998</v>
      </c>
      <c r="AI32">
        <v>18423.022199999999</v>
      </c>
      <c r="AJ32">
        <v>0</v>
      </c>
      <c r="AK32">
        <v>1339.2527</v>
      </c>
      <c r="AL32">
        <v>0</v>
      </c>
      <c r="AM32">
        <v>4335.2902999999997</v>
      </c>
      <c r="AN32">
        <v>0</v>
      </c>
      <c r="AO32">
        <v>0</v>
      </c>
      <c r="AP32">
        <v>71.014300000000006</v>
      </c>
      <c r="AQ32">
        <v>0</v>
      </c>
      <c r="AR32">
        <v>760.70450000000005</v>
      </c>
      <c r="AS32">
        <v>1530.0358000000001</v>
      </c>
      <c r="AT32">
        <v>0</v>
      </c>
      <c r="AU32">
        <v>1.7299</v>
      </c>
      <c r="AV32">
        <v>0</v>
      </c>
      <c r="AW32">
        <v>0</v>
      </c>
      <c r="AX32">
        <v>0</v>
      </c>
      <c r="AY32">
        <v>0</v>
      </c>
      <c r="AZ32">
        <v>14.5436</v>
      </c>
      <c r="BA32">
        <v>488.34379999999999</v>
      </c>
      <c r="BB32">
        <v>1278.941</v>
      </c>
      <c r="BC32">
        <v>282.01179999999999</v>
      </c>
      <c r="BD32">
        <v>47.932000000000002</v>
      </c>
      <c r="BE32">
        <v>0</v>
      </c>
      <c r="BF32">
        <v>130984.0575</v>
      </c>
      <c r="BG32">
        <v>45165.519699999997</v>
      </c>
      <c r="BH32">
        <v>0</v>
      </c>
      <c r="BI32">
        <v>0</v>
      </c>
      <c r="BJ32">
        <v>0</v>
      </c>
      <c r="BK32">
        <v>0</v>
      </c>
      <c r="BL32">
        <v>45165.519699999997</v>
      </c>
      <c r="BM32">
        <v>176149.5772</v>
      </c>
      <c r="BN32">
        <v>0</v>
      </c>
      <c r="BO32">
        <v>0</v>
      </c>
      <c r="BP32">
        <v>176149.5772</v>
      </c>
      <c r="BQ32">
        <v>176149.5772</v>
      </c>
    </row>
    <row r="33" spans="1:69">
      <c r="A33" t="s">
        <v>33</v>
      </c>
      <c r="B33" t="s">
        <v>100</v>
      </c>
      <c r="C33">
        <v>176.31</v>
      </c>
      <c r="D33">
        <v>4495.4274999999998</v>
      </c>
      <c r="E33">
        <v>10833.4635</v>
      </c>
      <c r="F33">
        <v>0</v>
      </c>
      <c r="G33">
        <v>24.281199999999998</v>
      </c>
      <c r="H33">
        <v>96.086600000000004</v>
      </c>
      <c r="I33">
        <v>260.005</v>
      </c>
      <c r="J33">
        <v>12.3348</v>
      </c>
      <c r="K33">
        <v>1235.3649</v>
      </c>
      <c r="L33">
        <v>7900.6869999999999</v>
      </c>
      <c r="M33">
        <v>8895.2775000000001</v>
      </c>
      <c r="N33">
        <v>0</v>
      </c>
      <c r="O33">
        <v>514.5489</v>
      </c>
      <c r="P33">
        <v>193.20230000000001</v>
      </c>
      <c r="Q33">
        <v>29212.9944</v>
      </c>
      <c r="R33">
        <v>0</v>
      </c>
      <c r="S33">
        <v>842.5213</v>
      </c>
      <c r="T33">
        <v>1.4004000000000001</v>
      </c>
      <c r="U33">
        <v>385.4135</v>
      </c>
      <c r="V33">
        <v>21200.9699</v>
      </c>
      <c r="W33">
        <v>7524.0280000000002</v>
      </c>
      <c r="X33">
        <v>13753.998900000001</v>
      </c>
      <c r="Y33">
        <v>2915.4911999999999</v>
      </c>
      <c r="Z33">
        <v>2352.9634999999998</v>
      </c>
      <c r="AA33">
        <v>401.53840000000002</v>
      </c>
      <c r="AB33">
        <v>3.0341999999999998</v>
      </c>
      <c r="AC33">
        <v>615.88170000000002</v>
      </c>
      <c r="AD33">
        <v>158.91380000000001</v>
      </c>
      <c r="AE33">
        <v>300.49930000000001</v>
      </c>
      <c r="AF33">
        <v>117.6828</v>
      </c>
      <c r="AG33">
        <v>1.7005999999999999</v>
      </c>
      <c r="AH33">
        <v>30853.447700000001</v>
      </c>
      <c r="AI33">
        <v>13710.3467</v>
      </c>
      <c r="AJ33">
        <v>13335.092699999999</v>
      </c>
      <c r="AK33">
        <v>75413.444900000002</v>
      </c>
      <c r="AL33">
        <v>228.5333</v>
      </c>
      <c r="AM33">
        <v>210.76130000000001</v>
      </c>
      <c r="AN33">
        <v>1388.5398</v>
      </c>
      <c r="AO33">
        <v>618.54899999999998</v>
      </c>
      <c r="AP33">
        <v>630.03510000000006</v>
      </c>
      <c r="AQ33">
        <v>1455.6397999999999</v>
      </c>
      <c r="AR33">
        <v>1923.3792000000001</v>
      </c>
      <c r="AS33">
        <v>2455.3081000000002</v>
      </c>
      <c r="AT33">
        <v>3221.3503000000001</v>
      </c>
      <c r="AU33">
        <v>330.01650000000001</v>
      </c>
      <c r="AV33">
        <v>72.521799999999999</v>
      </c>
      <c r="AW33">
        <v>221.49100000000001</v>
      </c>
      <c r="AX33">
        <v>0.17760000000000001</v>
      </c>
      <c r="AY33">
        <v>1641.0790999999999</v>
      </c>
      <c r="AZ33">
        <v>722.3605</v>
      </c>
      <c r="BA33">
        <v>10100.700800000001</v>
      </c>
      <c r="BB33">
        <v>9840.8261000000002</v>
      </c>
      <c r="BC33">
        <v>23403.783299999999</v>
      </c>
      <c r="BD33">
        <v>10348.562900000001</v>
      </c>
      <c r="BE33">
        <v>0</v>
      </c>
      <c r="BF33">
        <v>316551.96860000002</v>
      </c>
      <c r="BG33">
        <v>719254.35629999998</v>
      </c>
      <c r="BH33">
        <v>12732.4316</v>
      </c>
      <c r="BI33">
        <v>243.07589999999999</v>
      </c>
      <c r="BJ33">
        <v>0</v>
      </c>
      <c r="BK33">
        <v>0</v>
      </c>
      <c r="BL33">
        <v>732229.8639</v>
      </c>
      <c r="BM33">
        <v>1048781.8324</v>
      </c>
      <c r="BN33">
        <v>0</v>
      </c>
      <c r="BO33">
        <v>0</v>
      </c>
      <c r="BP33">
        <v>1048781.8324</v>
      </c>
      <c r="BQ33">
        <v>1048781.8324</v>
      </c>
    </row>
    <row r="34" spans="1:69">
      <c r="A34" t="s">
        <v>34</v>
      </c>
      <c r="B34" t="s">
        <v>101</v>
      </c>
      <c r="C34">
        <v>619055.05920000002</v>
      </c>
      <c r="D34">
        <v>161382.13560000001</v>
      </c>
      <c r="E34">
        <v>14602.932199999999</v>
      </c>
      <c r="F34">
        <v>34288.849800000004</v>
      </c>
      <c r="G34">
        <v>53366.001100000001</v>
      </c>
      <c r="H34">
        <v>206035.07939999999</v>
      </c>
      <c r="I34">
        <v>3858.498</v>
      </c>
      <c r="J34">
        <v>437693.35190000001</v>
      </c>
      <c r="K34">
        <v>82699.233800000002</v>
      </c>
      <c r="L34">
        <v>853166.39350000001</v>
      </c>
      <c r="M34">
        <v>4540494.6458999999</v>
      </c>
      <c r="N34">
        <v>0</v>
      </c>
      <c r="O34">
        <v>3017743.0044999998</v>
      </c>
      <c r="P34">
        <v>31485.221799999999</v>
      </c>
      <c r="Q34">
        <v>37680.522100000002</v>
      </c>
      <c r="R34">
        <v>1.67E-2</v>
      </c>
      <c r="S34">
        <v>1089.1585</v>
      </c>
      <c r="T34">
        <v>5.0579999999999998</v>
      </c>
      <c r="U34">
        <v>759.02149999999995</v>
      </c>
      <c r="V34">
        <v>55527.774799999999</v>
      </c>
      <c r="W34">
        <v>1018.7102</v>
      </c>
      <c r="X34">
        <v>2842.8537000000001</v>
      </c>
      <c r="Y34">
        <v>74129.462499999994</v>
      </c>
      <c r="Z34">
        <v>922.7568</v>
      </c>
      <c r="AA34">
        <v>489.16919999999999</v>
      </c>
      <c r="AB34">
        <v>1.2116</v>
      </c>
      <c r="AC34">
        <v>218.5506</v>
      </c>
      <c r="AD34">
        <v>423.24349999999998</v>
      </c>
      <c r="AE34">
        <v>265.17259999999999</v>
      </c>
      <c r="AF34">
        <v>6393.5852000000004</v>
      </c>
      <c r="AG34">
        <v>1559.4215999999999</v>
      </c>
      <c r="AH34">
        <v>32042.0039</v>
      </c>
      <c r="AI34">
        <v>567789.66440000001</v>
      </c>
      <c r="AJ34">
        <v>223993.2923</v>
      </c>
      <c r="AK34">
        <v>3809135.5843000002</v>
      </c>
      <c r="AL34">
        <v>260883.5717</v>
      </c>
      <c r="AM34">
        <v>3347.3090000000002</v>
      </c>
      <c r="AN34">
        <v>46889.959600000002</v>
      </c>
      <c r="AO34">
        <v>29095.230800000001</v>
      </c>
      <c r="AP34">
        <v>15221.716899999999</v>
      </c>
      <c r="AQ34">
        <v>242876.9008</v>
      </c>
      <c r="AR34">
        <v>18802.301100000001</v>
      </c>
      <c r="AS34">
        <v>34354.146200000003</v>
      </c>
      <c r="AT34">
        <v>636372.2402</v>
      </c>
      <c r="AU34">
        <v>117645.2656</v>
      </c>
      <c r="AV34">
        <v>36144.352500000001</v>
      </c>
      <c r="AW34">
        <v>9268.6484999999993</v>
      </c>
      <c r="AX34">
        <v>100.5411</v>
      </c>
      <c r="AY34">
        <v>2101886.7974999999</v>
      </c>
      <c r="AZ34">
        <v>8843.8042000000005</v>
      </c>
      <c r="BA34">
        <v>1658118.1931</v>
      </c>
      <c r="BB34">
        <v>164522.2867</v>
      </c>
      <c r="BC34">
        <v>23651.918900000001</v>
      </c>
      <c r="BD34">
        <v>42752.226799999997</v>
      </c>
      <c r="BE34">
        <v>0</v>
      </c>
      <c r="BF34">
        <v>20322934.052000001</v>
      </c>
      <c r="BG34">
        <v>1086978.8613</v>
      </c>
      <c r="BH34">
        <v>10.6129</v>
      </c>
      <c r="BI34">
        <v>148174334.3906</v>
      </c>
      <c r="BJ34">
        <v>0</v>
      </c>
      <c r="BK34">
        <v>0</v>
      </c>
      <c r="BL34">
        <v>149261323.86480001</v>
      </c>
      <c r="BM34">
        <v>169584257.91670001</v>
      </c>
      <c r="BN34">
        <v>0</v>
      </c>
      <c r="BO34">
        <v>0</v>
      </c>
      <c r="BP34">
        <v>169584257.91670001</v>
      </c>
      <c r="BQ34">
        <v>169584257.91670001</v>
      </c>
    </row>
    <row r="35" spans="1:69">
      <c r="A35" t="s">
        <v>35</v>
      </c>
      <c r="B35" t="s">
        <v>102</v>
      </c>
      <c r="C35">
        <v>126758.1259</v>
      </c>
      <c r="D35">
        <v>22042.417600000001</v>
      </c>
      <c r="E35">
        <v>0</v>
      </c>
      <c r="F35">
        <v>0</v>
      </c>
      <c r="G35">
        <v>7.5427</v>
      </c>
      <c r="H35">
        <v>63939.959199999998</v>
      </c>
      <c r="I35">
        <v>6231.2969000000003</v>
      </c>
      <c r="J35">
        <v>52803.870499999997</v>
      </c>
      <c r="K35">
        <v>27450.1423</v>
      </c>
      <c r="L35">
        <v>27156.8855</v>
      </c>
      <c r="M35">
        <v>778186.82339999999</v>
      </c>
      <c r="N35">
        <v>0</v>
      </c>
      <c r="O35">
        <v>524953.31929999997</v>
      </c>
      <c r="P35">
        <v>6693.2682000000004</v>
      </c>
      <c r="Q35">
        <v>1144975.6666999999</v>
      </c>
      <c r="R35">
        <v>4.6825999999999999</v>
      </c>
      <c r="S35">
        <v>7500.1208999999999</v>
      </c>
      <c r="T35">
        <v>24.493600000000001</v>
      </c>
      <c r="U35">
        <v>26017.197800000002</v>
      </c>
      <c r="V35">
        <v>260836.91380000001</v>
      </c>
      <c r="W35">
        <v>101089.817</v>
      </c>
      <c r="X35">
        <v>312047.07040000003</v>
      </c>
      <c r="Y35">
        <v>14688.849700000001</v>
      </c>
      <c r="Z35">
        <v>1299.2597000000001</v>
      </c>
      <c r="AA35">
        <v>17543.192899999998</v>
      </c>
      <c r="AB35">
        <v>547.50260000000003</v>
      </c>
      <c r="AC35">
        <v>28165.364000000001</v>
      </c>
      <c r="AD35">
        <v>4304.0519999999997</v>
      </c>
      <c r="AE35">
        <v>7677.6314000000002</v>
      </c>
      <c r="AF35">
        <v>13309.1566</v>
      </c>
      <c r="AG35">
        <v>184.44839999999999</v>
      </c>
      <c r="AH35">
        <v>3955.7885000000001</v>
      </c>
      <c r="AI35">
        <v>2275322.6006</v>
      </c>
      <c r="AJ35">
        <v>141100.84830000001</v>
      </c>
      <c r="AK35">
        <v>905933.25490000006</v>
      </c>
      <c r="AL35">
        <v>27390.699199999999</v>
      </c>
      <c r="AM35">
        <v>402988.38569999998</v>
      </c>
      <c r="AN35">
        <v>17897.420300000002</v>
      </c>
      <c r="AO35">
        <v>15431.4336</v>
      </c>
      <c r="AP35">
        <v>97990.975000000006</v>
      </c>
      <c r="AQ35">
        <v>31047.9359</v>
      </c>
      <c r="AR35">
        <v>11517.2652</v>
      </c>
      <c r="AS35">
        <v>220590.3928</v>
      </c>
      <c r="AT35">
        <v>105062.94960000001</v>
      </c>
      <c r="AU35">
        <v>38084.377099999998</v>
      </c>
      <c r="AV35">
        <v>32941.712899999999</v>
      </c>
      <c r="AW35">
        <v>3463.7815000000001</v>
      </c>
      <c r="AX35">
        <v>21.0989</v>
      </c>
      <c r="AY35">
        <v>23833.4473</v>
      </c>
      <c r="AZ35">
        <v>20838.518599999999</v>
      </c>
      <c r="BA35">
        <v>161272.2654</v>
      </c>
      <c r="BB35">
        <v>108978.19650000001</v>
      </c>
      <c r="BC35">
        <v>57777.642099999997</v>
      </c>
      <c r="BD35">
        <v>38164.4352</v>
      </c>
      <c r="BE35">
        <v>0</v>
      </c>
      <c r="BF35">
        <v>8318044.4971000003</v>
      </c>
      <c r="BG35">
        <v>5375951.7955999998</v>
      </c>
      <c r="BH35">
        <v>8316.5342999999993</v>
      </c>
      <c r="BI35">
        <v>867915.30810000002</v>
      </c>
      <c r="BJ35">
        <v>0</v>
      </c>
      <c r="BK35">
        <v>788925.9656</v>
      </c>
      <c r="BL35">
        <v>7041109.6036999999</v>
      </c>
      <c r="BM35">
        <v>15359154.1007</v>
      </c>
      <c r="BN35">
        <v>0</v>
      </c>
      <c r="BO35">
        <v>0</v>
      </c>
      <c r="BP35">
        <v>15359154.1007</v>
      </c>
      <c r="BQ35">
        <v>15359154.1007</v>
      </c>
    </row>
    <row r="36" spans="1:69">
      <c r="A36" t="s">
        <v>36</v>
      </c>
      <c r="B36" t="s">
        <v>103</v>
      </c>
      <c r="C36">
        <v>226261.02</v>
      </c>
      <c r="D36">
        <v>143496.416</v>
      </c>
      <c r="E36">
        <v>246602.77239999999</v>
      </c>
      <c r="F36">
        <v>239558.62280000001</v>
      </c>
      <c r="G36">
        <v>74827.900699999998</v>
      </c>
      <c r="H36">
        <v>381120.07610000001</v>
      </c>
      <c r="I36">
        <v>47594.778700000003</v>
      </c>
      <c r="J36">
        <v>58543.014999999999</v>
      </c>
      <c r="K36">
        <v>174103.79569999999</v>
      </c>
      <c r="L36">
        <v>106190.17600000001</v>
      </c>
      <c r="M36">
        <v>3004927.074</v>
      </c>
      <c r="N36">
        <v>0</v>
      </c>
      <c r="O36">
        <v>755659.63249999995</v>
      </c>
      <c r="P36">
        <v>47541.510600000001</v>
      </c>
      <c r="Q36">
        <v>8721325.3386000004</v>
      </c>
      <c r="R36">
        <v>38.686399999999999</v>
      </c>
      <c r="S36">
        <v>57696.2379</v>
      </c>
      <c r="T36">
        <v>182.4802</v>
      </c>
      <c r="U36">
        <v>194340.20370000001</v>
      </c>
      <c r="V36">
        <v>1944149.0626000001</v>
      </c>
      <c r="W36">
        <v>767544.35259999998</v>
      </c>
      <c r="X36">
        <v>2411108.2365000001</v>
      </c>
      <c r="Y36">
        <v>106709.7883</v>
      </c>
      <c r="Z36">
        <v>9387.0702999999994</v>
      </c>
      <c r="AA36">
        <v>137782.21340000001</v>
      </c>
      <c r="AB36">
        <v>4289.0918000000001</v>
      </c>
      <c r="AC36">
        <v>215479.95170000001</v>
      </c>
      <c r="AD36">
        <v>30064.8282</v>
      </c>
      <c r="AE36">
        <v>59164.400800000003</v>
      </c>
      <c r="AF36">
        <v>45735.531799999997</v>
      </c>
      <c r="AG36">
        <v>922.82129999999995</v>
      </c>
      <c r="AH36">
        <v>24015.7572</v>
      </c>
      <c r="AI36">
        <v>16606622.263</v>
      </c>
      <c r="AJ36">
        <v>399327.05589999998</v>
      </c>
      <c r="AK36">
        <v>2402007.8078000001</v>
      </c>
      <c r="AL36">
        <v>83991.552899999995</v>
      </c>
      <c r="AM36">
        <v>651682.00100000005</v>
      </c>
      <c r="AN36">
        <v>72359.452399999995</v>
      </c>
      <c r="AO36">
        <v>63032.8393</v>
      </c>
      <c r="AP36">
        <v>633414.43429999996</v>
      </c>
      <c r="AQ36">
        <v>32223.108199999999</v>
      </c>
      <c r="AR36">
        <v>79850.2742</v>
      </c>
      <c r="AS36">
        <v>1642318.7705999999</v>
      </c>
      <c r="AT36">
        <v>592583.73990000004</v>
      </c>
      <c r="AU36">
        <v>63114.0144</v>
      </c>
      <c r="AV36">
        <v>46194.649899999997</v>
      </c>
      <c r="AW36">
        <v>14266.6186</v>
      </c>
      <c r="AX36">
        <v>84.392799999999994</v>
      </c>
      <c r="AY36">
        <v>104997.9844</v>
      </c>
      <c r="AZ36">
        <v>33281.391799999998</v>
      </c>
      <c r="BA36">
        <v>302525.56050000002</v>
      </c>
      <c r="BB36">
        <v>427551.13919999998</v>
      </c>
      <c r="BC36">
        <v>326825.92499999999</v>
      </c>
      <c r="BD36">
        <v>178785.0491</v>
      </c>
      <c r="BE36">
        <v>0</v>
      </c>
      <c r="BF36">
        <v>44993402.869099997</v>
      </c>
      <c r="BG36">
        <v>35296412.158200003</v>
      </c>
      <c r="BH36">
        <v>85232.736300000004</v>
      </c>
      <c r="BI36">
        <v>13859563.090700001</v>
      </c>
      <c r="BJ36">
        <v>0</v>
      </c>
      <c r="BK36">
        <v>28625411.6164</v>
      </c>
      <c r="BL36">
        <v>77866619.601600006</v>
      </c>
      <c r="BM36">
        <v>122860022.4707</v>
      </c>
      <c r="BN36">
        <v>0</v>
      </c>
      <c r="BO36">
        <v>0</v>
      </c>
      <c r="BP36">
        <v>122860022.4707</v>
      </c>
      <c r="BQ36">
        <v>122860022.4707</v>
      </c>
    </row>
    <row r="37" spans="1:69">
      <c r="A37" t="s">
        <v>37</v>
      </c>
      <c r="B37" t="s">
        <v>104</v>
      </c>
      <c r="C37">
        <v>102.173</v>
      </c>
      <c r="D37">
        <v>1740.1967999999999</v>
      </c>
      <c r="E37">
        <v>0</v>
      </c>
      <c r="F37">
        <v>0</v>
      </c>
      <c r="G37">
        <v>82.697400000000002</v>
      </c>
      <c r="H37">
        <v>371.15140000000002</v>
      </c>
      <c r="I37">
        <v>161.9581</v>
      </c>
      <c r="J37">
        <v>53.405099999999997</v>
      </c>
      <c r="K37">
        <v>250.505</v>
      </c>
      <c r="L37">
        <v>194.57089999999999</v>
      </c>
      <c r="M37">
        <v>307101.64919999999</v>
      </c>
      <c r="N37">
        <v>0</v>
      </c>
      <c r="O37">
        <v>6557.1012000000001</v>
      </c>
      <c r="P37">
        <v>106.60850000000001</v>
      </c>
      <c r="Q37">
        <v>3814.5428000000002</v>
      </c>
      <c r="R37">
        <v>2.6100000000000002E-2</v>
      </c>
      <c r="S37">
        <v>52.061399999999999</v>
      </c>
      <c r="T37">
        <v>0.2225</v>
      </c>
      <c r="U37">
        <v>109.8061</v>
      </c>
      <c r="V37">
        <v>7948.0154000000002</v>
      </c>
      <c r="W37">
        <v>298.00439999999998</v>
      </c>
      <c r="X37">
        <v>1064.8985</v>
      </c>
      <c r="Y37">
        <v>818.01869999999997</v>
      </c>
      <c r="Z37">
        <v>8.7622</v>
      </c>
      <c r="AA37">
        <v>85.830600000000004</v>
      </c>
      <c r="AB37">
        <v>1.7609999999999999</v>
      </c>
      <c r="AC37">
        <v>181.4376</v>
      </c>
      <c r="AD37">
        <v>43.738900000000001</v>
      </c>
      <c r="AE37">
        <v>71.063199999999995</v>
      </c>
      <c r="AF37">
        <v>107.51730000000001</v>
      </c>
      <c r="AG37">
        <v>2.0011000000000001</v>
      </c>
      <c r="AH37">
        <v>117.38800000000001</v>
      </c>
      <c r="AI37">
        <v>12710.754199999999</v>
      </c>
      <c r="AJ37">
        <v>609.79480000000001</v>
      </c>
      <c r="AK37">
        <v>38889.013299999999</v>
      </c>
      <c r="AL37">
        <v>374.59390000000002</v>
      </c>
      <c r="AM37">
        <v>370.053</v>
      </c>
      <c r="AN37">
        <v>64.819299999999998</v>
      </c>
      <c r="AO37">
        <v>40.085599999999999</v>
      </c>
      <c r="AP37">
        <v>474.81509999999997</v>
      </c>
      <c r="AQ37">
        <v>318.3383</v>
      </c>
      <c r="AR37">
        <v>61.365400000000001</v>
      </c>
      <c r="AS37">
        <v>729.18859999999995</v>
      </c>
      <c r="AT37">
        <v>881.43020000000001</v>
      </c>
      <c r="AU37">
        <v>179.93809999999999</v>
      </c>
      <c r="AV37">
        <v>146.01480000000001</v>
      </c>
      <c r="AW37">
        <v>694.64559999999994</v>
      </c>
      <c r="AX37">
        <v>0.84670000000000001</v>
      </c>
      <c r="AY37">
        <v>227.40440000000001</v>
      </c>
      <c r="AZ37">
        <v>2093.7853</v>
      </c>
      <c r="BA37">
        <v>2153.7123999999999</v>
      </c>
      <c r="BB37">
        <v>1306.529</v>
      </c>
      <c r="BC37">
        <v>352.74459999999999</v>
      </c>
      <c r="BD37">
        <v>888.36929999999995</v>
      </c>
      <c r="BE37">
        <v>0</v>
      </c>
      <c r="BF37">
        <v>395015.3542</v>
      </c>
      <c r="BG37">
        <v>1823273.4886</v>
      </c>
      <c r="BH37">
        <v>46.094000000000001</v>
      </c>
      <c r="BI37">
        <v>6257.8900999999996</v>
      </c>
      <c r="BJ37">
        <v>0</v>
      </c>
      <c r="BK37">
        <v>1364742.6321</v>
      </c>
      <c r="BL37">
        <v>3194320.1047999999</v>
      </c>
      <c r="BM37">
        <v>3589335.4589999998</v>
      </c>
      <c r="BN37">
        <v>0</v>
      </c>
      <c r="BO37">
        <v>0</v>
      </c>
      <c r="BP37">
        <v>3589335.4589999998</v>
      </c>
      <c r="BQ37">
        <v>3589335.4589999998</v>
      </c>
    </row>
    <row r="38" spans="1:69">
      <c r="A38" t="s">
        <v>38</v>
      </c>
      <c r="B38" t="s">
        <v>105</v>
      </c>
      <c r="C38">
        <v>18792.235400000001</v>
      </c>
      <c r="D38">
        <v>29349.5753</v>
      </c>
      <c r="E38">
        <v>139448.9809</v>
      </c>
      <c r="F38">
        <v>337353.95669999998</v>
      </c>
      <c r="G38">
        <v>55089.141799999998</v>
      </c>
      <c r="H38">
        <v>59062.078999999998</v>
      </c>
      <c r="I38">
        <v>2241.1363000000001</v>
      </c>
      <c r="J38">
        <v>6883.9175999999998</v>
      </c>
      <c r="K38">
        <v>18994.893</v>
      </c>
      <c r="L38">
        <v>15406.6162</v>
      </c>
      <c r="M38">
        <v>599980.69389999995</v>
      </c>
      <c r="N38">
        <v>0</v>
      </c>
      <c r="O38">
        <v>654845.56169999996</v>
      </c>
      <c r="P38">
        <v>5763.2968000000001</v>
      </c>
      <c r="Q38">
        <v>302419.34669999999</v>
      </c>
      <c r="R38">
        <v>2.6779999999999999</v>
      </c>
      <c r="S38">
        <v>4385.1716999999999</v>
      </c>
      <c r="T38">
        <v>19.364599999999999</v>
      </c>
      <c r="U38">
        <v>11518.3591</v>
      </c>
      <c r="V38">
        <v>415302.38669999997</v>
      </c>
      <c r="W38">
        <v>47438.811399999999</v>
      </c>
      <c r="X38">
        <v>132574.7519</v>
      </c>
      <c r="Y38">
        <v>14584.8012</v>
      </c>
      <c r="Z38">
        <v>896.2029</v>
      </c>
      <c r="AA38">
        <v>10450.300800000001</v>
      </c>
      <c r="AB38">
        <v>231.12090000000001</v>
      </c>
      <c r="AC38">
        <v>14541.1237</v>
      </c>
      <c r="AD38">
        <v>4694.3212000000003</v>
      </c>
      <c r="AE38">
        <v>6102.5209000000004</v>
      </c>
      <c r="AF38">
        <v>3773.6878999999999</v>
      </c>
      <c r="AG38">
        <v>281.86950000000002</v>
      </c>
      <c r="AH38">
        <v>3431.0871000000002</v>
      </c>
      <c r="AI38">
        <v>1569689.5534000001</v>
      </c>
      <c r="AJ38">
        <v>145017.4032</v>
      </c>
      <c r="AK38">
        <v>823528.35840000003</v>
      </c>
      <c r="AL38">
        <v>7671.0862999999999</v>
      </c>
      <c r="AM38">
        <v>67920.607900000003</v>
      </c>
      <c r="AN38">
        <v>7389.2168000000001</v>
      </c>
      <c r="AO38">
        <v>4065.8645000000001</v>
      </c>
      <c r="AP38">
        <v>34531.592199999999</v>
      </c>
      <c r="AQ38">
        <v>9229.1347000000005</v>
      </c>
      <c r="AR38">
        <v>5418.7943999999998</v>
      </c>
      <c r="AS38">
        <v>86774.6927</v>
      </c>
      <c r="AT38">
        <v>75965.447100000005</v>
      </c>
      <c r="AU38">
        <v>10088.6152</v>
      </c>
      <c r="AV38">
        <v>5445.51</v>
      </c>
      <c r="AW38">
        <v>4385.8849</v>
      </c>
      <c r="AX38">
        <v>40.0184</v>
      </c>
      <c r="AY38">
        <v>13124.660900000001</v>
      </c>
      <c r="AZ38">
        <v>9754.0324999999993</v>
      </c>
      <c r="BA38">
        <v>821900.43909999996</v>
      </c>
      <c r="BB38">
        <v>200178.0367</v>
      </c>
      <c r="BC38">
        <v>99332.558699999994</v>
      </c>
      <c r="BD38">
        <v>28158.1787</v>
      </c>
      <c r="BE38">
        <v>0</v>
      </c>
      <c r="BF38">
        <v>6945469.6771999998</v>
      </c>
      <c r="BG38">
        <v>4102319.7944</v>
      </c>
      <c r="BH38">
        <v>514122.53980000003</v>
      </c>
      <c r="BI38">
        <v>646871.41469999996</v>
      </c>
      <c r="BJ38">
        <v>0</v>
      </c>
      <c r="BK38">
        <v>194855.36859999999</v>
      </c>
      <c r="BL38">
        <v>5458169.1174999997</v>
      </c>
      <c r="BM38">
        <v>12403638.7947</v>
      </c>
      <c r="BN38">
        <v>0</v>
      </c>
      <c r="BO38">
        <v>0</v>
      </c>
      <c r="BP38">
        <v>12403638.7947</v>
      </c>
      <c r="BQ38">
        <v>12403638.7947</v>
      </c>
    </row>
    <row r="39" spans="1:69">
      <c r="A39" t="s">
        <v>39</v>
      </c>
      <c r="B39" t="s">
        <v>106</v>
      </c>
      <c r="C39">
        <v>2253.1745999999998</v>
      </c>
      <c r="D39">
        <v>3996.3712999999998</v>
      </c>
      <c r="E39">
        <v>0</v>
      </c>
      <c r="F39">
        <v>0</v>
      </c>
      <c r="G39">
        <v>23079.161100000001</v>
      </c>
      <c r="H39">
        <v>6934.9630999999999</v>
      </c>
      <c r="I39">
        <v>554.40009999999995</v>
      </c>
      <c r="J39">
        <v>665.16210000000001</v>
      </c>
      <c r="K39">
        <v>3204.8674000000001</v>
      </c>
      <c r="L39">
        <v>21843.4067</v>
      </c>
      <c r="M39">
        <v>307624.73749999999</v>
      </c>
      <c r="N39">
        <v>0</v>
      </c>
      <c r="O39">
        <v>7979.2471999999998</v>
      </c>
      <c r="P39">
        <v>7975.1211999999996</v>
      </c>
      <c r="Q39">
        <v>87488.549599999998</v>
      </c>
      <c r="R39">
        <v>0.51</v>
      </c>
      <c r="S39">
        <v>684.29179999999997</v>
      </c>
      <c r="T39">
        <v>1.9789000000000001</v>
      </c>
      <c r="U39">
        <v>2004.9976999999999</v>
      </c>
      <c r="V39">
        <v>20194.199700000001</v>
      </c>
      <c r="W39">
        <v>7331.9832999999999</v>
      </c>
      <c r="X39">
        <v>23517.463299999999</v>
      </c>
      <c r="Y39">
        <v>1033.1212</v>
      </c>
      <c r="Z39">
        <v>103.259</v>
      </c>
      <c r="AA39">
        <v>1592.4820999999999</v>
      </c>
      <c r="AB39">
        <v>42.970199999999998</v>
      </c>
      <c r="AC39">
        <v>2440.5518999999999</v>
      </c>
      <c r="AD39">
        <v>343.46660000000003</v>
      </c>
      <c r="AE39">
        <v>658.38509999999997</v>
      </c>
      <c r="AF39">
        <v>445.82190000000003</v>
      </c>
      <c r="AG39">
        <v>9.1273</v>
      </c>
      <c r="AH39">
        <v>263.72469999999998</v>
      </c>
      <c r="AI39">
        <v>179871.22649999999</v>
      </c>
      <c r="AJ39">
        <v>4959.0910000000003</v>
      </c>
      <c r="AK39">
        <v>27427.517</v>
      </c>
      <c r="AL39">
        <v>818.69650000000001</v>
      </c>
      <c r="AM39">
        <v>6573.3820999999998</v>
      </c>
      <c r="AN39">
        <v>534.4873</v>
      </c>
      <c r="AO39">
        <v>623.40859999999998</v>
      </c>
      <c r="AP39">
        <v>5806.3540999999996</v>
      </c>
      <c r="AQ39">
        <v>34149.4522</v>
      </c>
      <c r="AR39">
        <v>863.77760000000001</v>
      </c>
      <c r="AS39">
        <v>16738.635900000001</v>
      </c>
      <c r="AT39">
        <v>12600.981900000001</v>
      </c>
      <c r="AU39">
        <v>782.33510000000001</v>
      </c>
      <c r="AV39">
        <v>686.02300000000002</v>
      </c>
      <c r="AW39">
        <v>185.4117</v>
      </c>
      <c r="AX39">
        <v>2.6044</v>
      </c>
      <c r="AY39">
        <v>1292.0671</v>
      </c>
      <c r="AZ39">
        <v>1598.7588000000001</v>
      </c>
      <c r="BA39">
        <v>4186.4650000000001</v>
      </c>
      <c r="BB39">
        <v>4942.1196</v>
      </c>
      <c r="BC39">
        <v>3801.0201000000002</v>
      </c>
      <c r="BD39">
        <v>2798.8953000000001</v>
      </c>
      <c r="BE39">
        <v>0</v>
      </c>
      <c r="BF39">
        <v>845510.20750000002</v>
      </c>
      <c r="BG39">
        <v>406123.63990000001</v>
      </c>
      <c r="BH39">
        <v>577.2681</v>
      </c>
      <c r="BI39">
        <v>67256.895999999993</v>
      </c>
      <c r="BJ39">
        <v>0</v>
      </c>
      <c r="BK39">
        <v>109651.2568</v>
      </c>
      <c r="BL39">
        <v>583609.06079999998</v>
      </c>
      <c r="BM39">
        <v>1429119.2682</v>
      </c>
      <c r="BN39">
        <v>0</v>
      </c>
      <c r="BO39">
        <v>0</v>
      </c>
      <c r="BP39">
        <v>1429119.2682</v>
      </c>
      <c r="BQ39">
        <v>1429119.2682</v>
      </c>
    </row>
    <row r="40" spans="1:69">
      <c r="A40" t="s">
        <v>40</v>
      </c>
      <c r="B40" t="s">
        <v>107</v>
      </c>
      <c r="C40">
        <v>2155.7024999999999</v>
      </c>
      <c r="D40">
        <v>7206.2259000000004</v>
      </c>
      <c r="E40">
        <v>1423.3655000000001</v>
      </c>
      <c r="F40">
        <v>17162.2261</v>
      </c>
      <c r="G40">
        <v>3305.4461000000001</v>
      </c>
      <c r="H40">
        <v>2936.6320999999998</v>
      </c>
      <c r="I40">
        <v>187.89330000000001</v>
      </c>
      <c r="J40">
        <v>1144.3585</v>
      </c>
      <c r="K40">
        <v>3027.9643999999998</v>
      </c>
      <c r="L40">
        <v>16342.861000000001</v>
      </c>
      <c r="M40">
        <v>82948.176099999997</v>
      </c>
      <c r="N40">
        <v>0</v>
      </c>
      <c r="O40">
        <v>2087.0355</v>
      </c>
      <c r="P40">
        <v>7694.3626000000004</v>
      </c>
      <c r="Q40">
        <v>25024.933799999999</v>
      </c>
      <c r="R40">
        <v>9.6199999999999994E-2</v>
      </c>
      <c r="S40">
        <v>470.99290000000002</v>
      </c>
      <c r="T40">
        <v>1.1933</v>
      </c>
      <c r="U40">
        <v>1328.3607999999999</v>
      </c>
      <c r="V40">
        <v>5333.6602000000003</v>
      </c>
      <c r="W40">
        <v>1629.4503999999999</v>
      </c>
      <c r="X40">
        <v>5249.2933000000003</v>
      </c>
      <c r="Y40">
        <v>820.97450000000003</v>
      </c>
      <c r="Z40">
        <v>22.916</v>
      </c>
      <c r="AA40">
        <v>401.62549999999999</v>
      </c>
      <c r="AB40">
        <v>8.7162000000000006</v>
      </c>
      <c r="AC40">
        <v>753.31629999999996</v>
      </c>
      <c r="AD40">
        <v>329.98320000000001</v>
      </c>
      <c r="AE40">
        <v>400.61160000000001</v>
      </c>
      <c r="AF40">
        <v>180.41679999999999</v>
      </c>
      <c r="AG40">
        <v>6.8760000000000003</v>
      </c>
      <c r="AH40">
        <v>980.37639999999999</v>
      </c>
      <c r="AI40">
        <v>61705.268799999998</v>
      </c>
      <c r="AJ40">
        <v>2599.7993999999999</v>
      </c>
      <c r="AK40">
        <v>72629.747600000002</v>
      </c>
      <c r="AL40">
        <v>782.03520000000003</v>
      </c>
      <c r="AM40">
        <v>28479.587299999999</v>
      </c>
      <c r="AN40">
        <v>3018.9983999999999</v>
      </c>
      <c r="AO40">
        <v>1004.7406</v>
      </c>
      <c r="AP40">
        <v>12625.036700000001</v>
      </c>
      <c r="AQ40">
        <v>66440.310700000002</v>
      </c>
      <c r="AR40">
        <v>413.68430000000001</v>
      </c>
      <c r="AS40">
        <v>6620.8301000000001</v>
      </c>
      <c r="AT40">
        <v>2780.9762999999998</v>
      </c>
      <c r="AU40">
        <v>317.21690000000001</v>
      </c>
      <c r="AV40">
        <v>195.66</v>
      </c>
      <c r="AW40">
        <v>130.11510000000001</v>
      </c>
      <c r="AX40">
        <v>2.6352000000000002</v>
      </c>
      <c r="AY40">
        <v>356.00630000000001</v>
      </c>
      <c r="AZ40">
        <v>2842.8444</v>
      </c>
      <c r="BA40">
        <v>1264.415</v>
      </c>
      <c r="BB40">
        <v>1451.2935</v>
      </c>
      <c r="BC40">
        <v>1002.1724</v>
      </c>
      <c r="BD40">
        <v>1689.9213</v>
      </c>
      <c r="BE40">
        <v>0</v>
      </c>
      <c r="BF40">
        <v>458919.33850000001</v>
      </c>
      <c r="BG40">
        <v>813609.19949999999</v>
      </c>
      <c r="BH40">
        <v>118.25530000000001</v>
      </c>
      <c r="BI40">
        <v>13811.512000000001</v>
      </c>
      <c r="BJ40">
        <v>0</v>
      </c>
      <c r="BK40">
        <v>53502.843399999998</v>
      </c>
      <c r="BL40">
        <v>881041.81019999995</v>
      </c>
      <c r="BM40">
        <v>1339961.1488000001</v>
      </c>
      <c r="BN40">
        <v>0</v>
      </c>
      <c r="BO40">
        <v>0</v>
      </c>
      <c r="BP40">
        <v>1339961.1488000001</v>
      </c>
      <c r="BQ40">
        <v>1339961.1488000001</v>
      </c>
    </row>
    <row r="41" spans="1:69">
      <c r="A41" t="s">
        <v>41</v>
      </c>
      <c r="B41" t="s">
        <v>108</v>
      </c>
      <c r="C41">
        <v>3057.2917000000002</v>
      </c>
      <c r="D41">
        <v>3407.4521</v>
      </c>
      <c r="E41">
        <v>121497.5368</v>
      </c>
      <c r="F41">
        <v>22937.6103</v>
      </c>
      <c r="G41">
        <v>7147.7825999999995</v>
      </c>
      <c r="H41">
        <v>3568.1336999999999</v>
      </c>
      <c r="I41">
        <v>371.82639999999998</v>
      </c>
      <c r="J41">
        <v>2560.8195999999998</v>
      </c>
      <c r="K41">
        <v>5163.3558000000003</v>
      </c>
      <c r="L41">
        <v>80133.2935</v>
      </c>
      <c r="M41">
        <v>782643.08829999994</v>
      </c>
      <c r="N41">
        <v>0</v>
      </c>
      <c r="O41">
        <v>70837.953500000003</v>
      </c>
      <c r="P41">
        <v>6621.1670000000004</v>
      </c>
      <c r="Q41">
        <v>77836.633799999996</v>
      </c>
      <c r="R41">
        <v>0.41839999999999999</v>
      </c>
      <c r="S41">
        <v>1941.3479</v>
      </c>
      <c r="T41">
        <v>3.3231000000000002</v>
      </c>
      <c r="U41">
        <v>3593.4866999999999</v>
      </c>
      <c r="V41">
        <v>23428.991600000001</v>
      </c>
      <c r="W41">
        <v>12126.646199999999</v>
      </c>
      <c r="X41">
        <v>38851.965600000003</v>
      </c>
      <c r="Y41">
        <v>2292.7422000000001</v>
      </c>
      <c r="Z41">
        <v>237.87569999999999</v>
      </c>
      <c r="AA41">
        <v>2791.5003999999999</v>
      </c>
      <c r="AB41">
        <v>46.748899999999999</v>
      </c>
      <c r="AC41">
        <v>2552.1851999999999</v>
      </c>
      <c r="AD41">
        <v>622.83460000000002</v>
      </c>
      <c r="AE41">
        <v>1358.3202000000001</v>
      </c>
      <c r="AF41">
        <v>3229.3589000000002</v>
      </c>
      <c r="AG41">
        <v>31.581800000000001</v>
      </c>
      <c r="AH41">
        <v>1404.7265</v>
      </c>
      <c r="AI41">
        <v>282895.64720000001</v>
      </c>
      <c r="AJ41">
        <v>21040.810700000002</v>
      </c>
      <c r="AK41">
        <v>564957.875</v>
      </c>
      <c r="AL41">
        <v>2503.5306999999998</v>
      </c>
      <c r="AM41">
        <v>17088.466799999998</v>
      </c>
      <c r="AN41">
        <v>5592.0285999999996</v>
      </c>
      <c r="AO41">
        <v>2000.6436000000001</v>
      </c>
      <c r="AP41">
        <v>160426.38639999999</v>
      </c>
      <c r="AQ41">
        <v>69555.490600000005</v>
      </c>
      <c r="AR41">
        <v>1911.9712</v>
      </c>
      <c r="AS41">
        <v>10987.4175</v>
      </c>
      <c r="AT41">
        <v>61940.7359</v>
      </c>
      <c r="AU41">
        <v>27643.364000000001</v>
      </c>
      <c r="AV41">
        <v>2529.8804</v>
      </c>
      <c r="AW41">
        <v>5519.3050999999996</v>
      </c>
      <c r="AX41">
        <v>30.0275</v>
      </c>
      <c r="AY41">
        <v>31043.498299999999</v>
      </c>
      <c r="AZ41">
        <v>15104.269399999999</v>
      </c>
      <c r="BA41">
        <v>1391772.1610999999</v>
      </c>
      <c r="BB41">
        <v>176941.33780000001</v>
      </c>
      <c r="BC41">
        <v>42978.113700000002</v>
      </c>
      <c r="BD41">
        <v>18260.425999999999</v>
      </c>
      <c r="BE41">
        <v>0</v>
      </c>
      <c r="BF41">
        <v>4195021.3864000002</v>
      </c>
      <c r="BG41">
        <v>5868181.3969999999</v>
      </c>
      <c r="BH41">
        <v>54573.73</v>
      </c>
      <c r="BI41">
        <v>17087.250899999999</v>
      </c>
      <c r="BJ41">
        <v>0</v>
      </c>
      <c r="BK41">
        <v>134180.14689999999</v>
      </c>
      <c r="BL41">
        <v>6074022.5247</v>
      </c>
      <c r="BM41">
        <v>10269043.9111</v>
      </c>
      <c r="BN41">
        <v>0</v>
      </c>
      <c r="BO41">
        <v>0</v>
      </c>
      <c r="BP41">
        <v>10269043.9111</v>
      </c>
      <c r="BQ41">
        <v>10269043.9111</v>
      </c>
    </row>
    <row r="42" spans="1:69">
      <c r="A42" t="s">
        <v>42</v>
      </c>
      <c r="B42" t="s">
        <v>109</v>
      </c>
      <c r="C42">
        <v>1572.5263</v>
      </c>
      <c r="D42">
        <v>5864.0546999999997</v>
      </c>
      <c r="E42">
        <v>14511.524799999999</v>
      </c>
      <c r="F42">
        <v>29576.434099999999</v>
      </c>
      <c r="G42">
        <v>36487.176200000002</v>
      </c>
      <c r="H42">
        <v>3104.3271</v>
      </c>
      <c r="I42">
        <v>215.36250000000001</v>
      </c>
      <c r="J42">
        <v>1558.8712</v>
      </c>
      <c r="K42">
        <v>3942.4405999999999</v>
      </c>
      <c r="L42">
        <v>3191.5273000000002</v>
      </c>
      <c r="M42">
        <v>72793.054000000004</v>
      </c>
      <c r="N42">
        <v>0</v>
      </c>
      <c r="O42">
        <v>11644.6574</v>
      </c>
      <c r="P42">
        <v>691.7405</v>
      </c>
      <c r="Q42">
        <v>38606.6685</v>
      </c>
      <c r="R42">
        <v>0.2752</v>
      </c>
      <c r="S42">
        <v>585.89930000000004</v>
      </c>
      <c r="T42">
        <v>2.0045999999999999</v>
      </c>
      <c r="U42">
        <v>881.34950000000003</v>
      </c>
      <c r="V42">
        <v>12945.9619</v>
      </c>
      <c r="W42">
        <v>6666.6629000000003</v>
      </c>
      <c r="X42">
        <v>17992.517</v>
      </c>
      <c r="Y42">
        <v>1178.0821000000001</v>
      </c>
      <c r="Z42">
        <v>115.8944</v>
      </c>
      <c r="AA42">
        <v>1436.7014999999999</v>
      </c>
      <c r="AB42">
        <v>21.372399999999999</v>
      </c>
      <c r="AC42">
        <v>2226.6687999999999</v>
      </c>
      <c r="AD42">
        <v>433.49430000000001</v>
      </c>
      <c r="AE42">
        <v>852.47709999999995</v>
      </c>
      <c r="AF42">
        <v>352.73259999999999</v>
      </c>
      <c r="AG42">
        <v>6.5659999999999998</v>
      </c>
      <c r="AH42">
        <v>308.50830000000002</v>
      </c>
      <c r="AI42">
        <v>188950.4565</v>
      </c>
      <c r="AJ42">
        <v>20235.130399999998</v>
      </c>
      <c r="AK42">
        <v>222171.9969</v>
      </c>
      <c r="AL42">
        <v>13808.474</v>
      </c>
      <c r="AM42">
        <v>33623.413500000002</v>
      </c>
      <c r="AN42">
        <v>63944.813699999999</v>
      </c>
      <c r="AO42">
        <v>19446.893199999999</v>
      </c>
      <c r="AP42">
        <v>252710.8835</v>
      </c>
      <c r="AQ42">
        <v>36203.761299999998</v>
      </c>
      <c r="AR42">
        <v>464.30970000000002</v>
      </c>
      <c r="AS42">
        <v>7445.6538</v>
      </c>
      <c r="AT42">
        <v>13598.053</v>
      </c>
      <c r="AU42">
        <v>726.18780000000004</v>
      </c>
      <c r="AV42">
        <v>402.89409999999998</v>
      </c>
      <c r="AW42">
        <v>2030.1207999999999</v>
      </c>
      <c r="AX42">
        <v>39.531199999999998</v>
      </c>
      <c r="AY42">
        <v>2178.0664999999999</v>
      </c>
      <c r="AZ42">
        <v>1587.0017</v>
      </c>
      <c r="BA42">
        <v>5858.7367999999997</v>
      </c>
      <c r="BB42">
        <v>3979.2138</v>
      </c>
      <c r="BC42">
        <v>2065.8584000000001</v>
      </c>
      <c r="BD42">
        <v>2115.7269000000001</v>
      </c>
      <c r="BE42">
        <v>0</v>
      </c>
      <c r="BF42">
        <v>1163354.7106000001</v>
      </c>
      <c r="BG42">
        <v>1347226.9567</v>
      </c>
      <c r="BH42">
        <v>27223.081900000001</v>
      </c>
      <c r="BI42">
        <v>0</v>
      </c>
      <c r="BJ42">
        <v>0</v>
      </c>
      <c r="BK42">
        <v>0</v>
      </c>
      <c r="BL42">
        <v>1374450.0386000001</v>
      </c>
      <c r="BM42">
        <v>2537804.7491000001</v>
      </c>
      <c r="BN42">
        <v>0</v>
      </c>
      <c r="BO42">
        <v>0</v>
      </c>
      <c r="BP42">
        <v>2537804.7491000001</v>
      </c>
      <c r="BQ42">
        <v>2537804.7491000001</v>
      </c>
    </row>
    <row r="43" spans="1:69">
      <c r="A43" t="s">
        <v>43</v>
      </c>
      <c r="B43" t="s">
        <v>110</v>
      </c>
      <c r="C43">
        <v>72.393500000000003</v>
      </c>
      <c r="D43">
        <v>1138.0871999999999</v>
      </c>
      <c r="E43">
        <v>129877.5866</v>
      </c>
      <c r="F43">
        <v>290289.10279999999</v>
      </c>
      <c r="G43">
        <v>65267.308199999999</v>
      </c>
      <c r="H43">
        <v>16231.2539</v>
      </c>
      <c r="I43">
        <v>2.1772999999999998</v>
      </c>
      <c r="J43">
        <v>1708.7533000000001</v>
      </c>
      <c r="K43">
        <v>7898.2259000000004</v>
      </c>
      <c r="L43">
        <v>6900.6333999999997</v>
      </c>
      <c r="M43">
        <v>105012.3414</v>
      </c>
      <c r="N43">
        <v>0</v>
      </c>
      <c r="O43">
        <v>8.3026</v>
      </c>
      <c r="P43">
        <v>421.18020000000001</v>
      </c>
      <c r="Q43">
        <v>31373.554700000001</v>
      </c>
      <c r="R43">
        <v>0</v>
      </c>
      <c r="S43">
        <v>4800.2415000000001</v>
      </c>
      <c r="T43">
        <v>1.7025999999999999</v>
      </c>
      <c r="U43">
        <v>730.84040000000005</v>
      </c>
      <c r="V43">
        <v>9677.8071</v>
      </c>
      <c r="W43">
        <v>10010.5867</v>
      </c>
      <c r="X43">
        <v>10565.5298</v>
      </c>
      <c r="Y43">
        <v>660.93949999999995</v>
      </c>
      <c r="Z43">
        <v>161.64699999999999</v>
      </c>
      <c r="AA43">
        <v>970.35350000000005</v>
      </c>
      <c r="AB43">
        <v>18.3292</v>
      </c>
      <c r="AC43">
        <v>8287.0434999999998</v>
      </c>
      <c r="AD43">
        <v>20.166599999999999</v>
      </c>
      <c r="AE43">
        <v>193.8931</v>
      </c>
      <c r="AF43">
        <v>121.3314</v>
      </c>
      <c r="AG43">
        <v>14.743</v>
      </c>
      <c r="AH43">
        <v>335.738</v>
      </c>
      <c r="AI43">
        <v>62738.276400000002</v>
      </c>
      <c r="AJ43">
        <v>86019.381200000003</v>
      </c>
      <c r="AK43">
        <v>269498.47700000001</v>
      </c>
      <c r="AL43">
        <v>11520.855299999999</v>
      </c>
      <c r="AM43">
        <v>17899.223099999999</v>
      </c>
      <c r="AN43">
        <v>7893.3244000000004</v>
      </c>
      <c r="AO43">
        <v>15439.5676</v>
      </c>
      <c r="AP43">
        <v>36328.960599999999</v>
      </c>
      <c r="AQ43">
        <v>15236.2377</v>
      </c>
      <c r="AR43">
        <v>2259.9838</v>
      </c>
      <c r="AS43">
        <v>222.96879999999999</v>
      </c>
      <c r="AT43">
        <v>147282.84599999999</v>
      </c>
      <c r="AU43">
        <v>19131.301100000001</v>
      </c>
      <c r="AV43">
        <v>195556.50529999999</v>
      </c>
      <c r="AW43">
        <v>46053.777699999999</v>
      </c>
      <c r="AX43">
        <v>1438.7375999999999</v>
      </c>
      <c r="AY43">
        <v>20327.822800000002</v>
      </c>
      <c r="AZ43">
        <v>14134.3122</v>
      </c>
      <c r="BA43">
        <v>5234.9885000000004</v>
      </c>
      <c r="BB43">
        <v>5667.9674000000005</v>
      </c>
      <c r="BC43">
        <v>10718.273300000001</v>
      </c>
      <c r="BD43">
        <v>3223.3319999999999</v>
      </c>
      <c r="BE43">
        <v>0</v>
      </c>
      <c r="BF43">
        <v>1696598.9136000001</v>
      </c>
      <c r="BG43">
        <v>727633.11800000002</v>
      </c>
      <c r="BH43">
        <v>4320.6758</v>
      </c>
      <c r="BI43">
        <v>0</v>
      </c>
      <c r="BJ43">
        <v>0</v>
      </c>
      <c r="BK43">
        <v>108708.81419999999</v>
      </c>
      <c r="BL43">
        <v>840662.60800000001</v>
      </c>
      <c r="BM43">
        <v>2537261.5216000001</v>
      </c>
      <c r="BN43">
        <v>0</v>
      </c>
      <c r="BO43">
        <v>0</v>
      </c>
      <c r="BP43">
        <v>2537261.5216000001</v>
      </c>
      <c r="BQ43">
        <v>2537261.5216000001</v>
      </c>
    </row>
    <row r="44" spans="1:69">
      <c r="A44" t="s">
        <v>44</v>
      </c>
      <c r="B44" t="s">
        <v>111</v>
      </c>
      <c r="C44">
        <v>8443.7684000000008</v>
      </c>
      <c r="D44">
        <v>5478.5140000000001</v>
      </c>
      <c r="E44">
        <v>112047.15</v>
      </c>
      <c r="F44">
        <v>110280.852</v>
      </c>
      <c r="G44">
        <v>72038.499100000001</v>
      </c>
      <c r="H44">
        <v>4514.5874999999996</v>
      </c>
      <c r="I44">
        <v>248.91720000000001</v>
      </c>
      <c r="J44">
        <v>1273.3891000000001</v>
      </c>
      <c r="K44">
        <v>14511.696900000001</v>
      </c>
      <c r="L44">
        <v>25391.7549</v>
      </c>
      <c r="M44">
        <v>51801.821900000003</v>
      </c>
      <c r="N44">
        <v>0</v>
      </c>
      <c r="O44">
        <v>113041.182</v>
      </c>
      <c r="P44">
        <v>875.51239999999996</v>
      </c>
      <c r="Q44">
        <v>50616.166299999997</v>
      </c>
      <c r="R44">
        <v>0.20130000000000001</v>
      </c>
      <c r="S44">
        <v>581.35019999999997</v>
      </c>
      <c r="T44">
        <v>3.4060999999999999</v>
      </c>
      <c r="U44">
        <v>6311.3379000000004</v>
      </c>
      <c r="V44">
        <v>37922.806700000001</v>
      </c>
      <c r="W44">
        <v>10764.7623</v>
      </c>
      <c r="X44">
        <v>42153.619700000003</v>
      </c>
      <c r="Y44">
        <v>5750.7678999999998</v>
      </c>
      <c r="Z44">
        <v>329.27940000000001</v>
      </c>
      <c r="AA44">
        <v>1196.2088000000001</v>
      </c>
      <c r="AB44">
        <v>32.0184</v>
      </c>
      <c r="AC44">
        <v>2869.8919000000001</v>
      </c>
      <c r="AD44">
        <v>568.61720000000003</v>
      </c>
      <c r="AE44">
        <v>5060.0677999999998</v>
      </c>
      <c r="AF44">
        <v>2393.9994999999999</v>
      </c>
      <c r="AG44">
        <v>23.0975</v>
      </c>
      <c r="AH44">
        <v>440.72899999999998</v>
      </c>
      <c r="AI44">
        <v>1135018.9032000001</v>
      </c>
      <c r="AJ44">
        <v>37182.419900000001</v>
      </c>
      <c r="AK44">
        <v>954010.94339999999</v>
      </c>
      <c r="AL44">
        <v>3924.7588999999998</v>
      </c>
      <c r="AM44">
        <v>8975.2595999999994</v>
      </c>
      <c r="AN44">
        <v>5050.3851000000004</v>
      </c>
      <c r="AO44">
        <v>6628.0294999999996</v>
      </c>
      <c r="AP44">
        <v>243423.85029999999</v>
      </c>
      <c r="AQ44">
        <v>4552.5533999999998</v>
      </c>
      <c r="AR44">
        <v>2822.1208999999999</v>
      </c>
      <c r="AS44">
        <v>12841.2348</v>
      </c>
      <c r="AT44">
        <v>40715.125</v>
      </c>
      <c r="AU44">
        <v>7994.8684999999996</v>
      </c>
      <c r="AV44">
        <v>2345.5248000000001</v>
      </c>
      <c r="AW44">
        <v>4736.0252</v>
      </c>
      <c r="AX44">
        <v>34.204599999999999</v>
      </c>
      <c r="AY44">
        <v>6578.6451999999999</v>
      </c>
      <c r="AZ44">
        <v>4683.0950999999995</v>
      </c>
      <c r="BA44">
        <v>257790.7212</v>
      </c>
      <c r="BB44">
        <v>17556.3724</v>
      </c>
      <c r="BC44">
        <v>21366.965100000001</v>
      </c>
      <c r="BD44">
        <v>19147.267899999999</v>
      </c>
      <c r="BE44">
        <v>0</v>
      </c>
      <c r="BF44">
        <v>3484345.2475000001</v>
      </c>
      <c r="BG44">
        <v>25739355.509100001</v>
      </c>
      <c r="BH44">
        <v>829502.90370000002</v>
      </c>
      <c r="BI44">
        <v>0</v>
      </c>
      <c r="BJ44">
        <v>0</v>
      </c>
      <c r="BK44">
        <v>266400.10950000002</v>
      </c>
      <c r="BL44">
        <v>26835258.522300001</v>
      </c>
      <c r="BM44">
        <v>30319603.7698</v>
      </c>
      <c r="BN44">
        <v>0</v>
      </c>
      <c r="BO44">
        <v>0</v>
      </c>
      <c r="BP44">
        <v>30319603.7698</v>
      </c>
      <c r="BQ44">
        <v>30319603.7698</v>
      </c>
    </row>
    <row r="45" spans="1:69">
      <c r="A45" t="s">
        <v>45</v>
      </c>
      <c r="B45" t="s">
        <v>112</v>
      </c>
      <c r="C45">
        <v>2977.3793999999998</v>
      </c>
      <c r="D45">
        <v>3744.5659999999998</v>
      </c>
      <c r="E45">
        <v>141348.76949999999</v>
      </c>
      <c r="F45">
        <v>223888.2426</v>
      </c>
      <c r="G45">
        <v>2559.5934000000002</v>
      </c>
      <c r="H45">
        <v>27444.297900000001</v>
      </c>
      <c r="I45">
        <v>613.56079999999997</v>
      </c>
      <c r="J45">
        <v>20745.8017</v>
      </c>
      <c r="K45">
        <v>6490.5033999999996</v>
      </c>
      <c r="L45">
        <v>49398.526899999997</v>
      </c>
      <c r="M45">
        <v>325802.63189999998</v>
      </c>
      <c r="N45">
        <v>0</v>
      </c>
      <c r="O45">
        <v>174748.90280000001</v>
      </c>
      <c r="P45">
        <v>47408.339399999997</v>
      </c>
      <c r="Q45">
        <v>1054980.0878000001</v>
      </c>
      <c r="R45">
        <v>0.49270000000000003</v>
      </c>
      <c r="S45">
        <v>19610.684700000002</v>
      </c>
      <c r="T45">
        <v>120.3622</v>
      </c>
      <c r="U45">
        <v>24792.507900000001</v>
      </c>
      <c r="V45">
        <v>405011.9852</v>
      </c>
      <c r="W45">
        <v>290636.43680000002</v>
      </c>
      <c r="X45">
        <v>250221.8714</v>
      </c>
      <c r="Y45">
        <v>20813.015899999999</v>
      </c>
      <c r="Z45">
        <v>823.98469999999998</v>
      </c>
      <c r="AA45">
        <v>15236.310600000001</v>
      </c>
      <c r="AB45">
        <v>217.70400000000001</v>
      </c>
      <c r="AC45">
        <v>20201.3557</v>
      </c>
      <c r="AD45">
        <v>20749.1325</v>
      </c>
      <c r="AE45">
        <v>20304.8691</v>
      </c>
      <c r="AF45">
        <v>19385.244900000002</v>
      </c>
      <c r="AG45">
        <v>153.38929999999999</v>
      </c>
      <c r="AH45">
        <v>4182.7722999999996</v>
      </c>
      <c r="AI45">
        <v>1559437.7634000001</v>
      </c>
      <c r="AJ45">
        <v>253034.5203</v>
      </c>
      <c r="AK45">
        <v>2755452.9369999999</v>
      </c>
      <c r="AL45">
        <v>21391.131799999999</v>
      </c>
      <c r="AM45">
        <v>60286.891199999998</v>
      </c>
      <c r="AN45">
        <v>26433.409800000001</v>
      </c>
      <c r="AO45">
        <v>61079.685100000002</v>
      </c>
      <c r="AP45">
        <v>244649.63149999999</v>
      </c>
      <c r="AQ45">
        <v>94195.8361</v>
      </c>
      <c r="AR45">
        <v>24683.691900000002</v>
      </c>
      <c r="AS45">
        <v>120174.2684</v>
      </c>
      <c r="AT45">
        <v>4474724.5060000001</v>
      </c>
      <c r="AU45">
        <v>211930.2648</v>
      </c>
      <c r="AV45">
        <v>259075.5001</v>
      </c>
      <c r="AW45">
        <v>47975.819799999997</v>
      </c>
      <c r="AX45">
        <v>419.16050000000001</v>
      </c>
      <c r="AY45">
        <v>292725.30219999998</v>
      </c>
      <c r="AZ45">
        <v>88931.042000000001</v>
      </c>
      <c r="BA45">
        <v>889737.0638</v>
      </c>
      <c r="BB45">
        <v>806318.25769999996</v>
      </c>
      <c r="BC45">
        <v>115581.2956</v>
      </c>
      <c r="BD45">
        <v>94291.279599999994</v>
      </c>
      <c r="BE45">
        <v>0</v>
      </c>
      <c r="BF45">
        <v>15697142.581900001</v>
      </c>
      <c r="BG45">
        <v>16547928.0385</v>
      </c>
      <c r="BH45">
        <v>1451144.8640999999</v>
      </c>
      <c r="BI45">
        <v>0</v>
      </c>
      <c r="BJ45">
        <v>0</v>
      </c>
      <c r="BK45">
        <v>293575.7414</v>
      </c>
      <c r="BL45">
        <v>18292648.644000001</v>
      </c>
      <c r="BM45">
        <v>33989791.2258</v>
      </c>
      <c r="BN45">
        <v>0</v>
      </c>
      <c r="BO45">
        <v>0</v>
      </c>
      <c r="BP45">
        <v>33989791.2258</v>
      </c>
      <c r="BQ45">
        <v>33989791.2258</v>
      </c>
    </row>
    <row r="46" spans="1:69">
      <c r="A46" t="s">
        <v>46</v>
      </c>
      <c r="B46" t="s">
        <v>113</v>
      </c>
      <c r="C46">
        <v>22685.5949</v>
      </c>
      <c r="D46">
        <v>19375.784800000001</v>
      </c>
      <c r="E46">
        <v>44221.976600000002</v>
      </c>
      <c r="F46">
        <v>18613.6456</v>
      </c>
      <c r="G46">
        <v>47515.558900000004</v>
      </c>
      <c r="H46">
        <v>178659.3512</v>
      </c>
      <c r="I46">
        <v>1782.4069999999999</v>
      </c>
      <c r="J46">
        <v>15352.001099999999</v>
      </c>
      <c r="K46">
        <v>51116.552900000002</v>
      </c>
      <c r="L46">
        <v>97872.995299999995</v>
      </c>
      <c r="M46">
        <v>1002088.9814</v>
      </c>
      <c r="N46">
        <v>0</v>
      </c>
      <c r="O46">
        <v>409270.44020000001</v>
      </c>
      <c r="P46">
        <v>6076.1671999999999</v>
      </c>
      <c r="Q46">
        <v>463545.3394</v>
      </c>
      <c r="R46">
        <v>7.7999999999999996E-3</v>
      </c>
      <c r="S46">
        <v>8264.1165000000001</v>
      </c>
      <c r="T46">
        <v>19.372399999999999</v>
      </c>
      <c r="U46">
        <v>9378.2294000000002</v>
      </c>
      <c r="V46">
        <v>359006.3088</v>
      </c>
      <c r="W46">
        <v>85721.587899999999</v>
      </c>
      <c r="X46">
        <v>245703.03510000001</v>
      </c>
      <c r="Y46">
        <v>10322.465399999999</v>
      </c>
      <c r="Z46">
        <v>935.15350000000001</v>
      </c>
      <c r="AA46">
        <v>4270.5901000000003</v>
      </c>
      <c r="AB46">
        <v>185.21870000000001</v>
      </c>
      <c r="AC46">
        <v>4650.8453</v>
      </c>
      <c r="AD46">
        <v>2353.6587</v>
      </c>
      <c r="AE46">
        <v>14942.9467</v>
      </c>
      <c r="AF46">
        <v>51612.367899999997</v>
      </c>
      <c r="AG46">
        <v>453.9898</v>
      </c>
      <c r="AH46">
        <v>1310.5916999999999</v>
      </c>
      <c r="AI46">
        <v>621764.2879</v>
      </c>
      <c r="AJ46">
        <v>78216.087199999994</v>
      </c>
      <c r="AK46">
        <v>2340476.2790000001</v>
      </c>
      <c r="AL46">
        <v>16865.0082</v>
      </c>
      <c r="AM46">
        <v>42133.951000000001</v>
      </c>
      <c r="AN46">
        <v>21948.674500000001</v>
      </c>
      <c r="AO46">
        <v>6125.0892999999996</v>
      </c>
      <c r="AP46">
        <v>19753.991900000001</v>
      </c>
      <c r="AQ46">
        <v>8348.6196999999993</v>
      </c>
      <c r="AR46">
        <v>14627.349099999999</v>
      </c>
      <c r="AS46">
        <v>22116.946899999999</v>
      </c>
      <c r="AT46">
        <v>174926.21049999999</v>
      </c>
      <c r="AU46">
        <v>60228.746700000003</v>
      </c>
      <c r="AV46">
        <v>73770.556299999997</v>
      </c>
      <c r="AW46">
        <v>192517.97880000001</v>
      </c>
      <c r="AX46">
        <v>475.19729999999998</v>
      </c>
      <c r="AY46">
        <v>291777.30349999998</v>
      </c>
      <c r="AZ46">
        <v>21647.4408</v>
      </c>
      <c r="BA46">
        <v>24711.0049</v>
      </c>
      <c r="BB46">
        <v>38832.655500000001</v>
      </c>
      <c r="BC46">
        <v>19674.761200000001</v>
      </c>
      <c r="BD46">
        <v>34043.123200000002</v>
      </c>
      <c r="BE46">
        <v>0</v>
      </c>
      <c r="BF46">
        <v>7302288.5454000002</v>
      </c>
      <c r="BG46">
        <v>2475444.4298999999</v>
      </c>
      <c r="BH46">
        <v>102948.0542</v>
      </c>
      <c r="BI46">
        <v>0</v>
      </c>
      <c r="BJ46">
        <v>0</v>
      </c>
      <c r="BK46">
        <v>37923.471400000002</v>
      </c>
      <c r="BL46">
        <v>2616315.9555000002</v>
      </c>
      <c r="BM46">
        <v>9918604.5009000003</v>
      </c>
      <c r="BN46">
        <v>0</v>
      </c>
      <c r="BO46">
        <v>0</v>
      </c>
      <c r="BP46">
        <v>9918604.5009000003</v>
      </c>
      <c r="BQ46">
        <v>9918604.5009000003</v>
      </c>
    </row>
    <row r="47" spans="1:69">
      <c r="A47" t="s">
        <v>47</v>
      </c>
      <c r="B47" t="s">
        <v>114</v>
      </c>
      <c r="C47">
        <v>4366.4359999999997</v>
      </c>
      <c r="D47">
        <v>4043.3874999999998</v>
      </c>
      <c r="E47">
        <v>3004.6428999999998</v>
      </c>
      <c r="F47">
        <v>2857.8029000000001</v>
      </c>
      <c r="G47">
        <v>3153.8465000000001</v>
      </c>
      <c r="H47">
        <v>0</v>
      </c>
      <c r="I47">
        <v>0.93100000000000005</v>
      </c>
      <c r="J47">
        <v>4527.8344999999999</v>
      </c>
      <c r="K47">
        <v>11445.95</v>
      </c>
      <c r="L47">
        <v>128012.6896</v>
      </c>
      <c r="M47">
        <v>150568.5975</v>
      </c>
      <c r="N47">
        <v>0</v>
      </c>
      <c r="O47">
        <v>59307.607300000003</v>
      </c>
      <c r="P47">
        <v>6136.0240000000003</v>
      </c>
      <c r="Q47">
        <v>21084.535500000002</v>
      </c>
      <c r="R47">
        <v>0</v>
      </c>
      <c r="S47">
        <v>0</v>
      </c>
      <c r="T47">
        <v>7.2560000000000002</v>
      </c>
      <c r="U47">
        <v>4078.1666</v>
      </c>
      <c r="V47">
        <v>14714.6127</v>
      </c>
      <c r="W47">
        <v>17512.751100000001</v>
      </c>
      <c r="X47">
        <v>12588.5281</v>
      </c>
      <c r="Y47">
        <v>18.731400000000001</v>
      </c>
      <c r="Z47">
        <v>54.124499999999998</v>
      </c>
      <c r="AA47">
        <v>18.3157</v>
      </c>
      <c r="AB47">
        <v>12.400600000000001</v>
      </c>
      <c r="AC47">
        <v>3104.326</v>
      </c>
      <c r="AD47">
        <v>6.4690000000000003</v>
      </c>
      <c r="AE47">
        <v>747.03369999999995</v>
      </c>
      <c r="AF47">
        <v>265.17270000000002</v>
      </c>
      <c r="AG47">
        <v>14.3566</v>
      </c>
      <c r="AH47">
        <v>3.2677999999999998</v>
      </c>
      <c r="AI47">
        <v>198647.1923</v>
      </c>
      <c r="AJ47">
        <v>85415.293399999995</v>
      </c>
      <c r="AK47">
        <v>283977.77360000001</v>
      </c>
      <c r="AL47">
        <v>715.90449999999998</v>
      </c>
      <c r="AM47">
        <v>2962.1165000000001</v>
      </c>
      <c r="AN47">
        <v>12222.285900000001</v>
      </c>
      <c r="AO47">
        <v>18286.209599999998</v>
      </c>
      <c r="AP47">
        <v>47149.578200000004</v>
      </c>
      <c r="AQ47">
        <v>20177.837599999999</v>
      </c>
      <c r="AR47">
        <v>2187.0608000000002</v>
      </c>
      <c r="AS47">
        <v>14646.3133</v>
      </c>
      <c r="AT47">
        <v>59556.648000000001</v>
      </c>
      <c r="AU47">
        <v>61902.377999999997</v>
      </c>
      <c r="AV47">
        <v>51607.069199999998</v>
      </c>
      <c r="AW47">
        <v>28824.497899999998</v>
      </c>
      <c r="AX47">
        <v>379.84679999999997</v>
      </c>
      <c r="AY47">
        <v>41441.417600000001</v>
      </c>
      <c r="AZ47">
        <v>5835.51</v>
      </c>
      <c r="BA47">
        <v>50439.506800000003</v>
      </c>
      <c r="BB47">
        <v>10018.2399</v>
      </c>
      <c r="BC47">
        <v>18749.237099999998</v>
      </c>
      <c r="BD47">
        <v>3008.6632</v>
      </c>
      <c r="BE47">
        <v>0</v>
      </c>
      <c r="BF47">
        <v>1469806.3777999999</v>
      </c>
      <c r="BG47">
        <v>3520907.8306</v>
      </c>
      <c r="BH47">
        <v>0</v>
      </c>
      <c r="BI47">
        <v>0</v>
      </c>
      <c r="BJ47">
        <v>0</v>
      </c>
      <c r="BK47">
        <v>23390.845300000001</v>
      </c>
      <c r="BL47">
        <v>3544298.6759000001</v>
      </c>
      <c r="BM47">
        <v>5014105.0537</v>
      </c>
      <c r="BN47">
        <v>0</v>
      </c>
      <c r="BO47">
        <v>0</v>
      </c>
      <c r="BP47">
        <v>5014105.0537</v>
      </c>
      <c r="BQ47">
        <v>5014105.0537</v>
      </c>
    </row>
    <row r="48" spans="1:69">
      <c r="A48" t="s">
        <v>48</v>
      </c>
      <c r="B48" t="s">
        <v>115</v>
      </c>
      <c r="C48">
        <v>23805.298200000001</v>
      </c>
      <c r="D48">
        <v>35546.215400000001</v>
      </c>
      <c r="E48">
        <v>6309.7843999999996</v>
      </c>
      <c r="F48">
        <v>1296.2963999999999</v>
      </c>
      <c r="G48">
        <v>7682.8652000000002</v>
      </c>
      <c r="H48">
        <v>6908.8631999999998</v>
      </c>
      <c r="I48">
        <v>210.94470000000001</v>
      </c>
      <c r="J48">
        <v>5640.1139000000003</v>
      </c>
      <c r="K48">
        <v>5994.8549000000003</v>
      </c>
      <c r="L48">
        <v>15596.457</v>
      </c>
      <c r="M48">
        <v>123366.0539</v>
      </c>
      <c r="N48">
        <v>0</v>
      </c>
      <c r="O48">
        <v>3971.1217000000001</v>
      </c>
      <c r="P48">
        <v>216.02500000000001</v>
      </c>
      <c r="Q48">
        <v>38931.796399999999</v>
      </c>
      <c r="R48">
        <v>0</v>
      </c>
      <c r="S48">
        <v>2746.3002999999999</v>
      </c>
      <c r="T48">
        <v>15.8445</v>
      </c>
      <c r="U48">
        <v>2597.1388999999999</v>
      </c>
      <c r="V48">
        <v>91794.984700000001</v>
      </c>
      <c r="W48">
        <v>24559.4031</v>
      </c>
      <c r="X48">
        <v>32529.3272</v>
      </c>
      <c r="Y48">
        <v>953.95169999999996</v>
      </c>
      <c r="Z48">
        <v>78.346800000000002</v>
      </c>
      <c r="AA48">
        <v>2461.3597</v>
      </c>
      <c r="AB48">
        <v>30.3459</v>
      </c>
      <c r="AC48">
        <v>2535.7815999999998</v>
      </c>
      <c r="AD48">
        <v>2.4016999999999999</v>
      </c>
      <c r="AE48">
        <v>2427.1898000000001</v>
      </c>
      <c r="AF48">
        <v>24863.2392</v>
      </c>
      <c r="AG48">
        <v>0.36849999999999999</v>
      </c>
      <c r="AH48">
        <v>427.48809999999997</v>
      </c>
      <c r="AI48">
        <v>80496.820099999997</v>
      </c>
      <c r="AJ48">
        <v>116360.63340000001</v>
      </c>
      <c r="AK48">
        <v>655319.93079999997</v>
      </c>
      <c r="AL48">
        <v>12.429399999999999</v>
      </c>
      <c r="AM48">
        <v>18314.423200000001</v>
      </c>
      <c r="AN48">
        <v>3492.1734000000001</v>
      </c>
      <c r="AO48">
        <v>10.7128</v>
      </c>
      <c r="AP48">
        <v>8212.7459999999992</v>
      </c>
      <c r="AQ48">
        <v>5751.8617999999997</v>
      </c>
      <c r="AR48">
        <v>3563.6918000000001</v>
      </c>
      <c r="AS48">
        <v>17207.5478</v>
      </c>
      <c r="AT48">
        <v>62884.497100000001</v>
      </c>
      <c r="AU48">
        <v>5147.7371999999996</v>
      </c>
      <c r="AV48">
        <v>177790.05050000001</v>
      </c>
      <c r="AW48">
        <v>152475.3898</v>
      </c>
      <c r="AX48">
        <v>347.30220000000003</v>
      </c>
      <c r="AY48">
        <v>88991.268100000001</v>
      </c>
      <c r="AZ48">
        <v>13114.6423</v>
      </c>
      <c r="BA48">
        <v>33929.103199999998</v>
      </c>
      <c r="BB48">
        <v>33390.7425</v>
      </c>
      <c r="BC48">
        <v>22766.863600000001</v>
      </c>
      <c r="BD48">
        <v>16950.723300000001</v>
      </c>
      <c r="BE48">
        <v>0</v>
      </c>
      <c r="BF48">
        <v>1980031.4524999999</v>
      </c>
      <c r="BG48">
        <v>465198.45669999998</v>
      </c>
      <c r="BH48">
        <v>5.3323</v>
      </c>
      <c r="BI48">
        <v>0</v>
      </c>
      <c r="BJ48">
        <v>0</v>
      </c>
      <c r="BK48">
        <v>653.28800000000001</v>
      </c>
      <c r="BL48">
        <v>465857.07699999999</v>
      </c>
      <c r="BM48">
        <v>2445888.5295000002</v>
      </c>
      <c r="BN48">
        <v>0</v>
      </c>
      <c r="BO48">
        <v>0</v>
      </c>
      <c r="BP48">
        <v>2445888.5295000002</v>
      </c>
      <c r="BQ48">
        <v>2445888.5295000002</v>
      </c>
    </row>
    <row r="49" spans="1:69">
      <c r="A49" t="s">
        <v>49</v>
      </c>
      <c r="B49" t="s">
        <v>116</v>
      </c>
      <c r="C49">
        <v>73.364099999999993</v>
      </c>
      <c r="D49">
        <v>3.7090999999999998</v>
      </c>
      <c r="E49">
        <v>1387.2593999999999</v>
      </c>
      <c r="F49">
        <v>5984.8504000000003</v>
      </c>
      <c r="G49">
        <v>223.20859999999999</v>
      </c>
      <c r="H49">
        <v>52.835000000000001</v>
      </c>
      <c r="I49">
        <v>9.4000000000000004E-3</v>
      </c>
      <c r="J49">
        <v>5.5609000000000002</v>
      </c>
      <c r="K49">
        <v>25.706700000000001</v>
      </c>
      <c r="L49">
        <v>22.464700000000001</v>
      </c>
      <c r="M49">
        <v>341.84930000000003</v>
      </c>
      <c r="N49">
        <v>0</v>
      </c>
      <c r="O49">
        <v>2.1999999999999999E-2</v>
      </c>
      <c r="P49">
        <v>1.3687</v>
      </c>
      <c r="Q49">
        <v>102.137</v>
      </c>
      <c r="R49">
        <v>0</v>
      </c>
      <c r="S49">
        <v>15.6304</v>
      </c>
      <c r="T49">
        <v>9.4999999999999998E-3</v>
      </c>
      <c r="U49">
        <v>2.3748</v>
      </c>
      <c r="V49">
        <v>31.5108</v>
      </c>
      <c r="W49">
        <v>32.586599999999997</v>
      </c>
      <c r="X49">
        <v>34.395000000000003</v>
      </c>
      <c r="Y49">
        <v>2.1539000000000001</v>
      </c>
      <c r="Z49">
        <v>0.52239999999999998</v>
      </c>
      <c r="AA49">
        <v>3.1583000000000001</v>
      </c>
      <c r="AB49">
        <v>5.8299999999999998E-2</v>
      </c>
      <c r="AC49">
        <v>26.9773</v>
      </c>
      <c r="AD49">
        <v>6.6799999999999998E-2</v>
      </c>
      <c r="AE49">
        <v>0.63060000000000005</v>
      </c>
      <c r="AF49">
        <v>0.39950000000000002</v>
      </c>
      <c r="AG49">
        <v>0.05</v>
      </c>
      <c r="AH49">
        <v>1.0934999999999999</v>
      </c>
      <c r="AI49">
        <v>204.2345</v>
      </c>
      <c r="AJ49">
        <v>280.02760000000001</v>
      </c>
      <c r="AK49">
        <v>877.31039999999996</v>
      </c>
      <c r="AL49">
        <v>37.514200000000002</v>
      </c>
      <c r="AM49">
        <v>58.265700000000002</v>
      </c>
      <c r="AN49">
        <v>25.6938</v>
      </c>
      <c r="AO49">
        <v>50.266399999999997</v>
      </c>
      <c r="AP49">
        <v>118.2702</v>
      </c>
      <c r="AQ49">
        <v>49.593499999999999</v>
      </c>
      <c r="AR49">
        <v>7.3502000000000001</v>
      </c>
      <c r="AS49">
        <v>0.72089999999999999</v>
      </c>
      <c r="AT49">
        <v>479.46260000000001</v>
      </c>
      <c r="AU49">
        <v>62.273600000000002</v>
      </c>
      <c r="AV49">
        <v>636.6087</v>
      </c>
      <c r="AW49">
        <v>149.91759999999999</v>
      </c>
      <c r="AX49">
        <v>4.6797000000000004</v>
      </c>
      <c r="AY49">
        <v>66.171700000000001</v>
      </c>
      <c r="AZ49">
        <v>46.011699999999998</v>
      </c>
      <c r="BA49">
        <v>17.045200000000001</v>
      </c>
      <c r="BB49">
        <v>18.445699999999999</v>
      </c>
      <c r="BC49">
        <v>34.893500000000003</v>
      </c>
      <c r="BD49">
        <v>10.4962</v>
      </c>
      <c r="BE49">
        <v>0</v>
      </c>
      <c r="BF49">
        <v>11611.2168</v>
      </c>
      <c r="BG49">
        <v>4035.6725000000001</v>
      </c>
      <c r="BH49">
        <v>0</v>
      </c>
      <c r="BI49">
        <v>0</v>
      </c>
      <c r="BJ49">
        <v>0</v>
      </c>
      <c r="BK49">
        <v>0</v>
      </c>
      <c r="BL49">
        <v>4035.6725000000001</v>
      </c>
      <c r="BM49">
        <v>15646.8894</v>
      </c>
      <c r="BN49">
        <v>0</v>
      </c>
      <c r="BO49">
        <v>0</v>
      </c>
      <c r="BP49">
        <v>15646.8894</v>
      </c>
      <c r="BQ49">
        <v>15646.8894</v>
      </c>
    </row>
    <row r="50" spans="1:69">
      <c r="A50" t="s">
        <v>50</v>
      </c>
      <c r="B50" t="s">
        <v>117</v>
      </c>
      <c r="C50">
        <v>0</v>
      </c>
      <c r="D50">
        <v>0</v>
      </c>
      <c r="E50">
        <v>0</v>
      </c>
      <c r="F50">
        <v>0</v>
      </c>
      <c r="G50">
        <v>0</v>
      </c>
      <c r="H50">
        <v>0</v>
      </c>
      <c r="I50">
        <v>0</v>
      </c>
      <c r="J50">
        <v>0</v>
      </c>
      <c r="K50">
        <v>0</v>
      </c>
      <c r="L50">
        <v>20317.050299999999</v>
      </c>
      <c r="M50">
        <v>597193.60309999995</v>
      </c>
      <c r="N50">
        <v>0</v>
      </c>
      <c r="O50">
        <v>62263.908100000001</v>
      </c>
      <c r="P50">
        <v>7287.4062999999996</v>
      </c>
      <c r="Q50">
        <v>64255.565000000002</v>
      </c>
      <c r="R50">
        <v>0</v>
      </c>
      <c r="S50">
        <v>1565.2401</v>
      </c>
      <c r="T50">
        <v>12.047599999999999</v>
      </c>
      <c r="U50">
        <v>2547.6188000000002</v>
      </c>
      <c r="V50">
        <v>55314.488299999997</v>
      </c>
      <c r="W50">
        <v>17628.833600000002</v>
      </c>
      <c r="X50">
        <v>70944.826499999996</v>
      </c>
      <c r="Y50">
        <v>4578.0838999999996</v>
      </c>
      <c r="Z50">
        <v>299.52859999999998</v>
      </c>
      <c r="AA50">
        <v>4358.7137000000002</v>
      </c>
      <c r="AB50">
        <v>0</v>
      </c>
      <c r="AC50">
        <v>3351.3173999999999</v>
      </c>
      <c r="AD50">
        <v>2089.0628999999999</v>
      </c>
      <c r="AE50">
        <v>1551.7029</v>
      </c>
      <c r="AF50">
        <v>0</v>
      </c>
      <c r="AG50">
        <v>0</v>
      </c>
      <c r="AH50">
        <v>4040.2561999999998</v>
      </c>
      <c r="AI50">
        <v>226833.06299999999</v>
      </c>
      <c r="AJ50">
        <v>269862.96970000002</v>
      </c>
      <c r="AK50">
        <v>2434590.3650000002</v>
      </c>
      <c r="AL50">
        <v>42625.539400000001</v>
      </c>
      <c r="AM50">
        <v>24584.520799999998</v>
      </c>
      <c r="AN50">
        <v>3739.1118999999999</v>
      </c>
      <c r="AO50">
        <v>9228.4310999999998</v>
      </c>
      <c r="AP50">
        <v>29424.606800000001</v>
      </c>
      <c r="AQ50">
        <v>12264.6921</v>
      </c>
      <c r="AR50">
        <v>4037.7874999999999</v>
      </c>
      <c r="AS50">
        <v>25858.497899999998</v>
      </c>
      <c r="AT50">
        <v>225312.883</v>
      </c>
      <c r="AU50">
        <v>52435.0409</v>
      </c>
      <c r="AV50">
        <v>37151.471299999997</v>
      </c>
      <c r="AW50">
        <v>10052.090399999999</v>
      </c>
      <c r="AX50">
        <v>107.5731</v>
      </c>
      <c r="AY50">
        <v>46434.0412</v>
      </c>
      <c r="AZ50">
        <v>13242.7811</v>
      </c>
      <c r="BA50">
        <v>54338.195200000002</v>
      </c>
      <c r="BB50">
        <v>192149.89739999999</v>
      </c>
      <c r="BC50">
        <v>38939.535300000003</v>
      </c>
      <c r="BD50">
        <v>78577.313399999999</v>
      </c>
      <c r="BE50">
        <v>0</v>
      </c>
      <c r="BF50">
        <v>4751389.6610000003</v>
      </c>
      <c r="BG50">
        <v>20261579.1525</v>
      </c>
      <c r="BH50">
        <v>0</v>
      </c>
      <c r="BI50">
        <v>0</v>
      </c>
      <c r="BJ50">
        <v>0</v>
      </c>
      <c r="BK50">
        <v>109179.0353</v>
      </c>
      <c r="BL50">
        <v>20370758.187800001</v>
      </c>
      <c r="BM50">
        <v>25122147.8488</v>
      </c>
      <c r="BN50">
        <v>0</v>
      </c>
      <c r="BO50">
        <v>0</v>
      </c>
      <c r="BP50">
        <v>25122147.8488</v>
      </c>
      <c r="BQ50">
        <v>25122147.8488</v>
      </c>
    </row>
    <row r="51" spans="1:69">
      <c r="A51" t="s">
        <v>51</v>
      </c>
      <c r="B51" t="s">
        <v>118</v>
      </c>
      <c r="C51">
        <v>5322.9498000000003</v>
      </c>
      <c r="D51">
        <v>2861.7950999999998</v>
      </c>
      <c r="E51">
        <v>77841.8655</v>
      </c>
      <c r="F51">
        <v>26813.078099999999</v>
      </c>
      <c r="G51">
        <v>229.3064</v>
      </c>
      <c r="H51">
        <v>31745.778399999999</v>
      </c>
      <c r="I51">
        <v>123.9923</v>
      </c>
      <c r="J51">
        <v>6537.7595000000001</v>
      </c>
      <c r="K51">
        <v>3895.6581000000001</v>
      </c>
      <c r="L51">
        <v>42030.85</v>
      </c>
      <c r="M51">
        <v>77653.770699999994</v>
      </c>
      <c r="N51">
        <v>0</v>
      </c>
      <c r="O51">
        <v>21385.1237</v>
      </c>
      <c r="P51">
        <v>5645.1021000000001</v>
      </c>
      <c r="Q51">
        <v>17671.790400000002</v>
      </c>
      <c r="R51">
        <v>7.7999999999999996E-3</v>
      </c>
      <c r="S51">
        <v>437.27120000000002</v>
      </c>
      <c r="T51">
        <v>2.4451999999999998</v>
      </c>
      <c r="U51">
        <v>1035.2762</v>
      </c>
      <c r="V51">
        <v>15272.8112</v>
      </c>
      <c r="W51">
        <v>4430.0012999999999</v>
      </c>
      <c r="X51">
        <v>10069.7914</v>
      </c>
      <c r="Y51">
        <v>1840.6597999999999</v>
      </c>
      <c r="Z51">
        <v>49.3626</v>
      </c>
      <c r="AA51">
        <v>772.37369999999999</v>
      </c>
      <c r="AB51">
        <v>8.6486000000000001</v>
      </c>
      <c r="AC51">
        <v>1371.2560000000001</v>
      </c>
      <c r="AD51">
        <v>349.40280000000001</v>
      </c>
      <c r="AE51">
        <v>350.42779999999999</v>
      </c>
      <c r="AF51">
        <v>12123.4663</v>
      </c>
      <c r="AG51">
        <v>56.035400000000003</v>
      </c>
      <c r="AH51">
        <v>661.17409999999995</v>
      </c>
      <c r="AI51">
        <v>111381.49370000001</v>
      </c>
      <c r="AJ51">
        <v>23691.841100000001</v>
      </c>
      <c r="AK51">
        <v>117343.4023</v>
      </c>
      <c r="AL51">
        <v>4415.2996000000003</v>
      </c>
      <c r="AM51">
        <v>22071.712100000001</v>
      </c>
      <c r="AN51">
        <v>4606.2602999999999</v>
      </c>
      <c r="AO51">
        <v>2673.0765000000001</v>
      </c>
      <c r="AP51">
        <v>37555.516600000003</v>
      </c>
      <c r="AQ51">
        <v>5157.8091999999997</v>
      </c>
      <c r="AR51">
        <v>1319.4119000000001</v>
      </c>
      <c r="AS51">
        <v>4781.1408000000001</v>
      </c>
      <c r="AT51">
        <v>34911.393499999998</v>
      </c>
      <c r="AU51">
        <v>33517.059200000003</v>
      </c>
      <c r="AV51">
        <v>14365.825999999999</v>
      </c>
      <c r="AW51">
        <v>4626.4795999999997</v>
      </c>
      <c r="AX51">
        <v>24.55</v>
      </c>
      <c r="AY51">
        <v>22120.464</v>
      </c>
      <c r="AZ51">
        <v>3169.3126000000002</v>
      </c>
      <c r="BA51">
        <v>71480.527400000006</v>
      </c>
      <c r="BB51">
        <v>31752.156999999999</v>
      </c>
      <c r="BC51">
        <v>2472.2265000000002</v>
      </c>
      <c r="BD51">
        <v>3483.4838</v>
      </c>
      <c r="BE51">
        <v>0</v>
      </c>
      <c r="BF51">
        <v>925509.67489999998</v>
      </c>
      <c r="BG51">
        <v>252593.11749999999</v>
      </c>
      <c r="BH51">
        <v>54993.633699999998</v>
      </c>
      <c r="BI51">
        <v>0</v>
      </c>
      <c r="BJ51">
        <v>0</v>
      </c>
      <c r="BK51">
        <v>54148.341</v>
      </c>
      <c r="BL51">
        <v>361735.09220000001</v>
      </c>
      <c r="BM51">
        <v>1287244.7671000001</v>
      </c>
      <c r="BN51">
        <v>0</v>
      </c>
      <c r="BO51">
        <v>0</v>
      </c>
      <c r="BP51">
        <v>1287244.7671000001</v>
      </c>
      <c r="BQ51">
        <v>1287244.7671000001</v>
      </c>
    </row>
    <row r="52" spans="1:69">
      <c r="A52" t="s">
        <v>52</v>
      </c>
      <c r="B52" t="s">
        <v>119</v>
      </c>
      <c r="C52">
        <v>0</v>
      </c>
      <c r="D52">
        <v>0</v>
      </c>
      <c r="E52">
        <v>0</v>
      </c>
      <c r="F52">
        <v>0</v>
      </c>
      <c r="G52">
        <v>3279.4668999999999</v>
      </c>
      <c r="H52">
        <v>0</v>
      </c>
      <c r="I52">
        <v>0</v>
      </c>
      <c r="J52">
        <v>0</v>
      </c>
      <c r="K52">
        <v>0</v>
      </c>
      <c r="L52">
        <v>123420.1278</v>
      </c>
      <c r="M52">
        <v>545236.65390000003</v>
      </c>
      <c r="N52">
        <v>0</v>
      </c>
      <c r="O52">
        <v>0</v>
      </c>
      <c r="P52">
        <v>15660.6157</v>
      </c>
      <c r="Q52">
        <v>50006.758300000001</v>
      </c>
      <c r="R52">
        <v>0</v>
      </c>
      <c r="S52">
        <v>2212.6403</v>
      </c>
      <c r="T52">
        <v>0</v>
      </c>
      <c r="U52">
        <v>0</v>
      </c>
      <c r="V52">
        <v>88978.211200000005</v>
      </c>
      <c r="W52">
        <v>34183.124499999998</v>
      </c>
      <c r="X52">
        <v>105286.38159999999</v>
      </c>
      <c r="Y52">
        <v>0</v>
      </c>
      <c r="Z52">
        <v>0</v>
      </c>
      <c r="AA52">
        <v>0</v>
      </c>
      <c r="AB52">
        <v>0</v>
      </c>
      <c r="AC52">
        <v>7744.6628000000001</v>
      </c>
      <c r="AD52">
        <v>0</v>
      </c>
      <c r="AE52">
        <v>0</v>
      </c>
      <c r="AF52">
        <v>7037.9942000000001</v>
      </c>
      <c r="AG52">
        <v>0.66310000000000002</v>
      </c>
      <c r="AH52">
        <v>22861.434000000001</v>
      </c>
      <c r="AI52">
        <v>778108.15529999998</v>
      </c>
      <c r="AJ52">
        <v>1858.405</v>
      </c>
      <c r="AK52">
        <v>13238.4262</v>
      </c>
      <c r="AL52">
        <v>707876.42610000004</v>
      </c>
      <c r="AM52">
        <v>20974.1086</v>
      </c>
      <c r="AN52">
        <v>7838.3167000000003</v>
      </c>
      <c r="AO52">
        <v>2805.0771</v>
      </c>
      <c r="AP52">
        <v>22540.889500000001</v>
      </c>
      <c r="AQ52">
        <v>309.63560000000001</v>
      </c>
      <c r="AR52">
        <v>4697.5663000000004</v>
      </c>
      <c r="AS52">
        <v>76160.189199999993</v>
      </c>
      <c r="AT52">
        <v>841385.21499999997</v>
      </c>
      <c r="AU52">
        <v>25422.153200000001</v>
      </c>
      <c r="AV52">
        <v>27186.7281</v>
      </c>
      <c r="AW52">
        <v>8838.3747000000003</v>
      </c>
      <c r="AX52">
        <v>13.244400000000001</v>
      </c>
      <c r="AY52">
        <v>225490.47930000001</v>
      </c>
      <c r="AZ52">
        <v>9427.4660999999996</v>
      </c>
      <c r="BA52">
        <v>88113.052899999995</v>
      </c>
      <c r="BB52">
        <v>36002.580800000003</v>
      </c>
      <c r="BC52">
        <v>17435.850299999998</v>
      </c>
      <c r="BD52">
        <v>573.09270000000004</v>
      </c>
      <c r="BE52">
        <v>0</v>
      </c>
      <c r="BF52">
        <v>3922204.1674000002</v>
      </c>
      <c r="BG52">
        <v>32188.4686</v>
      </c>
      <c r="BH52">
        <v>23051668.422800001</v>
      </c>
      <c r="BI52">
        <v>0</v>
      </c>
      <c r="BJ52">
        <v>0</v>
      </c>
      <c r="BK52">
        <v>8816.2191999999995</v>
      </c>
      <c r="BL52">
        <v>23092673.1105</v>
      </c>
      <c r="BM52">
        <v>27014877.277899999</v>
      </c>
      <c r="BN52">
        <v>0</v>
      </c>
      <c r="BO52">
        <v>0</v>
      </c>
      <c r="BP52">
        <v>27014877.277899999</v>
      </c>
      <c r="BQ52">
        <v>27014877.277899999</v>
      </c>
    </row>
    <row r="53" spans="1:69">
      <c r="A53" t="s">
        <v>53</v>
      </c>
      <c r="B53" t="s">
        <v>120</v>
      </c>
      <c r="C53">
        <v>116.88160000000001</v>
      </c>
      <c r="D53">
        <v>72.541200000000003</v>
      </c>
      <c r="E53">
        <v>0</v>
      </c>
      <c r="F53">
        <v>0</v>
      </c>
      <c r="G53">
        <v>8.1664999999999992</v>
      </c>
      <c r="H53">
        <v>240.28620000000001</v>
      </c>
      <c r="I53">
        <v>22.7197</v>
      </c>
      <c r="J53">
        <v>39.877899999999997</v>
      </c>
      <c r="K53">
        <v>89.261099999999999</v>
      </c>
      <c r="L53">
        <v>501.73770000000002</v>
      </c>
      <c r="M53">
        <v>13725.759</v>
      </c>
      <c r="N53">
        <v>0</v>
      </c>
      <c r="O53">
        <v>428.8168</v>
      </c>
      <c r="P53">
        <v>221.22980000000001</v>
      </c>
      <c r="Q53">
        <v>5197.4413000000004</v>
      </c>
      <c r="R53">
        <v>1.72E-2</v>
      </c>
      <c r="S53">
        <v>103.3844</v>
      </c>
      <c r="T53">
        <v>0.2407</v>
      </c>
      <c r="U53">
        <v>104.75020000000001</v>
      </c>
      <c r="V53">
        <v>4607.4376000000002</v>
      </c>
      <c r="W53">
        <v>1804.7103</v>
      </c>
      <c r="X53">
        <v>2050.5778</v>
      </c>
      <c r="Y53">
        <v>396.07850000000002</v>
      </c>
      <c r="Z53">
        <v>18.7532</v>
      </c>
      <c r="AA53">
        <v>100.6823</v>
      </c>
      <c r="AB53">
        <v>3.4679000000000002</v>
      </c>
      <c r="AC53">
        <v>139.86340000000001</v>
      </c>
      <c r="AD53">
        <v>15.5114</v>
      </c>
      <c r="AE53">
        <v>36.6098</v>
      </c>
      <c r="AF53">
        <v>359.20690000000002</v>
      </c>
      <c r="AG53">
        <v>1.7935000000000001</v>
      </c>
      <c r="AH53">
        <v>88.354200000000006</v>
      </c>
      <c r="AI53">
        <v>33249.477800000001</v>
      </c>
      <c r="AJ53">
        <v>745.92219999999998</v>
      </c>
      <c r="AK53">
        <v>35356.058199999999</v>
      </c>
      <c r="AL53">
        <v>3121.9863</v>
      </c>
      <c r="AM53">
        <v>1388.328</v>
      </c>
      <c r="AN53">
        <v>40.685400000000001</v>
      </c>
      <c r="AO53">
        <v>147.2242</v>
      </c>
      <c r="AP53">
        <v>1941.5029999999999</v>
      </c>
      <c r="AQ53">
        <v>683.30880000000002</v>
      </c>
      <c r="AR53">
        <v>636.08860000000004</v>
      </c>
      <c r="AS53">
        <v>826.15710000000001</v>
      </c>
      <c r="AT53">
        <v>9562.9393</v>
      </c>
      <c r="AU53">
        <v>63348.885300000002</v>
      </c>
      <c r="AV53">
        <v>5312.3909999999996</v>
      </c>
      <c r="AW53">
        <v>1230.288</v>
      </c>
      <c r="AX53">
        <v>7.3118999999999996</v>
      </c>
      <c r="AY53">
        <v>106.6127</v>
      </c>
      <c r="AZ53">
        <v>261.19740000000002</v>
      </c>
      <c r="BA53">
        <v>10951.1818</v>
      </c>
      <c r="BB53">
        <v>46343.369400000003</v>
      </c>
      <c r="BC53">
        <v>4879.6499999999996</v>
      </c>
      <c r="BD53">
        <v>6574.0052999999998</v>
      </c>
      <c r="BE53">
        <v>0</v>
      </c>
      <c r="BF53">
        <v>257210.73019999999</v>
      </c>
      <c r="BG53">
        <v>11640478.9629</v>
      </c>
      <c r="BH53">
        <v>7963057.2690000003</v>
      </c>
      <c r="BI53">
        <v>0</v>
      </c>
      <c r="BJ53">
        <v>0</v>
      </c>
      <c r="BK53">
        <v>10576.141900000001</v>
      </c>
      <c r="BL53">
        <v>19614112.373799998</v>
      </c>
      <c r="BM53">
        <v>19871323.103999998</v>
      </c>
      <c r="BN53">
        <v>0</v>
      </c>
      <c r="BO53">
        <v>0</v>
      </c>
      <c r="BP53">
        <v>19871323.103999998</v>
      </c>
      <c r="BQ53">
        <v>19871323.103999998</v>
      </c>
    </row>
    <row r="54" spans="1:69">
      <c r="A54" t="s">
        <v>54</v>
      </c>
      <c r="B54" t="s">
        <v>121</v>
      </c>
      <c r="C54">
        <v>14538.672</v>
      </c>
      <c r="D54">
        <v>6292.6229000000003</v>
      </c>
      <c r="E54">
        <v>14898.528899999999</v>
      </c>
      <c r="F54">
        <v>33165.850299999998</v>
      </c>
      <c r="G54">
        <v>327.14449999999999</v>
      </c>
      <c r="H54">
        <v>4103.6481999999996</v>
      </c>
      <c r="I54">
        <v>119.8639</v>
      </c>
      <c r="J54">
        <v>42.2622</v>
      </c>
      <c r="K54">
        <v>414.58</v>
      </c>
      <c r="L54">
        <v>5615.3819999999996</v>
      </c>
      <c r="M54">
        <v>14056.3989</v>
      </c>
      <c r="N54">
        <v>0</v>
      </c>
      <c r="O54">
        <v>44348.723700000002</v>
      </c>
      <c r="P54">
        <v>336.19459999999998</v>
      </c>
      <c r="Q54">
        <v>10427.4547</v>
      </c>
      <c r="R54">
        <v>0</v>
      </c>
      <c r="S54">
        <v>1378.0598</v>
      </c>
      <c r="T54">
        <v>3.6886000000000001</v>
      </c>
      <c r="U54">
        <v>1553.0512000000001</v>
      </c>
      <c r="V54">
        <v>46830.3197</v>
      </c>
      <c r="W54">
        <v>63752.671499999997</v>
      </c>
      <c r="X54">
        <v>124078.1228</v>
      </c>
      <c r="Y54">
        <v>2216.0992000000001</v>
      </c>
      <c r="Z54">
        <v>310.17989999999998</v>
      </c>
      <c r="AA54">
        <v>1251.7918</v>
      </c>
      <c r="AB54">
        <v>3.1625999999999999</v>
      </c>
      <c r="AC54">
        <v>509.5806</v>
      </c>
      <c r="AD54">
        <v>310.75310000000002</v>
      </c>
      <c r="AE54">
        <v>681.80560000000003</v>
      </c>
      <c r="AF54">
        <v>178.00309999999999</v>
      </c>
      <c r="AG54">
        <v>0.34820000000000001</v>
      </c>
      <c r="AH54">
        <v>1521.289</v>
      </c>
      <c r="AI54">
        <v>50147.534599999999</v>
      </c>
      <c r="AJ54">
        <v>7228.9026999999996</v>
      </c>
      <c r="AK54">
        <v>41143.9355</v>
      </c>
      <c r="AL54">
        <v>754.46320000000003</v>
      </c>
      <c r="AM54">
        <v>498.6866</v>
      </c>
      <c r="AN54">
        <v>810.34760000000006</v>
      </c>
      <c r="AO54">
        <v>1505.9658999999999</v>
      </c>
      <c r="AP54">
        <v>1466.1792</v>
      </c>
      <c r="AQ54">
        <v>1814.7483</v>
      </c>
      <c r="AR54">
        <v>268.30549999999999</v>
      </c>
      <c r="AS54">
        <v>395.84859999999998</v>
      </c>
      <c r="AT54">
        <v>1214.5387000000001</v>
      </c>
      <c r="AU54">
        <v>6446.5574999999999</v>
      </c>
      <c r="AV54">
        <v>7978.8257999999996</v>
      </c>
      <c r="AW54">
        <v>267.14150000000001</v>
      </c>
      <c r="AX54">
        <v>7.3692000000000002</v>
      </c>
      <c r="AY54">
        <v>1489.2103999999999</v>
      </c>
      <c r="AZ54">
        <v>573.96469999999999</v>
      </c>
      <c r="BA54">
        <v>2560.9344999999998</v>
      </c>
      <c r="BB54">
        <v>14877.578299999999</v>
      </c>
      <c r="BC54">
        <v>42191.689899999998</v>
      </c>
      <c r="BD54">
        <v>16866.333699999999</v>
      </c>
      <c r="BE54">
        <v>0</v>
      </c>
      <c r="BF54">
        <v>593775.31539999996</v>
      </c>
      <c r="BG54">
        <v>4829679.3021</v>
      </c>
      <c r="BH54">
        <v>2619953.5759000001</v>
      </c>
      <c r="BI54">
        <v>0</v>
      </c>
      <c r="BJ54">
        <v>0</v>
      </c>
      <c r="BK54">
        <v>45281.173000000003</v>
      </c>
      <c r="BL54">
        <v>7494914.051</v>
      </c>
      <c r="BM54">
        <v>8088689.3663999997</v>
      </c>
      <c r="BN54">
        <v>0</v>
      </c>
      <c r="BO54">
        <v>0</v>
      </c>
      <c r="BP54">
        <v>8088689.3663999997</v>
      </c>
      <c r="BQ54">
        <v>8088689.3663999997</v>
      </c>
    </row>
    <row r="55" spans="1:69">
      <c r="A55" t="s">
        <v>55</v>
      </c>
      <c r="B55" t="s">
        <v>122</v>
      </c>
      <c r="C55">
        <v>40088.227400000003</v>
      </c>
      <c r="D55">
        <v>35716.491800000003</v>
      </c>
      <c r="E55">
        <v>3017.7428</v>
      </c>
      <c r="F55">
        <v>6665.5460000000003</v>
      </c>
      <c r="G55">
        <v>2377.8645999999999</v>
      </c>
      <c r="H55">
        <v>734093.69440000004</v>
      </c>
      <c r="I55">
        <v>680.1069</v>
      </c>
      <c r="J55">
        <v>5511.9318999999996</v>
      </c>
      <c r="K55">
        <v>3840.5237999999999</v>
      </c>
      <c r="L55">
        <v>14053.9933</v>
      </c>
      <c r="M55">
        <v>50995.530100000004</v>
      </c>
      <c r="N55">
        <v>0</v>
      </c>
      <c r="O55">
        <v>5977.7512999999999</v>
      </c>
      <c r="P55">
        <v>5010.0559999999996</v>
      </c>
      <c r="Q55">
        <v>505977.44270000001</v>
      </c>
      <c r="R55">
        <v>7.2499999999999995E-2</v>
      </c>
      <c r="S55">
        <v>1472.6682000000001</v>
      </c>
      <c r="T55">
        <v>2.9876999999999998</v>
      </c>
      <c r="U55">
        <v>929.40520000000004</v>
      </c>
      <c r="V55">
        <v>40065.006300000001</v>
      </c>
      <c r="W55">
        <v>67812.184999999998</v>
      </c>
      <c r="X55">
        <v>95827.6348</v>
      </c>
      <c r="Y55">
        <v>4597.2700000000004</v>
      </c>
      <c r="Z55">
        <v>3433.5196999999998</v>
      </c>
      <c r="AA55">
        <v>900.80510000000004</v>
      </c>
      <c r="AB55">
        <v>11.323399999999999</v>
      </c>
      <c r="AC55">
        <v>1396.0478000000001</v>
      </c>
      <c r="AD55">
        <v>327.30739999999997</v>
      </c>
      <c r="AE55">
        <v>622.80920000000003</v>
      </c>
      <c r="AF55">
        <v>679.22919999999999</v>
      </c>
      <c r="AG55">
        <v>8.6791999999999998</v>
      </c>
      <c r="AH55">
        <v>44842.5092</v>
      </c>
      <c r="AI55">
        <v>189733.48490000001</v>
      </c>
      <c r="AJ55">
        <v>60023.948499999999</v>
      </c>
      <c r="AK55">
        <v>250762.886</v>
      </c>
      <c r="AL55">
        <v>2746.2705999999998</v>
      </c>
      <c r="AM55">
        <v>17155.3593</v>
      </c>
      <c r="AN55">
        <v>7796.3356000000003</v>
      </c>
      <c r="AO55">
        <v>2677.7696999999998</v>
      </c>
      <c r="AP55">
        <v>29151.713199999998</v>
      </c>
      <c r="AQ55">
        <v>5897.4480999999996</v>
      </c>
      <c r="AR55">
        <v>11759.1132</v>
      </c>
      <c r="AS55">
        <v>161519.1887</v>
      </c>
      <c r="AT55">
        <v>30704.572700000001</v>
      </c>
      <c r="AU55">
        <v>4029.5354000000002</v>
      </c>
      <c r="AV55">
        <v>1752.232</v>
      </c>
      <c r="AW55">
        <v>880.56290000000001</v>
      </c>
      <c r="AX55">
        <v>11.949299999999999</v>
      </c>
      <c r="AY55">
        <v>8683.2108000000007</v>
      </c>
      <c r="AZ55">
        <v>4562.0108</v>
      </c>
      <c r="BA55">
        <v>117322.9682</v>
      </c>
      <c r="BB55">
        <v>88832.0285</v>
      </c>
      <c r="BC55">
        <v>60986.913800000002</v>
      </c>
      <c r="BD55">
        <v>185430.88639999999</v>
      </c>
      <c r="BE55">
        <v>0</v>
      </c>
      <c r="BF55">
        <v>2919356.7516999999</v>
      </c>
      <c r="BG55">
        <v>2810786.4580999999</v>
      </c>
      <c r="BH55">
        <v>987856.07819999999</v>
      </c>
      <c r="BI55">
        <v>0</v>
      </c>
      <c r="BJ55">
        <v>0</v>
      </c>
      <c r="BK55">
        <v>90497.489499999996</v>
      </c>
      <c r="BL55">
        <v>3889140.0258999998</v>
      </c>
      <c r="BM55">
        <v>6808496.7775999997</v>
      </c>
      <c r="BN55">
        <v>0</v>
      </c>
      <c r="BO55">
        <v>0</v>
      </c>
      <c r="BP55">
        <v>6808496.7775999997</v>
      </c>
      <c r="BQ55">
        <v>6808496.7775999997</v>
      </c>
    </row>
    <row r="56" spans="1:69">
      <c r="A56" t="s">
        <v>56</v>
      </c>
      <c r="B56" t="s">
        <v>123</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row>
    <row r="57" spans="1:69">
      <c r="A57" t="s">
        <v>124</v>
      </c>
      <c r="B57" t="s">
        <v>125</v>
      </c>
      <c r="C57">
        <v>3415493.2823999999</v>
      </c>
      <c r="D57">
        <v>1284743.8334999999</v>
      </c>
      <c r="E57">
        <v>3820435.2379000001</v>
      </c>
      <c r="F57">
        <v>6316869.5522999996</v>
      </c>
      <c r="G57">
        <v>1725651.0484</v>
      </c>
      <c r="H57">
        <v>3895638.5573</v>
      </c>
      <c r="I57">
        <v>550434.4595</v>
      </c>
      <c r="J57">
        <v>895926.95669999998</v>
      </c>
      <c r="K57">
        <v>1641762.5379000001</v>
      </c>
      <c r="L57">
        <v>6665457.2768000001</v>
      </c>
      <c r="M57">
        <v>44257127.945299998</v>
      </c>
      <c r="N57">
        <v>0</v>
      </c>
      <c r="O57">
        <v>9791175.8632999994</v>
      </c>
      <c r="P57">
        <v>7252095.6436000001</v>
      </c>
      <c r="Q57">
        <v>96382523.310100004</v>
      </c>
      <c r="R57">
        <v>50.360700000000001</v>
      </c>
      <c r="S57">
        <v>313116.58179999999</v>
      </c>
      <c r="T57">
        <v>1264.3429000000001</v>
      </c>
      <c r="U57">
        <v>1074640.372</v>
      </c>
      <c r="V57">
        <v>10959771.671499999</v>
      </c>
      <c r="W57">
        <v>10180969.323000001</v>
      </c>
      <c r="X57">
        <v>23211309.2181</v>
      </c>
      <c r="Y57">
        <v>1870932.4217999999</v>
      </c>
      <c r="Z57">
        <v>68812.682799999995</v>
      </c>
      <c r="AA57">
        <v>454726.91</v>
      </c>
      <c r="AB57">
        <v>7008.3792000000003</v>
      </c>
      <c r="AC57">
        <v>419825.02519999997</v>
      </c>
      <c r="AD57">
        <v>130983.67939999999</v>
      </c>
      <c r="AE57">
        <v>252407.92509999999</v>
      </c>
      <c r="AF57">
        <v>5115921.6097999997</v>
      </c>
      <c r="AG57">
        <v>50163.623099999997</v>
      </c>
      <c r="AH57">
        <v>357390.13990000001</v>
      </c>
      <c r="AI57">
        <v>54734639.509099998</v>
      </c>
      <c r="AJ57">
        <v>2930004.0728000002</v>
      </c>
      <c r="AK57">
        <v>29965714.165100001</v>
      </c>
      <c r="AL57">
        <v>1805420.9291999999</v>
      </c>
      <c r="AM57">
        <v>4690563.4773000004</v>
      </c>
      <c r="AN57">
        <v>801544.92610000004</v>
      </c>
      <c r="AO57">
        <v>569719.77009999997</v>
      </c>
      <c r="AP57">
        <v>4548711.1632000003</v>
      </c>
      <c r="AQ57">
        <v>784188.43370000005</v>
      </c>
      <c r="AR57">
        <v>787474.66839999997</v>
      </c>
      <c r="AS57">
        <v>14813130.329299999</v>
      </c>
      <c r="AT57">
        <v>8764045.4883999992</v>
      </c>
      <c r="AU57">
        <v>984488.00950000004</v>
      </c>
      <c r="AV57">
        <v>1145602.1953</v>
      </c>
      <c r="AW57">
        <v>577473.25009999995</v>
      </c>
      <c r="AX57">
        <v>3859.5358000000001</v>
      </c>
      <c r="AY57">
        <v>3691875.5153000001</v>
      </c>
      <c r="AZ57">
        <v>361822.06410000002</v>
      </c>
      <c r="BA57">
        <v>7687397.9534999998</v>
      </c>
      <c r="BB57">
        <v>4399730.1260000002</v>
      </c>
      <c r="BC57">
        <v>3155962.7829999998</v>
      </c>
      <c r="BD57">
        <v>1760285.6673999999</v>
      </c>
      <c r="BE57">
        <v>0</v>
      </c>
      <c r="BF57">
        <v>391328283.80379999</v>
      </c>
      <c r="BG57">
        <v>263961685.4488</v>
      </c>
      <c r="BH57">
        <v>38864455.576399997</v>
      </c>
      <c r="BI57">
        <v>170241031.755</v>
      </c>
      <c r="BJ57">
        <v>-2235762.7722</v>
      </c>
      <c r="BK57">
        <v>266023359.33140001</v>
      </c>
      <c r="BL57">
        <v>736854769.33940005</v>
      </c>
      <c r="BM57">
        <v>1128183053.1433001</v>
      </c>
      <c r="BN57">
        <v>0</v>
      </c>
      <c r="BO57">
        <v>0</v>
      </c>
      <c r="BP57">
        <v>1128183053.1433001</v>
      </c>
      <c r="BQ57">
        <v>1128183053.1433001</v>
      </c>
    </row>
    <row r="58" spans="1:69">
      <c r="A58" t="s">
        <v>126</v>
      </c>
      <c r="B58" t="s">
        <v>127</v>
      </c>
      <c r="C58">
        <v>791206.12710000004</v>
      </c>
      <c r="D58">
        <v>375015.64140000002</v>
      </c>
      <c r="E58">
        <v>10486.257</v>
      </c>
      <c r="F58">
        <v>1047653.9088</v>
      </c>
      <c r="G58">
        <v>30889.6011</v>
      </c>
      <c r="H58">
        <v>1247792.6479</v>
      </c>
      <c r="I58">
        <v>81133.536200000002</v>
      </c>
      <c r="J58">
        <v>244472.74969999999</v>
      </c>
      <c r="K58">
        <v>482112.46159999998</v>
      </c>
      <c r="L58">
        <v>4388044.3206000002</v>
      </c>
      <c r="M58">
        <v>16249141.377699999</v>
      </c>
      <c r="N58">
        <v>0</v>
      </c>
      <c r="O58">
        <v>3856568.4367999998</v>
      </c>
      <c r="P58">
        <v>4506950.5707999999</v>
      </c>
      <c r="Q58">
        <v>20140362.4144</v>
      </c>
      <c r="R58">
        <v>628.96010000000001</v>
      </c>
      <c r="S58">
        <v>240573.4332</v>
      </c>
      <c r="T58">
        <v>591.99329999999998</v>
      </c>
      <c r="U58">
        <v>481090.10560000001</v>
      </c>
      <c r="V58">
        <v>4100412.1686</v>
      </c>
      <c r="W58">
        <v>4865736.1929000001</v>
      </c>
      <c r="X58">
        <v>7485108.9106000001</v>
      </c>
      <c r="Y58">
        <v>242106.943</v>
      </c>
      <c r="Z58">
        <v>95536.518400000001</v>
      </c>
      <c r="AA58">
        <v>619960.15090000001</v>
      </c>
      <c r="AB58">
        <v>25619.018199999999</v>
      </c>
      <c r="AC58">
        <v>685557.64809999999</v>
      </c>
      <c r="AD58">
        <v>108923.46769999999</v>
      </c>
      <c r="AE58">
        <v>230582.68059999999</v>
      </c>
      <c r="AF58">
        <v>223639.74110000001</v>
      </c>
      <c r="AG58">
        <v>2175.8820000000001</v>
      </c>
      <c r="AH58">
        <v>85678.691300000006</v>
      </c>
      <c r="AI58">
        <v>47641645.090700001</v>
      </c>
      <c r="AJ58">
        <v>1776608.463</v>
      </c>
      <c r="AK58">
        <v>11740011.6963</v>
      </c>
      <c r="AL58">
        <v>284577.11170000001</v>
      </c>
      <c r="AM58">
        <v>1473237.0907000001</v>
      </c>
      <c r="AN58">
        <v>209371.5202</v>
      </c>
      <c r="AO58">
        <v>191470.60879999999</v>
      </c>
      <c r="AP58">
        <v>1844824.3949</v>
      </c>
      <c r="AQ58">
        <v>290366.8406</v>
      </c>
      <c r="AR58">
        <v>185816.5214</v>
      </c>
      <c r="AS58">
        <v>3101724.1464999998</v>
      </c>
      <c r="AT58">
        <v>4194487.8651999999</v>
      </c>
      <c r="AU58">
        <v>676431.50219999999</v>
      </c>
      <c r="AV58">
        <v>508728.46189999999</v>
      </c>
      <c r="AW58">
        <v>284257.83049999998</v>
      </c>
      <c r="AX58">
        <v>2042.9630999999999</v>
      </c>
      <c r="AY58">
        <v>850142.63749999995</v>
      </c>
      <c r="AZ58">
        <v>198642.5287</v>
      </c>
      <c r="BA58">
        <v>2651406.5485999999</v>
      </c>
      <c r="BB58">
        <v>1903499.1158</v>
      </c>
      <c r="BC58">
        <v>867220.87419999996</v>
      </c>
      <c r="BD58">
        <v>621315.38749999995</v>
      </c>
      <c r="BE58">
        <v>0</v>
      </c>
      <c r="BF58">
        <v>154443581.75659999</v>
      </c>
      <c r="BG58">
        <v>129651979.9839</v>
      </c>
      <c r="BH58">
        <v>1431388.618</v>
      </c>
      <c r="BI58">
        <v>21622264.6347</v>
      </c>
      <c r="BJ58">
        <v>0</v>
      </c>
      <c r="BK58">
        <v>0</v>
      </c>
      <c r="BL58">
        <v>152705633.23660001</v>
      </c>
      <c r="BM58">
        <v>307149214.9932</v>
      </c>
      <c r="BN58">
        <v>307149214.9932</v>
      </c>
      <c r="BO58">
        <v>0</v>
      </c>
      <c r="BP58">
        <v>0</v>
      </c>
      <c r="BQ58">
        <v>307149214.9932</v>
      </c>
    </row>
    <row r="59" spans="1:69">
      <c r="A59" t="s">
        <v>128</v>
      </c>
      <c r="B59" t="s">
        <v>129</v>
      </c>
      <c r="C59">
        <v>5832812.2215</v>
      </c>
      <c r="D59">
        <v>1851198.6029000001</v>
      </c>
      <c r="E59">
        <v>3860684.1609</v>
      </c>
      <c r="F59">
        <v>6957374.1471999995</v>
      </c>
      <c r="G59">
        <v>1323432.7904999999</v>
      </c>
      <c r="H59">
        <v>4019857.3130000001</v>
      </c>
      <c r="I59">
        <v>729301.55610000005</v>
      </c>
      <c r="J59">
        <v>3272004.53</v>
      </c>
      <c r="K59">
        <v>6038698.3016999997</v>
      </c>
      <c r="L59">
        <v>5889766.3620999996</v>
      </c>
      <c r="M59">
        <v>8563767.6464000009</v>
      </c>
      <c r="N59">
        <v>0</v>
      </c>
      <c r="O59">
        <v>11920660.8772</v>
      </c>
      <c r="P59">
        <v>3237441.3827</v>
      </c>
      <c r="Q59">
        <v>16172780.6306</v>
      </c>
      <c r="R59">
        <v>127.6953</v>
      </c>
      <c r="S59">
        <v>87834.296199999997</v>
      </c>
      <c r="T59">
        <v>759.41070000000002</v>
      </c>
      <c r="U59">
        <v>401808.36589999998</v>
      </c>
      <c r="V59">
        <v>3723700.7823999999</v>
      </c>
      <c r="W59">
        <v>1935170.2035000001</v>
      </c>
      <c r="X59">
        <v>3850793.6867999998</v>
      </c>
      <c r="Y59">
        <v>771312.50069999998</v>
      </c>
      <c r="Z59">
        <v>13273.1659</v>
      </c>
      <c r="AA59">
        <v>271293.01059999998</v>
      </c>
      <c r="AB59">
        <v>7056.9826999999996</v>
      </c>
      <c r="AC59">
        <v>45080.605600000003</v>
      </c>
      <c r="AD59">
        <v>80306.659199999995</v>
      </c>
      <c r="AE59">
        <v>139591.25210000001</v>
      </c>
      <c r="AF59">
        <v>333821.80579999997</v>
      </c>
      <c r="AG59">
        <v>18359.856899999999</v>
      </c>
      <c r="AH59">
        <v>176337.21919999999</v>
      </c>
      <c r="AI59">
        <v>29817693.947999999</v>
      </c>
      <c r="AJ59">
        <v>4895800.6276000002</v>
      </c>
      <c r="AK59">
        <v>35240855.512900002</v>
      </c>
      <c r="AL59">
        <v>1517369.3655000001</v>
      </c>
      <c r="AM59">
        <v>1480223.5692</v>
      </c>
      <c r="AN59">
        <v>120405.67690000001</v>
      </c>
      <c r="AO59">
        <v>212984.25229999999</v>
      </c>
      <c r="AP59">
        <v>1550942.4323</v>
      </c>
      <c r="AQ59">
        <v>545820.52709999995</v>
      </c>
      <c r="AR59">
        <v>497994.94280000002</v>
      </c>
      <c r="AS59">
        <v>5956839.8307999996</v>
      </c>
      <c r="AT59">
        <v>5876975.6886</v>
      </c>
      <c r="AU59">
        <v>3874819.1044999999</v>
      </c>
      <c r="AV59">
        <v>1349774.2844</v>
      </c>
      <c r="AW59">
        <v>799985.19200000004</v>
      </c>
      <c r="AX59">
        <v>4062.7105999999999</v>
      </c>
      <c r="AY59">
        <v>1604043.2242000001</v>
      </c>
      <c r="AZ59">
        <v>351607.95189999999</v>
      </c>
      <c r="BA59">
        <v>11241529.325300001</v>
      </c>
      <c r="BB59">
        <v>9986107.5293000005</v>
      </c>
      <c r="BC59">
        <v>2123614.1239</v>
      </c>
      <c r="BD59">
        <v>2206519.1124</v>
      </c>
      <c r="BE59">
        <v>0</v>
      </c>
      <c r="BF59">
        <v>212782376.95480001</v>
      </c>
      <c r="BG59">
        <v>0</v>
      </c>
      <c r="BH59">
        <v>0</v>
      </c>
      <c r="BI59">
        <v>0</v>
      </c>
      <c r="BJ59">
        <v>0</v>
      </c>
      <c r="BK59">
        <v>0</v>
      </c>
      <c r="BL59">
        <v>0</v>
      </c>
      <c r="BM59">
        <v>0</v>
      </c>
      <c r="BN59">
        <v>0</v>
      </c>
      <c r="BO59">
        <v>0</v>
      </c>
      <c r="BP59">
        <v>0</v>
      </c>
      <c r="BQ59">
        <v>0</v>
      </c>
    </row>
    <row r="60" spans="1:69">
      <c r="A60" t="s">
        <v>130</v>
      </c>
      <c r="B60" t="s">
        <v>131</v>
      </c>
      <c r="C60">
        <v>8301724.9440000001</v>
      </c>
      <c r="D60">
        <v>3417177.9692000002</v>
      </c>
      <c r="E60">
        <v>4430146.7937000003</v>
      </c>
      <c r="F60">
        <v>8639149.2372999992</v>
      </c>
      <c r="G60">
        <v>1747335.6294</v>
      </c>
      <c r="H60">
        <v>3939592.9492000001</v>
      </c>
      <c r="I60">
        <v>711635.0159</v>
      </c>
      <c r="J60">
        <v>5009982.0840999996</v>
      </c>
      <c r="K60">
        <v>9651785.6285999995</v>
      </c>
      <c r="L60">
        <v>24288683.654899999</v>
      </c>
      <c r="M60">
        <v>37866401.157600001</v>
      </c>
      <c r="N60">
        <v>0</v>
      </c>
      <c r="O60">
        <v>17589720.648499999</v>
      </c>
      <c r="P60">
        <v>17052949.360399999</v>
      </c>
      <c r="Q60">
        <v>38725196.115900002</v>
      </c>
      <c r="R60">
        <v>346.85660000000001</v>
      </c>
      <c r="S60">
        <v>92742.361499999999</v>
      </c>
      <c r="T60">
        <v>374.91030000000001</v>
      </c>
      <c r="U60">
        <v>577686.98899999994</v>
      </c>
      <c r="V60">
        <v>3739406.3220000002</v>
      </c>
      <c r="W60">
        <v>5599336.3553999998</v>
      </c>
      <c r="X60">
        <v>7163823.6705999998</v>
      </c>
      <c r="Y60">
        <v>753166.35349999997</v>
      </c>
      <c r="Z60">
        <v>33451.696300000003</v>
      </c>
      <c r="AA60">
        <v>263247.80479999998</v>
      </c>
      <c r="AB60">
        <v>7349.3407999999999</v>
      </c>
      <c r="AC60">
        <v>40161.504500000003</v>
      </c>
      <c r="AD60">
        <v>77779.569099999993</v>
      </c>
      <c r="AE60">
        <v>133284.67249999999</v>
      </c>
      <c r="AF60">
        <v>1135677.8935</v>
      </c>
      <c r="AG60">
        <v>105185.3051</v>
      </c>
      <c r="AH60">
        <v>407606.63939999999</v>
      </c>
      <c r="AI60">
        <v>33304679.000999998</v>
      </c>
      <c r="AJ60">
        <v>5590404.9118999997</v>
      </c>
      <c r="AK60">
        <v>45486995.973899998</v>
      </c>
      <c r="AL60">
        <v>494158.2966</v>
      </c>
      <c r="AM60">
        <v>4685255.1460999995</v>
      </c>
      <c r="AN60">
        <v>312533.00510000001</v>
      </c>
      <c r="AO60">
        <v>357200.85739999998</v>
      </c>
      <c r="AP60">
        <v>2174799.4092000001</v>
      </c>
      <c r="AQ60">
        <v>908284.61289999995</v>
      </c>
      <c r="AR60">
        <v>951701.14760000003</v>
      </c>
      <c r="AS60">
        <v>5436132.9966000002</v>
      </c>
      <c r="AT60">
        <v>14522959.911699999</v>
      </c>
      <c r="AU60">
        <v>4362542.7120000003</v>
      </c>
      <c r="AV60">
        <v>1999175.6161</v>
      </c>
      <c r="AW60">
        <v>775295.45689999999</v>
      </c>
      <c r="AX60">
        <v>5629.8589000000002</v>
      </c>
      <c r="AY60">
        <v>17983268.1043</v>
      </c>
      <c r="AZ60">
        <v>365503.24160000001</v>
      </c>
      <c r="BA60">
        <v>5434543.4505000003</v>
      </c>
      <c r="BB60">
        <v>3558443.6789000002</v>
      </c>
      <c r="BC60">
        <v>1904269.0607</v>
      </c>
      <c r="BD60">
        <v>2086452.5508000001</v>
      </c>
      <c r="BE60">
        <v>0</v>
      </c>
      <c r="BF60">
        <v>354202338.43440002</v>
      </c>
      <c r="BG60">
        <v>0</v>
      </c>
      <c r="BH60">
        <v>0</v>
      </c>
      <c r="BI60">
        <v>0</v>
      </c>
      <c r="BJ60">
        <v>0</v>
      </c>
      <c r="BK60">
        <v>0</v>
      </c>
      <c r="BL60">
        <v>0</v>
      </c>
      <c r="BM60">
        <v>0</v>
      </c>
      <c r="BN60">
        <v>0</v>
      </c>
      <c r="BO60">
        <v>0</v>
      </c>
      <c r="BP60">
        <v>0</v>
      </c>
      <c r="BQ60">
        <v>0</v>
      </c>
    </row>
    <row r="61" spans="1:69">
      <c r="A61" t="s">
        <v>132</v>
      </c>
      <c r="B61" t="s">
        <v>133</v>
      </c>
      <c r="C61">
        <v>287184.91129999998</v>
      </c>
      <c r="D61">
        <v>49973.142</v>
      </c>
      <c r="E61">
        <v>131454.4246</v>
      </c>
      <c r="F61">
        <v>710029.08669999999</v>
      </c>
      <c r="G61">
        <v>21141.433199999999</v>
      </c>
      <c r="H61">
        <v>36137.845000000001</v>
      </c>
      <c r="I61">
        <v>8472.7813000000006</v>
      </c>
      <c r="J61">
        <v>70381.682100000005</v>
      </c>
      <c r="K61">
        <v>79836.203599999993</v>
      </c>
      <c r="L61">
        <v>246984.55720000001</v>
      </c>
      <c r="M61">
        <v>482279.76010000001</v>
      </c>
      <c r="N61">
        <v>0</v>
      </c>
      <c r="O61">
        <v>560630.61360000004</v>
      </c>
      <c r="P61">
        <v>-295803.01630000002</v>
      </c>
      <c r="Q61">
        <v>3729208.8248000001</v>
      </c>
      <c r="R61">
        <v>669.69090000000006</v>
      </c>
      <c r="S61">
        <v>19649.662100000001</v>
      </c>
      <c r="T61">
        <v>109.5067</v>
      </c>
      <c r="U61">
        <v>25374.595499999999</v>
      </c>
      <c r="V61">
        <v>607497.67989999999</v>
      </c>
      <c r="W61">
        <v>438577.72989999998</v>
      </c>
      <c r="X61">
        <v>1273793.6972000001</v>
      </c>
      <c r="Y61">
        <v>64363.323499999999</v>
      </c>
      <c r="Z61">
        <v>7901.5949000000001</v>
      </c>
      <c r="AA61">
        <v>104114.1109</v>
      </c>
      <c r="AB61">
        <v>5078.9987000000001</v>
      </c>
      <c r="AC61">
        <v>12457.123600000001</v>
      </c>
      <c r="AD61">
        <v>19384.312099999999</v>
      </c>
      <c r="AE61">
        <v>32607.684700000002</v>
      </c>
      <c r="AF61">
        <v>-713391.10479999997</v>
      </c>
      <c r="AG61">
        <v>264.91019999999997</v>
      </c>
      <c r="AH61">
        <v>21769.1427</v>
      </c>
      <c r="AI61">
        <v>4085600.3679</v>
      </c>
      <c r="AJ61">
        <v>166336.02540000001</v>
      </c>
      <c r="AK61">
        <v>426445.12239999999</v>
      </c>
      <c r="AL61">
        <v>-512190.24400000001</v>
      </c>
      <c r="AM61">
        <v>74359.511299999998</v>
      </c>
      <c r="AN61">
        <v>-14735.86</v>
      </c>
      <c r="AO61">
        <v>8585.6602000000003</v>
      </c>
      <c r="AP61">
        <v>149766.51149999999</v>
      </c>
      <c r="AQ61">
        <v>9144.3348000000005</v>
      </c>
      <c r="AR61">
        <v>114274.2414</v>
      </c>
      <c r="AS61">
        <v>1011776.4666</v>
      </c>
      <c r="AT61">
        <v>631322.27190000005</v>
      </c>
      <c r="AU61">
        <v>20323.172699999999</v>
      </c>
      <c r="AV61">
        <v>10824.495999999999</v>
      </c>
      <c r="AW61">
        <v>8876.7999</v>
      </c>
      <c r="AX61">
        <v>51.820900000000002</v>
      </c>
      <c r="AY61">
        <v>992818.3676</v>
      </c>
      <c r="AZ61">
        <v>9668.9809000000005</v>
      </c>
      <c r="BA61">
        <v>0</v>
      </c>
      <c r="BB61">
        <v>23542.653900000001</v>
      </c>
      <c r="BC61">
        <v>37622.524599999997</v>
      </c>
      <c r="BD61">
        <v>133924.0594</v>
      </c>
      <c r="BE61">
        <v>0</v>
      </c>
      <c r="BF61">
        <v>15426472.193600001</v>
      </c>
      <c r="BG61">
        <v>0</v>
      </c>
      <c r="BH61">
        <v>0</v>
      </c>
      <c r="BI61">
        <v>0</v>
      </c>
      <c r="BJ61">
        <v>0</v>
      </c>
      <c r="BK61">
        <v>0</v>
      </c>
      <c r="BL61">
        <v>0</v>
      </c>
      <c r="BM61">
        <v>0</v>
      </c>
      <c r="BN61">
        <v>0</v>
      </c>
      <c r="BO61">
        <v>0</v>
      </c>
      <c r="BP61">
        <v>0</v>
      </c>
      <c r="BQ61">
        <v>0</v>
      </c>
    </row>
    <row r="62" spans="1:69">
      <c r="A62" t="s">
        <v>134</v>
      </c>
      <c r="B62" t="s">
        <v>135</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row>
    <row r="63" spans="1:69">
      <c r="A63" t="s">
        <v>136</v>
      </c>
      <c r="B63" t="s">
        <v>137</v>
      </c>
      <c r="C63">
        <v>14421722.0768</v>
      </c>
      <c r="D63">
        <v>5318349.7141000004</v>
      </c>
      <c r="E63">
        <v>8422285.3792000003</v>
      </c>
      <c r="F63">
        <v>16306552.4712</v>
      </c>
      <c r="G63">
        <v>3091909.8530999999</v>
      </c>
      <c r="H63">
        <v>7995588.1072000004</v>
      </c>
      <c r="I63">
        <v>1449409.3533000001</v>
      </c>
      <c r="J63">
        <v>8352368.2961999997</v>
      </c>
      <c r="K63">
        <v>15770320.1338</v>
      </c>
      <c r="L63">
        <v>30425434.574200001</v>
      </c>
      <c r="M63">
        <v>46912448.564000003</v>
      </c>
      <c r="N63">
        <v>0</v>
      </c>
      <c r="O63">
        <v>30071012.1393</v>
      </c>
      <c r="P63">
        <v>19994587.726799998</v>
      </c>
      <c r="Q63">
        <v>58627185.5713</v>
      </c>
      <c r="R63">
        <v>1144.2429</v>
      </c>
      <c r="S63">
        <v>200226.3199</v>
      </c>
      <c r="T63">
        <v>1243.8277</v>
      </c>
      <c r="U63">
        <v>1004869.9504</v>
      </c>
      <c r="V63">
        <v>8070604.7843000004</v>
      </c>
      <c r="W63">
        <v>7973084.2888000002</v>
      </c>
      <c r="X63">
        <v>12288411.0547</v>
      </c>
      <c r="Y63">
        <v>1588842.1776999999</v>
      </c>
      <c r="Z63">
        <v>54626.4571</v>
      </c>
      <c r="AA63">
        <v>638654.9264</v>
      </c>
      <c r="AB63">
        <v>19485.322199999999</v>
      </c>
      <c r="AC63">
        <v>97699.233800000002</v>
      </c>
      <c r="AD63">
        <v>177470.5404</v>
      </c>
      <c r="AE63">
        <v>305483.60940000002</v>
      </c>
      <c r="AF63">
        <v>756108.59450000001</v>
      </c>
      <c r="AG63">
        <v>123810.0722</v>
      </c>
      <c r="AH63">
        <v>605713.00120000006</v>
      </c>
      <c r="AI63">
        <v>67207973.317000002</v>
      </c>
      <c r="AJ63">
        <v>10652541.5649</v>
      </c>
      <c r="AK63">
        <v>81154296.609300002</v>
      </c>
      <c r="AL63">
        <v>1499337.4180999999</v>
      </c>
      <c r="AM63">
        <v>6239838.2265999997</v>
      </c>
      <c r="AN63">
        <v>418202.82199999999</v>
      </c>
      <c r="AO63">
        <v>578770.76989999996</v>
      </c>
      <c r="AP63">
        <v>3875508.3530000001</v>
      </c>
      <c r="AQ63">
        <v>1463249.4748</v>
      </c>
      <c r="AR63">
        <v>1563970.3318</v>
      </c>
      <c r="AS63">
        <v>12404749.294</v>
      </c>
      <c r="AT63">
        <v>21031257.872200001</v>
      </c>
      <c r="AU63">
        <v>8257684.9891999997</v>
      </c>
      <c r="AV63">
        <v>3359774.3964</v>
      </c>
      <c r="AW63">
        <v>1584157.4489</v>
      </c>
      <c r="AX63">
        <v>9744.3904999999995</v>
      </c>
      <c r="AY63">
        <v>20580129.695999999</v>
      </c>
      <c r="AZ63">
        <v>726780.17440000002</v>
      </c>
      <c r="BA63">
        <v>16676072.775800001</v>
      </c>
      <c r="BB63">
        <v>13568093.8621</v>
      </c>
      <c r="BC63">
        <v>4065505.7091999999</v>
      </c>
      <c r="BD63">
        <v>4426895.7226999998</v>
      </c>
      <c r="BE63">
        <v>0</v>
      </c>
      <c r="BF63">
        <v>582411187.58280003</v>
      </c>
      <c r="BG63">
        <v>0</v>
      </c>
      <c r="BH63">
        <v>0</v>
      </c>
      <c r="BI63">
        <v>0</v>
      </c>
      <c r="BJ63">
        <v>0</v>
      </c>
      <c r="BK63">
        <v>0</v>
      </c>
      <c r="BL63">
        <v>0</v>
      </c>
      <c r="BM63">
        <v>0</v>
      </c>
      <c r="BN63">
        <v>0</v>
      </c>
      <c r="BO63">
        <v>0</v>
      </c>
      <c r="BP63">
        <v>0</v>
      </c>
      <c r="BQ63">
        <v>0</v>
      </c>
    </row>
    <row r="64" spans="1:69">
      <c r="A64" t="s">
        <v>138</v>
      </c>
      <c r="B64" t="s">
        <v>139</v>
      </c>
      <c r="C64">
        <v>18628421.486299999</v>
      </c>
      <c r="D64">
        <v>6978109.1889000004</v>
      </c>
      <c r="E64">
        <v>12253206.8741</v>
      </c>
      <c r="F64">
        <v>23671075.9322</v>
      </c>
      <c r="G64">
        <v>4848450.5026000002</v>
      </c>
      <c r="H64">
        <v>13139019.3124</v>
      </c>
      <c r="I64">
        <v>2080977.3489999999</v>
      </c>
      <c r="J64">
        <v>9492768.0025999993</v>
      </c>
      <c r="K64">
        <v>17894195.133299999</v>
      </c>
      <c r="L64">
        <v>41478936.171599999</v>
      </c>
      <c r="M64">
        <v>107418717.8871</v>
      </c>
      <c r="N64">
        <v>0</v>
      </c>
      <c r="O64">
        <v>43718756.439400002</v>
      </c>
      <c r="P64">
        <v>31753633.941199999</v>
      </c>
      <c r="Q64">
        <v>175150071.2958</v>
      </c>
      <c r="R64">
        <v>1823.5636999999999</v>
      </c>
      <c r="S64">
        <v>753916.33479999995</v>
      </c>
      <c r="T64">
        <v>3100.1637999999998</v>
      </c>
      <c r="U64">
        <v>2560600.4279999998</v>
      </c>
      <c r="V64">
        <v>23130788.624400001</v>
      </c>
      <c r="W64">
        <v>23019789.804699998</v>
      </c>
      <c r="X64">
        <v>42984829.183399998</v>
      </c>
      <c r="Y64">
        <v>3701881.5425</v>
      </c>
      <c r="Z64">
        <v>218975.65839999999</v>
      </c>
      <c r="AA64">
        <v>1713341.9872000001</v>
      </c>
      <c r="AB64">
        <v>52112.719599999997</v>
      </c>
      <c r="AC64">
        <v>1203081.9069999999</v>
      </c>
      <c r="AD64">
        <v>417377.6875</v>
      </c>
      <c r="AE64">
        <v>788474.21499999997</v>
      </c>
      <c r="AF64">
        <v>6095669.9453999996</v>
      </c>
      <c r="AG64">
        <v>176149.5772</v>
      </c>
      <c r="AH64">
        <v>1048781.8324</v>
      </c>
      <c r="AI64">
        <v>169584257.91670001</v>
      </c>
      <c r="AJ64">
        <v>15359154.1007</v>
      </c>
      <c r="AK64">
        <v>122860022.4707</v>
      </c>
      <c r="AL64">
        <v>3589335.4589999998</v>
      </c>
      <c r="AM64">
        <v>12403638.7947</v>
      </c>
      <c r="AN64">
        <v>1429119.2682</v>
      </c>
      <c r="AO64">
        <v>1339961.1488000001</v>
      </c>
      <c r="AP64">
        <v>10269043.9111</v>
      </c>
      <c r="AQ64">
        <v>2537804.7491000001</v>
      </c>
      <c r="AR64">
        <v>2537261.5216000001</v>
      </c>
      <c r="AS64">
        <v>30319603.7698</v>
      </c>
      <c r="AT64">
        <v>33989791.2258</v>
      </c>
      <c r="AU64">
        <v>9918604.5009000003</v>
      </c>
      <c r="AV64">
        <v>5014105.0537</v>
      </c>
      <c r="AW64">
        <v>2445888.5295000002</v>
      </c>
      <c r="AX64">
        <v>15646.8894</v>
      </c>
      <c r="AY64">
        <v>25122147.8488</v>
      </c>
      <c r="AZ64">
        <v>1287244.7671000001</v>
      </c>
      <c r="BA64">
        <v>27014877.277899999</v>
      </c>
      <c r="BB64">
        <v>19871323.103999998</v>
      </c>
      <c r="BC64">
        <v>8088689.3663999997</v>
      </c>
      <c r="BD64">
        <v>6808496.7775999997</v>
      </c>
      <c r="BE64">
        <v>0</v>
      </c>
      <c r="BF64">
        <v>1128183053.1433001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004D5-CA3E-4CBE-80D3-4CF240C45F08}">
  <sheetPr>
    <tabColor rgb="FFFFFF00"/>
  </sheetPr>
  <dimension ref="A1:CD64"/>
  <sheetViews>
    <sheetView tabSelected="1" zoomScale="68" workbookViewId="0">
      <pane xSplit="2" ySplit="1" topLeftCell="BR2" activePane="bottomRight" state="frozen"/>
      <selection pane="topRight" activeCell="C1" sqref="C1"/>
      <selection pane="bottomLeft" activeCell="A2" sqref="A2"/>
      <selection pane="bottomRight" activeCell="BS7" sqref="BS7"/>
    </sheetView>
  </sheetViews>
  <sheetFormatPr defaultRowHeight="14.5"/>
  <cols>
    <col min="2" max="2" width="82" bestFit="1" customWidth="1"/>
    <col min="46" max="47" width="12.1796875" bestFit="1" customWidth="1"/>
    <col min="48" max="49" width="11.08984375" bestFit="1" customWidth="1"/>
    <col min="50" max="50" width="8.81640625" bestFit="1" customWidth="1"/>
    <col min="51" max="51" width="12.1796875" bestFit="1" customWidth="1"/>
    <col min="52" max="52" width="11.08984375" bestFit="1" customWidth="1"/>
    <col min="53" max="54" width="12.1796875" bestFit="1" customWidth="1"/>
    <col min="55" max="56" width="11.08984375" bestFit="1" customWidth="1"/>
    <col min="57" max="57" width="8.81640625" bestFit="1" customWidth="1"/>
    <col min="58" max="59" width="13.36328125" bestFit="1" customWidth="1"/>
    <col min="60" max="60" width="11.1796875" bestFit="1" customWidth="1"/>
    <col min="61" max="61" width="13.36328125" bestFit="1" customWidth="1"/>
    <col min="62" max="62" width="11.7265625" bestFit="1" customWidth="1"/>
    <col min="63" max="63" width="12.26953125" bestFit="1" customWidth="1"/>
    <col min="64" max="65" width="13.36328125" bestFit="1" customWidth="1"/>
    <col min="66" max="66" width="11.08984375" bestFit="1" customWidth="1"/>
    <col min="67" max="67" width="8.90625" bestFit="1" customWidth="1"/>
    <col min="68" max="69" width="13.36328125" bestFit="1" customWidth="1"/>
    <col min="71" max="71" width="13.08984375" customWidth="1"/>
    <col min="72" max="75" width="11.7265625" customWidth="1"/>
    <col min="76" max="76" width="24.1796875" bestFit="1" customWidth="1"/>
    <col min="77" max="82" width="11.7265625" customWidth="1"/>
  </cols>
  <sheetData>
    <row r="1" spans="1:82" s="38" customFormat="1" ht="72.5">
      <c r="A1" s="38" t="s">
        <v>0</v>
      </c>
      <c r="B1" s="38" t="s">
        <v>1</v>
      </c>
      <c r="C1" s="38" t="s">
        <v>2</v>
      </c>
      <c r="D1" s="38" t="s">
        <v>3</v>
      </c>
      <c r="E1" s="38" t="s">
        <v>4</v>
      </c>
      <c r="F1" s="38" t="s">
        <v>5</v>
      </c>
      <c r="G1" s="38" t="s">
        <v>6</v>
      </c>
      <c r="H1" s="38" t="s">
        <v>7</v>
      </c>
      <c r="I1" s="38" t="s">
        <v>8</v>
      </c>
      <c r="J1" s="38" t="s">
        <v>9</v>
      </c>
      <c r="K1" s="38" t="s">
        <v>10</v>
      </c>
      <c r="L1" s="38" t="s">
        <v>11</v>
      </c>
      <c r="M1" s="38" t="s">
        <v>12</v>
      </c>
      <c r="N1" s="38" t="s">
        <v>13</v>
      </c>
      <c r="O1" s="38" t="s">
        <v>14</v>
      </c>
      <c r="P1" s="38" t="s">
        <v>15</v>
      </c>
      <c r="Q1" s="38" t="s">
        <v>16</v>
      </c>
      <c r="R1" s="38" t="s">
        <v>17</v>
      </c>
      <c r="S1" s="38" t="s">
        <v>18</v>
      </c>
      <c r="T1" s="38" t="s">
        <v>19</v>
      </c>
      <c r="U1" s="38" t="s">
        <v>20</v>
      </c>
      <c r="V1" s="38" t="s">
        <v>21</v>
      </c>
      <c r="W1" s="38" t="s">
        <v>22</v>
      </c>
      <c r="X1" s="38" t="s">
        <v>23</v>
      </c>
      <c r="Y1" s="38" t="s">
        <v>24</v>
      </c>
      <c r="Z1" s="38" t="s">
        <v>25</v>
      </c>
      <c r="AA1" s="38" t="s">
        <v>26</v>
      </c>
      <c r="AB1" s="38" t="s">
        <v>27</v>
      </c>
      <c r="AC1" s="38" t="s">
        <v>28</v>
      </c>
      <c r="AD1" s="38" t="s">
        <v>29</v>
      </c>
      <c r="AE1" s="38" t="s">
        <v>30</v>
      </c>
      <c r="AF1" s="38" t="s">
        <v>31</v>
      </c>
      <c r="AG1" s="38" t="s">
        <v>32</v>
      </c>
      <c r="AH1" s="38" t="s">
        <v>33</v>
      </c>
      <c r="AI1" s="38" t="s">
        <v>34</v>
      </c>
      <c r="AJ1" s="38" t="s">
        <v>35</v>
      </c>
      <c r="AK1" s="38" t="s">
        <v>36</v>
      </c>
      <c r="AL1" s="38" t="s">
        <v>37</v>
      </c>
      <c r="AM1" s="38" t="s">
        <v>38</v>
      </c>
      <c r="AN1" s="38" t="s">
        <v>39</v>
      </c>
      <c r="AO1" s="38" t="s">
        <v>40</v>
      </c>
      <c r="AP1" s="38" t="s">
        <v>41</v>
      </c>
      <c r="AQ1" s="38" t="s">
        <v>42</v>
      </c>
      <c r="AR1" s="38" t="s">
        <v>43</v>
      </c>
      <c r="AS1" s="38" t="s">
        <v>44</v>
      </c>
      <c r="AT1" s="38" t="s">
        <v>45</v>
      </c>
      <c r="AU1" s="38" t="s">
        <v>46</v>
      </c>
      <c r="AV1" s="38" t="s">
        <v>47</v>
      </c>
      <c r="AW1" s="38" t="s">
        <v>48</v>
      </c>
      <c r="AX1" s="38" t="s">
        <v>49</v>
      </c>
      <c r="AY1" s="38" t="s">
        <v>50</v>
      </c>
      <c r="AZ1" s="38" t="s">
        <v>51</v>
      </c>
      <c r="BA1" s="38" t="s">
        <v>52</v>
      </c>
      <c r="BB1" s="38" t="s">
        <v>53</v>
      </c>
      <c r="BC1" s="38" t="s">
        <v>54</v>
      </c>
      <c r="BD1" s="38" t="s">
        <v>55</v>
      </c>
      <c r="BE1" s="38" t="s">
        <v>56</v>
      </c>
      <c r="BF1" s="38" t="s">
        <v>57</v>
      </c>
      <c r="BG1" s="38" t="s">
        <v>58</v>
      </c>
      <c r="BH1" s="38" t="s">
        <v>59</v>
      </c>
      <c r="BI1" s="38" t="s">
        <v>60</v>
      </c>
      <c r="BJ1" s="38" t="s">
        <v>61</v>
      </c>
      <c r="BK1" s="38" t="s">
        <v>62</v>
      </c>
      <c r="BL1" s="38" t="s">
        <v>63</v>
      </c>
      <c r="BM1" s="38" t="s">
        <v>64</v>
      </c>
      <c r="BN1" s="38" t="s">
        <v>65</v>
      </c>
      <c r="BO1" s="38" t="s">
        <v>66</v>
      </c>
      <c r="BP1" s="38" t="s">
        <v>67</v>
      </c>
      <c r="BQ1" s="38" t="s">
        <v>68</v>
      </c>
      <c r="BS1" s="39" t="s">
        <v>491</v>
      </c>
      <c r="BT1" s="39" t="s">
        <v>452</v>
      </c>
      <c r="BU1" s="39" t="s">
        <v>453</v>
      </c>
      <c r="BV1" s="39" t="s">
        <v>454</v>
      </c>
      <c r="BW1" s="39" t="s">
        <v>455</v>
      </c>
      <c r="BX1" s="39" t="s">
        <v>458</v>
      </c>
      <c r="BY1" s="39" t="s">
        <v>459</v>
      </c>
      <c r="BZ1" s="45" t="s">
        <v>460</v>
      </c>
      <c r="CA1" s="45"/>
      <c r="CB1" s="45" t="s">
        <v>461</v>
      </c>
      <c r="CC1" s="45"/>
      <c r="CD1" s="45"/>
    </row>
    <row r="2" spans="1:82">
      <c r="A2" t="s">
        <v>2</v>
      </c>
      <c r="B2" s="50" t="s">
        <v>69</v>
      </c>
      <c r="C2">
        <v>1069044.9731999999</v>
      </c>
      <c r="D2">
        <v>0</v>
      </c>
      <c r="E2">
        <v>0</v>
      </c>
      <c r="F2">
        <v>0</v>
      </c>
      <c r="G2">
        <v>0</v>
      </c>
      <c r="H2">
        <v>697.38919999999996</v>
      </c>
      <c r="I2">
        <v>0</v>
      </c>
      <c r="J2">
        <v>0</v>
      </c>
      <c r="K2">
        <v>21452.0743</v>
      </c>
      <c r="L2">
        <v>0</v>
      </c>
      <c r="M2">
        <v>0</v>
      </c>
      <c r="N2">
        <v>0</v>
      </c>
      <c r="O2">
        <v>0</v>
      </c>
      <c r="P2">
        <v>0</v>
      </c>
      <c r="Q2">
        <v>16469292.002699999</v>
      </c>
      <c r="R2">
        <v>0</v>
      </c>
      <c r="S2">
        <v>0</v>
      </c>
      <c r="T2">
        <v>0</v>
      </c>
      <c r="U2">
        <v>0</v>
      </c>
      <c r="V2">
        <v>0</v>
      </c>
      <c r="W2">
        <v>5192.8968999999997</v>
      </c>
      <c r="X2">
        <v>0</v>
      </c>
      <c r="Y2">
        <v>2043.1564000000001</v>
      </c>
      <c r="Z2">
        <v>0</v>
      </c>
      <c r="AA2">
        <v>0</v>
      </c>
      <c r="AB2">
        <v>0</v>
      </c>
      <c r="AC2">
        <v>0</v>
      </c>
      <c r="AD2">
        <v>0</v>
      </c>
      <c r="AE2">
        <v>0</v>
      </c>
      <c r="AF2">
        <v>0</v>
      </c>
      <c r="AG2">
        <v>0</v>
      </c>
      <c r="AH2">
        <v>0</v>
      </c>
      <c r="AI2">
        <v>0</v>
      </c>
      <c r="AJ2">
        <v>0</v>
      </c>
      <c r="AK2">
        <v>0</v>
      </c>
      <c r="AL2">
        <v>0</v>
      </c>
      <c r="AM2">
        <v>0</v>
      </c>
      <c r="AN2">
        <v>0</v>
      </c>
      <c r="AO2">
        <v>0</v>
      </c>
      <c r="AP2">
        <v>0</v>
      </c>
      <c r="AQ2">
        <v>0</v>
      </c>
      <c r="AR2">
        <v>6373.7154</v>
      </c>
      <c r="AS2">
        <v>222413.55910000001</v>
      </c>
      <c r="AT2">
        <v>0</v>
      </c>
      <c r="AU2">
        <v>0</v>
      </c>
      <c r="AV2">
        <v>0</v>
      </c>
      <c r="AW2">
        <v>0</v>
      </c>
      <c r="AX2">
        <v>0</v>
      </c>
      <c r="AY2">
        <v>0</v>
      </c>
      <c r="AZ2">
        <v>0</v>
      </c>
      <c r="BA2">
        <v>70927.807100000005</v>
      </c>
      <c r="BB2">
        <v>5489.5983999999999</v>
      </c>
      <c r="BC2">
        <v>7671.5012999999999</v>
      </c>
      <c r="BD2">
        <v>34190.167999999998</v>
      </c>
      <c r="BE2">
        <v>0</v>
      </c>
      <c r="BF2">
        <v>17914788.841899998</v>
      </c>
      <c r="BG2">
        <v>369043.29680000001</v>
      </c>
      <c r="BH2">
        <v>0</v>
      </c>
      <c r="BI2">
        <v>0</v>
      </c>
      <c r="BJ2">
        <v>73419.347399999999</v>
      </c>
      <c r="BK2">
        <v>271170.00020000001</v>
      </c>
      <c r="BL2">
        <v>713632.64439999999</v>
      </c>
      <c r="BM2">
        <v>18628421.486299999</v>
      </c>
      <c r="BN2">
        <v>0</v>
      </c>
      <c r="BO2">
        <v>0</v>
      </c>
      <c r="BP2">
        <v>18628421.486299999</v>
      </c>
      <c r="BQ2">
        <v>18628421.486299999</v>
      </c>
      <c r="BS2" s="20">
        <f>IFERROR(BF2/BM2,0)</f>
        <v>0.96169119080085064</v>
      </c>
      <c r="BT2" s="20">
        <f>IFERROR(BK2/BM2,0)</f>
        <v>1.4556788958174907E-2</v>
      </c>
      <c r="BU2" cm="1">
        <f t="array" ref="BU2:BU56">TRANSPOSE(C63:BE63)</f>
        <v>14421722.0768</v>
      </c>
      <c r="BV2" s="20">
        <f>IFERROR(BU2/BM2,0)</f>
        <v>0.77417842877380916</v>
      </c>
      <c r="BW2" s="41" t="str" cm="1">
        <f t="array" ref="BW2">_xlfn.IFS(BV2&gt;$BV$62,"Very High",BV2&gt;$BV$61,"High",BV2&gt;$BV$60,"Low",BV2&lt;=$BV$60,"Very Low")</f>
        <v>Very High</v>
      </c>
      <c r="BX2" t="s">
        <v>476</v>
      </c>
    </row>
    <row r="3" spans="1:82">
      <c r="A3" t="s">
        <v>3</v>
      </c>
      <c r="B3" s="50" t="s">
        <v>70</v>
      </c>
      <c r="C3">
        <v>0</v>
      </c>
      <c r="D3">
        <v>75321.677500000005</v>
      </c>
      <c r="E3">
        <v>0</v>
      </c>
      <c r="F3">
        <v>0</v>
      </c>
      <c r="G3">
        <v>76.159400000000005</v>
      </c>
      <c r="H3">
        <v>0</v>
      </c>
      <c r="I3">
        <v>0</v>
      </c>
      <c r="J3">
        <v>0</v>
      </c>
      <c r="K3">
        <v>0</v>
      </c>
      <c r="L3">
        <v>0</v>
      </c>
      <c r="M3">
        <v>0</v>
      </c>
      <c r="N3">
        <v>0</v>
      </c>
      <c r="O3">
        <v>0</v>
      </c>
      <c r="P3">
        <v>0</v>
      </c>
      <c r="Q3">
        <v>1238533.9775</v>
      </c>
      <c r="R3">
        <v>0</v>
      </c>
      <c r="S3">
        <v>0</v>
      </c>
      <c r="T3">
        <v>0</v>
      </c>
      <c r="U3">
        <v>0</v>
      </c>
      <c r="V3">
        <v>0</v>
      </c>
      <c r="W3">
        <v>10570.4566</v>
      </c>
      <c r="X3">
        <v>6.6199000000000003</v>
      </c>
      <c r="Y3">
        <v>0</v>
      </c>
      <c r="Z3">
        <v>0</v>
      </c>
      <c r="AA3">
        <v>0</v>
      </c>
      <c r="AB3">
        <v>0</v>
      </c>
      <c r="AC3">
        <v>0</v>
      </c>
      <c r="AD3">
        <v>19.6128</v>
      </c>
      <c r="AE3">
        <v>0</v>
      </c>
      <c r="AF3">
        <v>27.549499999999998</v>
      </c>
      <c r="AG3">
        <v>0</v>
      </c>
      <c r="AH3">
        <v>0</v>
      </c>
      <c r="AI3">
        <v>31036.8138</v>
      </c>
      <c r="AJ3">
        <v>0</v>
      </c>
      <c r="AK3">
        <v>0</v>
      </c>
      <c r="AL3">
        <v>3636.1612</v>
      </c>
      <c r="AM3">
        <v>0</v>
      </c>
      <c r="AN3">
        <v>927.90229999999997</v>
      </c>
      <c r="AO3">
        <v>0</v>
      </c>
      <c r="AP3">
        <v>16386.870699999999</v>
      </c>
      <c r="AQ3">
        <v>0</v>
      </c>
      <c r="AR3">
        <v>20599.847600000001</v>
      </c>
      <c r="AS3">
        <v>541937.30119999999</v>
      </c>
      <c r="AT3">
        <v>0.3453</v>
      </c>
      <c r="AU3">
        <v>242.08940000000001</v>
      </c>
      <c r="AV3">
        <v>0</v>
      </c>
      <c r="AW3">
        <v>0</v>
      </c>
      <c r="AX3">
        <v>0</v>
      </c>
      <c r="AY3">
        <v>0</v>
      </c>
      <c r="AZ3">
        <v>0</v>
      </c>
      <c r="BA3">
        <v>2170.2044000000001</v>
      </c>
      <c r="BB3">
        <v>2348.2498000000001</v>
      </c>
      <c r="BC3">
        <v>57539.736499999999</v>
      </c>
      <c r="BD3">
        <v>4049.9285</v>
      </c>
      <c r="BE3">
        <v>0</v>
      </c>
      <c r="BF3">
        <v>2005431.5038999999</v>
      </c>
      <c r="BG3">
        <v>4139011.0392</v>
      </c>
      <c r="BH3">
        <v>0</v>
      </c>
      <c r="BI3">
        <v>179801.1335</v>
      </c>
      <c r="BJ3">
        <v>52261.440499999997</v>
      </c>
      <c r="BK3">
        <v>601604.07189999998</v>
      </c>
      <c r="BL3">
        <v>4972677.6849999996</v>
      </c>
      <c r="BM3">
        <v>6978109.1889000004</v>
      </c>
      <c r="BN3">
        <v>0</v>
      </c>
      <c r="BO3">
        <v>0</v>
      </c>
      <c r="BP3">
        <v>6978109.1889000004</v>
      </c>
      <c r="BQ3">
        <v>6978109.1889000004</v>
      </c>
      <c r="BS3" s="20">
        <f t="shared" ref="BS3:BS56" si="0">IFERROR(BF3/BM3,0)</f>
        <v>0.28738895445918461</v>
      </c>
      <c r="BT3" s="20">
        <f t="shared" ref="BT3:BT56" si="1">IFERROR(BK3/BM3,0)</f>
        <v>8.6213049353966079E-2</v>
      </c>
      <c r="BU3">
        <v>5318349.7141000004</v>
      </c>
      <c r="BV3" s="20">
        <f t="shared" ref="BV3:BV56" si="2">IFERROR(BU3/BM3,0)</f>
        <v>0.76214767784944371</v>
      </c>
      <c r="BW3" s="41" t="str" cm="1">
        <f t="array" ref="BW3">_xlfn.IFS(BV3&gt;$BV$62,"Very High",BV3&gt;$BV$61,"High",BV3&gt;$BV$60,"Low",BV3&lt;=$BV$60,"Very Low")</f>
        <v>Very High</v>
      </c>
      <c r="BX3" t="s">
        <v>476</v>
      </c>
    </row>
    <row r="4" spans="1:82">
      <c r="A4" t="s">
        <v>4</v>
      </c>
      <c r="B4" s="50" t="s">
        <v>71</v>
      </c>
      <c r="C4">
        <v>0</v>
      </c>
      <c r="D4">
        <v>0</v>
      </c>
      <c r="E4">
        <v>1091869.9638</v>
      </c>
      <c r="F4">
        <v>0</v>
      </c>
      <c r="G4">
        <v>0</v>
      </c>
      <c r="H4">
        <v>0</v>
      </c>
      <c r="I4">
        <v>0</v>
      </c>
      <c r="J4">
        <v>0</v>
      </c>
      <c r="K4">
        <v>0</v>
      </c>
      <c r="L4">
        <v>0</v>
      </c>
      <c r="M4">
        <v>0</v>
      </c>
      <c r="N4">
        <v>0</v>
      </c>
      <c r="O4">
        <v>0</v>
      </c>
      <c r="P4">
        <v>0</v>
      </c>
      <c r="Q4">
        <v>0</v>
      </c>
      <c r="R4">
        <v>0</v>
      </c>
      <c r="S4">
        <v>0</v>
      </c>
      <c r="T4">
        <v>0</v>
      </c>
      <c r="U4">
        <v>0</v>
      </c>
      <c r="V4">
        <v>0</v>
      </c>
      <c r="W4">
        <v>0</v>
      </c>
      <c r="X4">
        <v>11154451.5362</v>
      </c>
      <c r="Y4">
        <v>0</v>
      </c>
      <c r="Z4">
        <v>0</v>
      </c>
      <c r="AA4">
        <v>0</v>
      </c>
      <c r="AB4">
        <v>0</v>
      </c>
      <c r="AC4">
        <v>0</v>
      </c>
      <c r="AD4">
        <v>0</v>
      </c>
      <c r="AE4">
        <v>0</v>
      </c>
      <c r="AF4">
        <v>0</v>
      </c>
      <c r="AG4">
        <v>0</v>
      </c>
      <c r="AH4">
        <v>0</v>
      </c>
      <c r="AI4">
        <v>0</v>
      </c>
      <c r="AJ4">
        <v>0</v>
      </c>
      <c r="AK4">
        <v>6820.7965000000004</v>
      </c>
      <c r="AL4">
        <v>0</v>
      </c>
      <c r="AM4">
        <v>0</v>
      </c>
      <c r="AN4">
        <v>0</v>
      </c>
      <c r="AO4">
        <v>0</v>
      </c>
      <c r="AP4">
        <v>0</v>
      </c>
      <c r="AQ4">
        <v>0</v>
      </c>
      <c r="AR4">
        <v>0</v>
      </c>
      <c r="AS4">
        <v>0</v>
      </c>
      <c r="AT4">
        <v>0</v>
      </c>
      <c r="AU4">
        <v>0</v>
      </c>
      <c r="AV4">
        <v>0</v>
      </c>
      <c r="AW4">
        <v>0</v>
      </c>
      <c r="AX4">
        <v>0</v>
      </c>
      <c r="AY4">
        <v>0</v>
      </c>
      <c r="AZ4">
        <v>0</v>
      </c>
      <c r="BA4">
        <v>0</v>
      </c>
      <c r="BB4">
        <v>0</v>
      </c>
      <c r="BC4">
        <v>0</v>
      </c>
      <c r="BD4">
        <v>0</v>
      </c>
      <c r="BE4">
        <v>0</v>
      </c>
      <c r="BF4">
        <v>12253142.296499999</v>
      </c>
      <c r="BG4">
        <v>0</v>
      </c>
      <c r="BH4">
        <v>0</v>
      </c>
      <c r="BI4">
        <v>0</v>
      </c>
      <c r="BJ4">
        <v>0</v>
      </c>
      <c r="BK4">
        <v>64.577500000000001</v>
      </c>
      <c r="BL4">
        <v>64.577500000000001</v>
      </c>
      <c r="BM4">
        <v>12253206.8741</v>
      </c>
      <c r="BN4">
        <v>0</v>
      </c>
      <c r="BO4">
        <v>0</v>
      </c>
      <c r="BP4">
        <v>12253206.8741</v>
      </c>
      <c r="BQ4">
        <v>12253206.8741</v>
      </c>
      <c r="BS4" s="20">
        <f t="shared" si="0"/>
        <v>0.99999472973886228</v>
      </c>
      <c r="BT4" s="20">
        <f t="shared" si="1"/>
        <v>5.2702529765085051E-6</v>
      </c>
      <c r="BU4">
        <v>8422285.3792000003</v>
      </c>
      <c r="BV4" s="20">
        <f t="shared" si="2"/>
        <v>0.68735356105041023</v>
      </c>
      <c r="BW4" s="41" t="str" cm="1">
        <f t="array" ref="BW4">_xlfn.IFS(BV4&gt;$BV$62,"Very High",BV4&gt;$BV$61,"High",BV4&gt;$BV$60,"Low",BV4&lt;=$BV$60,"Very Low")</f>
        <v>Very High</v>
      </c>
      <c r="BX4" t="s">
        <v>478</v>
      </c>
    </row>
    <row r="5" spans="1:82">
      <c r="A5" t="s">
        <v>5</v>
      </c>
      <c r="B5" s="50" t="s">
        <v>72</v>
      </c>
      <c r="C5">
        <v>0</v>
      </c>
      <c r="D5">
        <v>0</v>
      </c>
      <c r="E5">
        <v>0</v>
      </c>
      <c r="F5">
        <v>2061576.2553000001</v>
      </c>
      <c r="G5">
        <v>0</v>
      </c>
      <c r="H5">
        <v>0</v>
      </c>
      <c r="I5">
        <v>0</v>
      </c>
      <c r="J5">
        <v>0</v>
      </c>
      <c r="K5">
        <v>0</v>
      </c>
      <c r="L5">
        <v>0</v>
      </c>
      <c r="M5">
        <v>0</v>
      </c>
      <c r="N5">
        <v>0</v>
      </c>
      <c r="O5">
        <v>0</v>
      </c>
      <c r="P5">
        <v>0</v>
      </c>
      <c r="Q5">
        <v>20717828.145199999</v>
      </c>
      <c r="R5">
        <v>0</v>
      </c>
      <c r="S5">
        <v>0</v>
      </c>
      <c r="T5">
        <v>0</v>
      </c>
      <c r="U5">
        <v>0</v>
      </c>
      <c r="V5">
        <v>0</v>
      </c>
      <c r="W5">
        <v>0</v>
      </c>
      <c r="X5">
        <v>0</v>
      </c>
      <c r="Y5">
        <v>0</v>
      </c>
      <c r="Z5">
        <v>0</v>
      </c>
      <c r="AA5">
        <v>0</v>
      </c>
      <c r="AB5">
        <v>0</v>
      </c>
      <c r="AC5">
        <v>0</v>
      </c>
      <c r="AD5">
        <v>0</v>
      </c>
      <c r="AE5">
        <v>0</v>
      </c>
      <c r="AF5">
        <v>0</v>
      </c>
      <c r="AG5">
        <v>0</v>
      </c>
      <c r="AH5">
        <v>0</v>
      </c>
      <c r="AI5">
        <v>0</v>
      </c>
      <c r="AJ5">
        <v>0</v>
      </c>
      <c r="AK5">
        <v>15026.465399999999</v>
      </c>
      <c r="AL5">
        <v>0</v>
      </c>
      <c r="AM5">
        <v>0</v>
      </c>
      <c r="AN5">
        <v>0</v>
      </c>
      <c r="AO5">
        <v>0</v>
      </c>
      <c r="AP5">
        <v>0</v>
      </c>
      <c r="AQ5">
        <v>0</v>
      </c>
      <c r="AR5">
        <v>0</v>
      </c>
      <c r="AS5">
        <v>0</v>
      </c>
      <c r="AT5">
        <v>0</v>
      </c>
      <c r="AU5">
        <v>0</v>
      </c>
      <c r="AV5">
        <v>0</v>
      </c>
      <c r="AW5">
        <v>0</v>
      </c>
      <c r="AX5">
        <v>0</v>
      </c>
      <c r="AY5">
        <v>0</v>
      </c>
      <c r="AZ5">
        <v>0</v>
      </c>
      <c r="BA5">
        <v>0</v>
      </c>
      <c r="BB5">
        <v>0</v>
      </c>
      <c r="BC5">
        <v>0</v>
      </c>
      <c r="BD5">
        <v>0</v>
      </c>
      <c r="BE5">
        <v>0</v>
      </c>
      <c r="BF5">
        <v>22794430.865899999</v>
      </c>
      <c r="BG5">
        <v>0</v>
      </c>
      <c r="BH5">
        <v>0</v>
      </c>
      <c r="BI5">
        <v>0</v>
      </c>
      <c r="BJ5">
        <v>0</v>
      </c>
      <c r="BK5">
        <v>876645.06629999995</v>
      </c>
      <c r="BL5">
        <v>876645.06629999995</v>
      </c>
      <c r="BM5">
        <v>23671075.9322</v>
      </c>
      <c r="BN5">
        <v>0</v>
      </c>
      <c r="BO5">
        <v>0</v>
      </c>
      <c r="BP5">
        <v>23671075.9322</v>
      </c>
      <c r="BQ5">
        <v>23671075.9322</v>
      </c>
      <c r="BS5" s="20">
        <f t="shared" si="0"/>
        <v>0.96296555894582336</v>
      </c>
      <c r="BT5" s="20">
        <f t="shared" si="1"/>
        <v>3.703444105417663E-2</v>
      </c>
      <c r="BU5">
        <v>16306552.4712</v>
      </c>
      <c r="BV5" s="20">
        <f t="shared" si="2"/>
        <v>0.68888091601354018</v>
      </c>
      <c r="BW5" s="41" t="str" cm="1">
        <f t="array" ref="BW5">_xlfn.IFS(BV5&gt;$BV$62,"Very High",BV5&gt;$BV$61,"High",BV5&gt;$BV$60,"Low",BV5&lt;=$BV$60,"Very Low")</f>
        <v>Very High</v>
      </c>
      <c r="BX5" t="s">
        <v>480</v>
      </c>
    </row>
    <row r="6" spans="1:82">
      <c r="A6" t="s">
        <v>6</v>
      </c>
      <c r="B6" s="50" t="s">
        <v>73</v>
      </c>
      <c r="C6">
        <v>0</v>
      </c>
      <c r="D6">
        <v>0</v>
      </c>
      <c r="E6">
        <v>0</v>
      </c>
      <c r="F6">
        <v>0</v>
      </c>
      <c r="G6">
        <v>313476.60080000001</v>
      </c>
      <c r="H6">
        <v>0</v>
      </c>
      <c r="I6">
        <v>0</v>
      </c>
      <c r="J6">
        <v>0</v>
      </c>
      <c r="K6">
        <v>0</v>
      </c>
      <c r="L6">
        <v>0</v>
      </c>
      <c r="M6">
        <v>0</v>
      </c>
      <c r="N6">
        <v>0</v>
      </c>
      <c r="O6">
        <v>0</v>
      </c>
      <c r="P6">
        <v>0</v>
      </c>
      <c r="Q6">
        <v>247988.1893</v>
      </c>
      <c r="R6">
        <v>0</v>
      </c>
      <c r="S6">
        <v>0</v>
      </c>
      <c r="T6">
        <v>21.748000000000001</v>
      </c>
      <c r="U6">
        <v>37.757899999999999</v>
      </c>
      <c r="V6">
        <v>0</v>
      </c>
      <c r="W6">
        <v>766241.01199999999</v>
      </c>
      <c r="X6">
        <v>3206.6985</v>
      </c>
      <c r="Y6">
        <v>12.986800000000001</v>
      </c>
      <c r="Z6">
        <v>0</v>
      </c>
      <c r="AA6">
        <v>0</v>
      </c>
      <c r="AB6">
        <v>3.6648999999999998</v>
      </c>
      <c r="AC6">
        <v>0</v>
      </c>
      <c r="AD6">
        <v>1969.0134</v>
      </c>
      <c r="AE6">
        <v>2189.6912000000002</v>
      </c>
      <c r="AF6">
        <v>0</v>
      </c>
      <c r="AG6">
        <v>0</v>
      </c>
      <c r="AH6">
        <v>0</v>
      </c>
      <c r="AI6">
        <v>263.63799999999998</v>
      </c>
      <c r="AJ6">
        <v>0</v>
      </c>
      <c r="AK6">
        <v>0</v>
      </c>
      <c r="AL6">
        <v>0</v>
      </c>
      <c r="AM6">
        <v>0</v>
      </c>
      <c r="AN6">
        <v>0</v>
      </c>
      <c r="AO6">
        <v>0</v>
      </c>
      <c r="AP6">
        <v>0</v>
      </c>
      <c r="AQ6">
        <v>0</v>
      </c>
      <c r="AR6">
        <v>87.121600000000001</v>
      </c>
      <c r="AS6">
        <v>164973.83420000001</v>
      </c>
      <c r="AT6">
        <v>0</v>
      </c>
      <c r="AU6">
        <v>0</v>
      </c>
      <c r="AV6">
        <v>0</v>
      </c>
      <c r="AW6">
        <v>0</v>
      </c>
      <c r="AX6">
        <v>0</v>
      </c>
      <c r="AY6">
        <v>0</v>
      </c>
      <c r="AZ6">
        <v>0</v>
      </c>
      <c r="BA6">
        <v>21.834800000000001</v>
      </c>
      <c r="BB6">
        <v>117.28449999999999</v>
      </c>
      <c r="BC6">
        <v>7811.2873</v>
      </c>
      <c r="BD6">
        <v>964.45159999999998</v>
      </c>
      <c r="BE6">
        <v>0</v>
      </c>
      <c r="BF6">
        <v>1509386.8148000001</v>
      </c>
      <c r="BG6">
        <v>172325.96230000001</v>
      </c>
      <c r="BH6">
        <v>0</v>
      </c>
      <c r="BI6">
        <v>1543475.4253</v>
      </c>
      <c r="BJ6">
        <v>80904.957299999995</v>
      </c>
      <c r="BK6">
        <v>1542357.3429</v>
      </c>
      <c r="BL6">
        <v>3339063.6878</v>
      </c>
      <c r="BM6">
        <v>4848450.5026000002</v>
      </c>
      <c r="BN6">
        <v>0</v>
      </c>
      <c r="BO6">
        <v>0</v>
      </c>
      <c r="BP6">
        <v>4848450.5026000002</v>
      </c>
      <c r="BQ6">
        <v>4848450.5026000002</v>
      </c>
      <c r="BS6" s="20">
        <f t="shared" si="0"/>
        <v>0.31131323584526344</v>
      </c>
      <c r="BT6" s="20">
        <f t="shared" si="1"/>
        <v>0.31811345543754754</v>
      </c>
      <c r="BU6">
        <v>3091909.8530999999</v>
      </c>
      <c r="BV6" s="20">
        <f t="shared" si="2"/>
        <v>0.6377109246432342</v>
      </c>
      <c r="BW6" s="41" t="str" cm="1">
        <f t="array" ref="BW6">_xlfn.IFS(BV6&gt;$BV$62,"Very High",BV6&gt;$BV$61,"High",BV6&gt;$BV$60,"Low",BV6&lt;=$BV$60,"Very Low")</f>
        <v>High</v>
      </c>
      <c r="BX6" t="s">
        <v>482</v>
      </c>
    </row>
    <row r="7" spans="1:82">
      <c r="A7" t="s">
        <v>7</v>
      </c>
      <c r="B7" s="50" t="s">
        <v>74</v>
      </c>
      <c r="C7">
        <v>28631.704099999999</v>
      </c>
      <c r="D7">
        <v>61683.885199999997</v>
      </c>
      <c r="E7">
        <v>0</v>
      </c>
      <c r="F7">
        <v>1085.4154000000001</v>
      </c>
      <c r="G7">
        <v>327.87819999999999</v>
      </c>
      <c r="H7">
        <v>134988.79920000001</v>
      </c>
      <c r="I7">
        <v>6920.5817999999999</v>
      </c>
      <c r="J7">
        <v>813.23879999999997</v>
      </c>
      <c r="K7">
        <v>168.41069999999999</v>
      </c>
      <c r="L7">
        <v>0</v>
      </c>
      <c r="M7">
        <v>0</v>
      </c>
      <c r="N7">
        <v>0</v>
      </c>
      <c r="O7">
        <v>0</v>
      </c>
      <c r="P7">
        <v>0</v>
      </c>
      <c r="Q7">
        <v>5249641.0829999996</v>
      </c>
      <c r="R7">
        <v>0</v>
      </c>
      <c r="S7">
        <v>4803.2183000000005</v>
      </c>
      <c r="T7">
        <v>22.441199999999998</v>
      </c>
      <c r="U7">
        <v>0</v>
      </c>
      <c r="V7">
        <v>0</v>
      </c>
      <c r="W7">
        <v>433.51620000000003</v>
      </c>
      <c r="X7">
        <v>0</v>
      </c>
      <c r="Y7">
        <v>0</v>
      </c>
      <c r="Z7">
        <v>0</v>
      </c>
      <c r="AA7">
        <v>0</v>
      </c>
      <c r="AB7">
        <v>0</v>
      </c>
      <c r="AC7">
        <v>0</v>
      </c>
      <c r="AD7">
        <v>9.7999999999999997E-3</v>
      </c>
      <c r="AE7">
        <v>0</v>
      </c>
      <c r="AF7">
        <v>0</v>
      </c>
      <c r="AG7">
        <v>0</v>
      </c>
      <c r="AH7">
        <v>0</v>
      </c>
      <c r="AI7">
        <v>0</v>
      </c>
      <c r="AJ7">
        <v>0</v>
      </c>
      <c r="AK7">
        <v>0</v>
      </c>
      <c r="AL7">
        <v>0</v>
      </c>
      <c r="AM7">
        <v>0</v>
      </c>
      <c r="AN7">
        <v>0</v>
      </c>
      <c r="AO7">
        <v>0</v>
      </c>
      <c r="AP7">
        <v>0</v>
      </c>
      <c r="AQ7">
        <v>0</v>
      </c>
      <c r="AR7">
        <v>38344.743199999997</v>
      </c>
      <c r="AS7">
        <v>683315.58169999998</v>
      </c>
      <c r="AT7">
        <v>0</v>
      </c>
      <c r="AU7">
        <v>0</v>
      </c>
      <c r="AV7">
        <v>0</v>
      </c>
      <c r="AW7">
        <v>0</v>
      </c>
      <c r="AX7">
        <v>0</v>
      </c>
      <c r="AY7">
        <v>0</v>
      </c>
      <c r="AZ7">
        <v>0</v>
      </c>
      <c r="BA7">
        <v>47729.645600000003</v>
      </c>
      <c r="BB7">
        <v>13354.978999999999</v>
      </c>
      <c r="BC7">
        <v>41265.269399999997</v>
      </c>
      <c r="BD7">
        <v>32619.371200000001</v>
      </c>
      <c r="BE7">
        <v>0</v>
      </c>
      <c r="BF7">
        <v>6346149.7720999997</v>
      </c>
      <c r="BG7">
        <v>2947885.3037</v>
      </c>
      <c r="BH7">
        <v>0</v>
      </c>
      <c r="BI7">
        <v>3614047.6266999999</v>
      </c>
      <c r="BJ7">
        <v>198195.77849999999</v>
      </c>
      <c r="BK7">
        <v>32740.831300000002</v>
      </c>
      <c r="BL7">
        <v>6792869.5401999997</v>
      </c>
      <c r="BM7">
        <v>13139019.3124</v>
      </c>
      <c r="BN7">
        <v>0</v>
      </c>
      <c r="BO7">
        <v>0</v>
      </c>
      <c r="BP7">
        <v>13139019.3124</v>
      </c>
      <c r="BQ7">
        <v>13139019.3124</v>
      </c>
      <c r="BS7" s="20">
        <f t="shared" si="0"/>
        <v>0.4830002621360634</v>
      </c>
      <c r="BT7" s="20">
        <f t="shared" si="1"/>
        <v>2.4918778579692564E-3</v>
      </c>
      <c r="BU7">
        <v>7995588.1072000004</v>
      </c>
      <c r="BV7" s="20">
        <f t="shared" si="2"/>
        <v>0.60853766305481671</v>
      </c>
      <c r="BW7" s="41" t="str" cm="1">
        <f t="array" ref="BW7">_xlfn.IFS(BV7&gt;$BV$62,"Very High",BV7&gt;$BV$61,"High",BV7&gt;$BV$60,"Low",BV7&lt;=$BV$60,"Very Low")</f>
        <v>High</v>
      </c>
      <c r="BX7" t="s">
        <v>476</v>
      </c>
    </row>
    <row r="8" spans="1:82">
      <c r="A8" t="s">
        <v>8</v>
      </c>
      <c r="B8" s="50" t="s">
        <v>75</v>
      </c>
      <c r="C8">
        <v>197662.84289999999</v>
      </c>
      <c r="D8">
        <v>51424.309399999998</v>
      </c>
      <c r="E8">
        <v>0</v>
      </c>
      <c r="F8">
        <v>1041080.7928000001</v>
      </c>
      <c r="G8">
        <v>779061.32090000005</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7224.8617999999997</v>
      </c>
      <c r="BB8">
        <v>0</v>
      </c>
      <c r="BC8">
        <v>0</v>
      </c>
      <c r="BD8">
        <v>0</v>
      </c>
      <c r="BE8">
        <v>0</v>
      </c>
      <c r="BF8">
        <v>2076454.1277999999</v>
      </c>
      <c r="BG8">
        <v>4523.2212</v>
      </c>
      <c r="BH8">
        <v>0</v>
      </c>
      <c r="BI8">
        <v>0</v>
      </c>
      <c r="BJ8">
        <v>0</v>
      </c>
      <c r="BK8">
        <v>0</v>
      </c>
      <c r="BL8">
        <v>4523.2212</v>
      </c>
      <c r="BM8">
        <v>2080977.3489999999</v>
      </c>
      <c r="BN8">
        <v>0</v>
      </c>
      <c r="BO8">
        <v>0</v>
      </c>
      <c r="BP8">
        <v>2080977.3489999999</v>
      </c>
      <c r="BQ8">
        <v>2080977.3489999999</v>
      </c>
      <c r="BS8" s="20">
        <f t="shared" si="0"/>
        <v>0.99782639575477661</v>
      </c>
      <c r="BT8" s="20">
        <f t="shared" si="1"/>
        <v>0</v>
      </c>
      <c r="BU8">
        <v>1449409.3533000001</v>
      </c>
      <c r="BV8" s="20">
        <f t="shared" si="2"/>
        <v>0.69650414695599849</v>
      </c>
      <c r="BW8" s="41" t="str" cm="1">
        <f t="array" ref="BW8">_xlfn.IFS(BV8&gt;$BV$62,"Very High",BV8&gt;$BV$61,"High",BV8&gt;$BV$60,"Low",BV8&lt;=$BV$60,"Very Low")</f>
        <v>Very High</v>
      </c>
      <c r="BX8" t="s">
        <v>482</v>
      </c>
    </row>
    <row r="9" spans="1:82">
      <c r="A9" t="s">
        <v>9</v>
      </c>
      <c r="B9" s="50" t="s">
        <v>76</v>
      </c>
      <c r="C9">
        <v>1.0454000000000001</v>
      </c>
      <c r="D9">
        <v>620.02980000000002</v>
      </c>
      <c r="E9">
        <v>0</v>
      </c>
      <c r="F9">
        <v>19104.264899999998</v>
      </c>
      <c r="G9">
        <v>1560.9711</v>
      </c>
      <c r="H9">
        <v>6494.6021000000001</v>
      </c>
      <c r="I9">
        <v>2.0291000000000001</v>
      </c>
      <c r="J9">
        <v>119124.83869999999</v>
      </c>
      <c r="K9">
        <v>678.59010000000001</v>
      </c>
      <c r="L9">
        <v>0</v>
      </c>
      <c r="M9">
        <v>33769.314899999998</v>
      </c>
      <c r="N9">
        <v>0</v>
      </c>
      <c r="O9">
        <v>5412.3936999999996</v>
      </c>
      <c r="P9">
        <v>1432.2474999999999</v>
      </c>
      <c r="Q9">
        <v>80449.066800000001</v>
      </c>
      <c r="R9">
        <v>0</v>
      </c>
      <c r="S9">
        <v>3094.5963999999999</v>
      </c>
      <c r="T9">
        <v>2.9142999999999999</v>
      </c>
      <c r="U9">
        <v>571531.65480000002</v>
      </c>
      <c r="V9">
        <v>669693.81189999997</v>
      </c>
      <c r="W9">
        <v>35875.712399999997</v>
      </c>
      <c r="X9">
        <v>12354.974099999999</v>
      </c>
      <c r="Y9">
        <v>132.01650000000001</v>
      </c>
      <c r="Z9">
        <v>0.3821</v>
      </c>
      <c r="AA9">
        <v>66.456400000000002</v>
      </c>
      <c r="AB9">
        <v>0</v>
      </c>
      <c r="AC9">
        <v>254.70840000000001</v>
      </c>
      <c r="AD9">
        <v>3400.5183999999999</v>
      </c>
      <c r="AE9">
        <v>3163.0569999999998</v>
      </c>
      <c r="AF9">
        <v>0</v>
      </c>
      <c r="AG9">
        <v>0</v>
      </c>
      <c r="AH9">
        <v>0</v>
      </c>
      <c r="AI9">
        <v>3160108.9364999998</v>
      </c>
      <c r="AJ9">
        <v>3260.6437000000001</v>
      </c>
      <c r="AK9">
        <v>1492.2122999999999</v>
      </c>
      <c r="AL9">
        <v>0</v>
      </c>
      <c r="AM9">
        <v>0</v>
      </c>
      <c r="AN9">
        <v>0</v>
      </c>
      <c r="AO9">
        <v>0</v>
      </c>
      <c r="AP9">
        <v>0</v>
      </c>
      <c r="AQ9">
        <v>0</v>
      </c>
      <c r="AR9">
        <v>508.44420000000002</v>
      </c>
      <c r="AS9">
        <v>5270.0725000000002</v>
      </c>
      <c r="AT9">
        <v>0</v>
      </c>
      <c r="AU9">
        <v>0</v>
      </c>
      <c r="AV9">
        <v>0</v>
      </c>
      <c r="AW9">
        <v>0</v>
      </c>
      <c r="AX9">
        <v>0</v>
      </c>
      <c r="AY9">
        <v>0</v>
      </c>
      <c r="AZ9">
        <v>0</v>
      </c>
      <c r="BA9">
        <v>76.531499999999994</v>
      </c>
      <c r="BB9">
        <v>0</v>
      </c>
      <c r="BC9">
        <v>0</v>
      </c>
      <c r="BD9">
        <v>781.38170000000002</v>
      </c>
      <c r="BE9">
        <v>0</v>
      </c>
      <c r="BF9">
        <v>4739718.4194999998</v>
      </c>
      <c r="BG9">
        <v>13484.3685</v>
      </c>
      <c r="BH9">
        <v>0</v>
      </c>
      <c r="BI9">
        <v>0</v>
      </c>
      <c r="BJ9">
        <v>-109.3009</v>
      </c>
      <c r="BK9">
        <v>4739674.5154999997</v>
      </c>
      <c r="BL9">
        <v>4753049.5831000004</v>
      </c>
      <c r="BM9">
        <v>9492768.0025999993</v>
      </c>
      <c r="BN9">
        <v>0</v>
      </c>
      <c r="BO9">
        <v>0</v>
      </c>
      <c r="BP9">
        <v>9492768.0025999993</v>
      </c>
      <c r="BQ9">
        <v>9492768.0025999993</v>
      </c>
      <c r="BS9" s="20">
        <f t="shared" si="0"/>
        <v>0.49929782527096689</v>
      </c>
      <c r="BT9" s="20">
        <f t="shared" si="1"/>
        <v>0.49929320027644603</v>
      </c>
      <c r="BU9">
        <v>8352368.2961999997</v>
      </c>
      <c r="BV9" s="20">
        <f t="shared" si="2"/>
        <v>0.87986647244642946</v>
      </c>
      <c r="BW9" s="41" t="str" cm="1">
        <f t="array" ref="BW9">_xlfn.IFS(BV9&gt;$BV$62,"Very High",BV9&gt;$BV$61,"High",BV9&gt;$BV$60,"Low",BV9&lt;=$BV$60,"Very Low")</f>
        <v>Very High</v>
      </c>
      <c r="BX9" t="s">
        <v>476</v>
      </c>
      <c r="BY9">
        <v>8</v>
      </c>
      <c r="BZ9">
        <v>20</v>
      </c>
      <c r="CA9">
        <v>19</v>
      </c>
    </row>
    <row r="10" spans="1:82">
      <c r="A10" t="s">
        <v>10</v>
      </c>
      <c r="B10" s="50" t="s">
        <v>77</v>
      </c>
      <c r="C10">
        <v>0</v>
      </c>
      <c r="D10">
        <v>0</v>
      </c>
      <c r="E10">
        <v>0</v>
      </c>
      <c r="F10">
        <v>0</v>
      </c>
      <c r="G10">
        <v>0</v>
      </c>
      <c r="H10">
        <v>0</v>
      </c>
      <c r="I10">
        <v>0</v>
      </c>
      <c r="J10">
        <v>0</v>
      </c>
      <c r="K10">
        <v>272957.95419999998</v>
      </c>
      <c r="L10">
        <v>0</v>
      </c>
      <c r="M10">
        <v>0</v>
      </c>
      <c r="N10">
        <v>0</v>
      </c>
      <c r="O10">
        <v>0</v>
      </c>
      <c r="P10">
        <v>0</v>
      </c>
      <c r="Q10">
        <v>5756748.8912000004</v>
      </c>
      <c r="R10">
        <v>0</v>
      </c>
      <c r="S10">
        <v>0</v>
      </c>
      <c r="T10">
        <v>0</v>
      </c>
      <c r="U10">
        <v>0</v>
      </c>
      <c r="V10">
        <v>0</v>
      </c>
      <c r="W10">
        <v>2458.4178999999999</v>
      </c>
      <c r="X10">
        <v>0</v>
      </c>
      <c r="Y10">
        <v>0</v>
      </c>
      <c r="Z10">
        <v>0</v>
      </c>
      <c r="AA10">
        <v>0</v>
      </c>
      <c r="AB10">
        <v>0</v>
      </c>
      <c r="AC10">
        <v>0</v>
      </c>
      <c r="AD10">
        <v>11.8705</v>
      </c>
      <c r="AE10">
        <v>2265.0765000000001</v>
      </c>
      <c r="AF10">
        <v>0</v>
      </c>
      <c r="AG10">
        <v>0</v>
      </c>
      <c r="AH10">
        <v>0</v>
      </c>
      <c r="AI10">
        <v>0</v>
      </c>
      <c r="AJ10">
        <v>0</v>
      </c>
      <c r="AK10">
        <v>0</v>
      </c>
      <c r="AL10">
        <v>0</v>
      </c>
      <c r="AM10">
        <v>0</v>
      </c>
      <c r="AN10">
        <v>0</v>
      </c>
      <c r="AO10">
        <v>0</v>
      </c>
      <c r="AP10">
        <v>0</v>
      </c>
      <c r="AQ10">
        <v>0</v>
      </c>
      <c r="AR10">
        <v>39374.6711</v>
      </c>
      <c r="AS10">
        <v>1575254.3807000001</v>
      </c>
      <c r="AT10">
        <v>0</v>
      </c>
      <c r="AU10">
        <v>0</v>
      </c>
      <c r="AV10">
        <v>0</v>
      </c>
      <c r="AW10">
        <v>0</v>
      </c>
      <c r="AX10">
        <v>0</v>
      </c>
      <c r="AY10">
        <v>0</v>
      </c>
      <c r="AZ10">
        <v>0</v>
      </c>
      <c r="BA10">
        <v>7571.2064</v>
      </c>
      <c r="BB10">
        <v>34918.310599999997</v>
      </c>
      <c r="BC10">
        <v>28159.1823</v>
      </c>
      <c r="BD10">
        <v>86265.892200000002</v>
      </c>
      <c r="BE10">
        <v>0</v>
      </c>
      <c r="BF10">
        <v>7805985.8536999999</v>
      </c>
      <c r="BG10">
        <v>9869527.7271999996</v>
      </c>
      <c r="BH10">
        <v>0</v>
      </c>
      <c r="BI10">
        <v>187528.0172</v>
      </c>
      <c r="BJ10">
        <v>-9.4E-2</v>
      </c>
      <c r="BK10">
        <v>31153.629300000001</v>
      </c>
      <c r="BL10">
        <v>10088209.2797</v>
      </c>
      <c r="BM10">
        <v>17894195.133299999</v>
      </c>
      <c r="BN10">
        <v>0</v>
      </c>
      <c r="BO10">
        <v>0</v>
      </c>
      <c r="BP10">
        <v>17894195.133299999</v>
      </c>
      <c r="BQ10">
        <v>17894195.133299999</v>
      </c>
      <c r="BS10" s="20">
        <f t="shared" si="0"/>
        <v>0.43623006207043863</v>
      </c>
      <c r="BT10" s="20">
        <f t="shared" si="1"/>
        <v>1.7409908111499805E-3</v>
      </c>
      <c r="BU10">
        <v>15770320.1338</v>
      </c>
      <c r="BV10" s="20">
        <f t="shared" si="2"/>
        <v>0.88130927467379638</v>
      </c>
      <c r="BW10" s="41" t="str" cm="1">
        <f t="array" ref="BW10">_xlfn.IFS(BV10&gt;$BV$62,"Very High",BV10&gt;$BV$61,"High",BV10&gt;$BV$60,"Low",BV10&lt;=$BV$60,"Very Low")</f>
        <v>Very High</v>
      </c>
      <c r="BX10" t="s">
        <v>476</v>
      </c>
      <c r="BY10">
        <v>9</v>
      </c>
      <c r="BZ10">
        <v>15</v>
      </c>
    </row>
    <row r="11" spans="1:82">
      <c r="A11" t="s">
        <v>11</v>
      </c>
      <c r="B11" t="s">
        <v>78</v>
      </c>
      <c r="C11">
        <v>1238.2717</v>
      </c>
      <c r="D11">
        <v>669.79700000000003</v>
      </c>
      <c r="E11">
        <v>0</v>
      </c>
      <c r="F11">
        <v>0</v>
      </c>
      <c r="G11">
        <v>72.270899999999997</v>
      </c>
      <c r="H11">
        <v>7477.4958999999999</v>
      </c>
      <c r="I11">
        <v>27.472899999999999</v>
      </c>
      <c r="J11">
        <v>1536.4911</v>
      </c>
      <c r="K11">
        <v>912.53210000000001</v>
      </c>
      <c r="L11">
        <v>4356637.4733999996</v>
      </c>
      <c r="M11">
        <v>216440.03810000001</v>
      </c>
      <c r="N11">
        <v>0</v>
      </c>
      <c r="O11">
        <v>8436.8919000000005</v>
      </c>
      <c r="P11">
        <v>6614663.3479000004</v>
      </c>
      <c r="Q11">
        <v>4760.7047000000002</v>
      </c>
      <c r="R11">
        <v>0</v>
      </c>
      <c r="S11">
        <v>101.04689999999999</v>
      </c>
      <c r="T11">
        <v>0.57410000000000005</v>
      </c>
      <c r="U11">
        <v>237.40629999999999</v>
      </c>
      <c r="V11">
        <v>3531.2750000000001</v>
      </c>
      <c r="W11">
        <v>3654922.7700999998</v>
      </c>
      <c r="X11">
        <v>1306298.8337999999</v>
      </c>
      <c r="Y11">
        <v>64002.905500000001</v>
      </c>
      <c r="Z11">
        <v>16962.1096</v>
      </c>
      <c r="AA11">
        <v>17568.854500000001</v>
      </c>
      <c r="AB11">
        <v>1.8883000000000001</v>
      </c>
      <c r="AC11">
        <v>316.27370000000002</v>
      </c>
      <c r="AD11">
        <v>87.316900000000004</v>
      </c>
      <c r="AE11">
        <v>114.5579</v>
      </c>
      <c r="AF11">
        <v>2666792.4076999999</v>
      </c>
      <c r="AG11">
        <v>32655.649600000001</v>
      </c>
      <c r="AH11">
        <v>155.08000000000001</v>
      </c>
      <c r="AI11">
        <v>87357.548599999995</v>
      </c>
      <c r="AJ11">
        <v>5568.7390999999998</v>
      </c>
      <c r="AK11">
        <v>51067.167800000003</v>
      </c>
      <c r="AL11">
        <v>1037.5159000000001</v>
      </c>
      <c r="AM11">
        <v>5153.9197000000004</v>
      </c>
      <c r="AN11">
        <v>1084.0427999999999</v>
      </c>
      <c r="AO11">
        <v>627.97860000000003</v>
      </c>
      <c r="AP11">
        <v>8840.5841</v>
      </c>
      <c r="AQ11">
        <v>1213.7711999999999</v>
      </c>
      <c r="AR11">
        <v>308.32279999999997</v>
      </c>
      <c r="AS11">
        <v>1066.2199000000001</v>
      </c>
      <c r="AT11">
        <v>18496.963299999999</v>
      </c>
      <c r="AU11">
        <v>7906.0311000000002</v>
      </c>
      <c r="AV11">
        <v>3386.5207</v>
      </c>
      <c r="AW11">
        <v>1091.3541</v>
      </c>
      <c r="AX11">
        <v>5.7930000000000001</v>
      </c>
      <c r="AY11">
        <v>5216.3838999999998</v>
      </c>
      <c r="AZ11">
        <v>745.20939999999996</v>
      </c>
      <c r="BA11">
        <v>16849.0854</v>
      </c>
      <c r="BB11">
        <v>7473.6030000000001</v>
      </c>
      <c r="BC11">
        <v>569.80589999999995</v>
      </c>
      <c r="BD11">
        <v>814.13469999999995</v>
      </c>
      <c r="BE11">
        <v>0</v>
      </c>
      <c r="BF11">
        <v>19202502.432100002</v>
      </c>
      <c r="BG11">
        <v>15281.711799999999</v>
      </c>
      <c r="BH11">
        <v>0</v>
      </c>
      <c r="BI11">
        <v>3897.2928000000002</v>
      </c>
      <c r="BJ11">
        <v>-942234.478</v>
      </c>
      <c r="BK11">
        <v>23199489.2128</v>
      </c>
      <c r="BL11">
        <v>22276433.739500001</v>
      </c>
      <c r="BM11">
        <v>41478936.171599999</v>
      </c>
      <c r="BN11">
        <v>0</v>
      </c>
      <c r="BO11">
        <v>0</v>
      </c>
      <c r="BP11">
        <v>41478936.171599999</v>
      </c>
      <c r="BQ11">
        <v>41478936.171599999</v>
      </c>
      <c r="BS11" s="20">
        <f t="shared" si="0"/>
        <v>0.46294587577315122</v>
      </c>
      <c r="BT11" s="20">
        <f t="shared" si="1"/>
        <v>0.55930771987070249</v>
      </c>
      <c r="BU11">
        <v>30425434.574200001</v>
      </c>
      <c r="BV11" s="20">
        <f t="shared" si="2"/>
        <v>0.73351530637933371</v>
      </c>
      <c r="BW11" s="41" t="str" cm="1">
        <f t="array" ref="BW11">_xlfn.IFS(BV11&gt;$BV$62,"Very High",BV11&gt;$BV$61,"High",BV11&gt;$BV$60,"Low",BV11&lt;=$BV$60,"Very Low")</f>
        <v>Very High</v>
      </c>
      <c r="BX11" t="s">
        <v>480</v>
      </c>
    </row>
    <row r="12" spans="1:82">
      <c r="A12" t="s">
        <v>12</v>
      </c>
      <c r="B12" t="s">
        <v>79</v>
      </c>
      <c r="C12">
        <v>1609.376</v>
      </c>
      <c r="D12">
        <v>887.8596</v>
      </c>
      <c r="E12">
        <v>0</v>
      </c>
      <c r="F12">
        <v>0</v>
      </c>
      <c r="G12">
        <v>80.637100000000004</v>
      </c>
      <c r="H12">
        <v>9695.4982999999993</v>
      </c>
      <c r="I12">
        <v>39.325400000000002</v>
      </c>
      <c r="J12">
        <v>2028.0537999999999</v>
      </c>
      <c r="K12">
        <v>1255.8833999999999</v>
      </c>
      <c r="L12">
        <v>15102.4535</v>
      </c>
      <c r="M12">
        <v>14561915.955499999</v>
      </c>
      <c r="N12">
        <v>0</v>
      </c>
      <c r="O12">
        <v>6415.7516999999998</v>
      </c>
      <c r="P12">
        <v>255683.6839</v>
      </c>
      <c r="Q12">
        <v>6231.8757999999998</v>
      </c>
      <c r="R12">
        <v>0</v>
      </c>
      <c r="S12">
        <v>224.7533</v>
      </c>
      <c r="T12">
        <v>0.91949999999999998</v>
      </c>
      <c r="U12">
        <v>383.95080000000002</v>
      </c>
      <c r="V12">
        <v>7106.0712999999996</v>
      </c>
      <c r="W12">
        <v>27630.009399999999</v>
      </c>
      <c r="X12">
        <v>4230.9165000000003</v>
      </c>
      <c r="Y12">
        <v>925465.68929999997</v>
      </c>
      <c r="Z12">
        <v>5700.0271000000002</v>
      </c>
      <c r="AA12">
        <v>43342.460500000001</v>
      </c>
      <c r="AB12">
        <v>3.4342000000000001</v>
      </c>
      <c r="AC12">
        <v>429.20209999999997</v>
      </c>
      <c r="AD12">
        <v>116.74209999999999</v>
      </c>
      <c r="AE12">
        <v>152.51140000000001</v>
      </c>
      <c r="AF12">
        <v>1150651.8759999999</v>
      </c>
      <c r="AG12">
        <v>8927.3942000000006</v>
      </c>
      <c r="AH12">
        <v>400.18639999999999</v>
      </c>
      <c r="AI12">
        <v>58534.2981</v>
      </c>
      <c r="AJ12">
        <v>7777.3424000000005</v>
      </c>
      <c r="AK12">
        <v>70028.320900000006</v>
      </c>
      <c r="AL12">
        <v>2380.2239</v>
      </c>
      <c r="AM12">
        <v>6690.3734999999997</v>
      </c>
      <c r="AN12">
        <v>1407.5425</v>
      </c>
      <c r="AO12">
        <v>867.24040000000002</v>
      </c>
      <c r="AP12">
        <v>11418.0404</v>
      </c>
      <c r="AQ12">
        <v>1677.8530000000001</v>
      </c>
      <c r="AR12">
        <v>465.7081</v>
      </c>
      <c r="AS12">
        <v>1595.1114</v>
      </c>
      <c r="AT12">
        <v>24741.4244</v>
      </c>
      <c r="AU12">
        <v>10277.877500000001</v>
      </c>
      <c r="AV12">
        <v>4439.2484999999997</v>
      </c>
      <c r="AW12">
        <v>1444.4519</v>
      </c>
      <c r="AX12">
        <v>7.6784999999999997</v>
      </c>
      <c r="AY12">
        <v>6890.1819999999998</v>
      </c>
      <c r="AZ12">
        <v>990.88329999999996</v>
      </c>
      <c r="BA12">
        <v>23356.3534</v>
      </c>
      <c r="BB12">
        <v>10256.791300000001</v>
      </c>
      <c r="BC12">
        <v>1079.479</v>
      </c>
      <c r="BD12">
        <v>1435.2207000000001</v>
      </c>
      <c r="BE12">
        <v>0</v>
      </c>
      <c r="BF12">
        <v>17283474.143199999</v>
      </c>
      <c r="BG12">
        <v>68041.654299999995</v>
      </c>
      <c r="BH12">
        <v>0</v>
      </c>
      <c r="BI12">
        <v>7284.0225</v>
      </c>
      <c r="BJ12">
        <v>360.3494</v>
      </c>
      <c r="BK12">
        <v>90059557.717700005</v>
      </c>
      <c r="BL12">
        <v>90135243.743900001</v>
      </c>
      <c r="BM12">
        <v>107418717.8871</v>
      </c>
      <c r="BN12">
        <v>0</v>
      </c>
      <c r="BO12">
        <v>0</v>
      </c>
      <c r="BP12">
        <v>107418717.8871</v>
      </c>
      <c r="BQ12">
        <v>107418717.8871</v>
      </c>
      <c r="BS12" s="20">
        <f t="shared" si="0"/>
        <v>0.1608981607969423</v>
      </c>
      <c r="BT12" s="20">
        <f t="shared" si="1"/>
        <v>0.83839725039685409</v>
      </c>
      <c r="BU12">
        <v>46912448.564000003</v>
      </c>
      <c r="BV12" s="20">
        <f t="shared" si="2"/>
        <v>0.4367250837354647</v>
      </c>
      <c r="BW12" s="41" t="str" cm="1">
        <f t="array" ref="BW12">_xlfn.IFS(BV12&gt;$BV$62,"Very High",BV12&gt;$BV$61,"High",BV12&gt;$BV$60,"Low",BV12&lt;=$BV$60,"Very Low")</f>
        <v>Low</v>
      </c>
      <c r="BX12" t="s">
        <v>478</v>
      </c>
    </row>
    <row r="13" spans="1:82">
      <c r="A13" t="s">
        <v>13</v>
      </c>
      <c r="B13" t="s">
        <v>80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S13" s="20">
        <f t="shared" si="0"/>
        <v>0</v>
      </c>
      <c r="BT13" s="20">
        <f t="shared" si="1"/>
        <v>0</v>
      </c>
      <c r="BU13">
        <v>0</v>
      </c>
      <c r="BV13" s="20">
        <f t="shared" si="2"/>
        <v>0</v>
      </c>
      <c r="BW13" s="41" t="str" cm="1">
        <f t="array" ref="BW13">_xlfn.IFS(BV13&gt;$BV$62,"Very High",BV13&gt;$BV$61,"High",BV13&gt;$BV$60,"Low",BV13&lt;=$BV$60,"Very Low")</f>
        <v>Very Low</v>
      </c>
      <c r="BX13" t="s">
        <v>476</v>
      </c>
    </row>
    <row r="14" spans="1:82">
      <c r="A14" t="s">
        <v>14</v>
      </c>
      <c r="B14" t="s">
        <v>81</v>
      </c>
      <c r="C14">
        <v>360.8562</v>
      </c>
      <c r="D14">
        <v>159.7603</v>
      </c>
      <c r="E14">
        <v>0</v>
      </c>
      <c r="F14">
        <v>0</v>
      </c>
      <c r="G14">
        <v>70.675399999999996</v>
      </c>
      <c r="H14">
        <v>1458.6068</v>
      </c>
      <c r="I14">
        <v>5.9931000000000001</v>
      </c>
      <c r="J14">
        <v>380.35759999999999</v>
      </c>
      <c r="K14">
        <v>189.708</v>
      </c>
      <c r="L14">
        <v>380268.49489999999</v>
      </c>
      <c r="M14">
        <v>10404147.074899999</v>
      </c>
      <c r="N14">
        <v>0</v>
      </c>
      <c r="O14">
        <v>667255.88989999995</v>
      </c>
      <c r="P14">
        <v>1042.0417</v>
      </c>
      <c r="Q14">
        <v>177338.57889999999</v>
      </c>
      <c r="R14">
        <v>0</v>
      </c>
      <c r="S14">
        <v>19.357099999999999</v>
      </c>
      <c r="T14">
        <v>1.2859</v>
      </c>
      <c r="U14">
        <v>122.6122</v>
      </c>
      <c r="V14">
        <v>680.12090000000001</v>
      </c>
      <c r="W14">
        <v>616010.58019999997</v>
      </c>
      <c r="X14">
        <v>18784.902300000002</v>
      </c>
      <c r="Y14">
        <v>244095.80859999999</v>
      </c>
      <c r="Z14">
        <v>146.87970000000001</v>
      </c>
      <c r="AA14">
        <v>1831.7573</v>
      </c>
      <c r="AB14">
        <v>1.9574</v>
      </c>
      <c r="AC14">
        <v>194.50530000000001</v>
      </c>
      <c r="AD14">
        <v>1172.2147</v>
      </c>
      <c r="AE14">
        <v>6568.9539000000004</v>
      </c>
      <c r="AF14">
        <v>8534.7502000000004</v>
      </c>
      <c r="AG14">
        <v>2.8187000000000002</v>
      </c>
      <c r="AH14">
        <v>35.894300000000001</v>
      </c>
      <c r="AI14">
        <v>8404859.6654000003</v>
      </c>
      <c r="AJ14">
        <v>1100.4534000000001</v>
      </c>
      <c r="AK14">
        <v>10449.343500000001</v>
      </c>
      <c r="AL14">
        <v>249.56299999999999</v>
      </c>
      <c r="AM14">
        <v>976.77319999999997</v>
      </c>
      <c r="AN14">
        <v>214.32650000000001</v>
      </c>
      <c r="AO14">
        <v>124.7097</v>
      </c>
      <c r="AP14">
        <v>1675.538</v>
      </c>
      <c r="AQ14">
        <v>279.13459999999998</v>
      </c>
      <c r="AR14">
        <v>62.242400000000004</v>
      </c>
      <c r="AS14">
        <v>208.9178</v>
      </c>
      <c r="AT14">
        <v>3633.8739</v>
      </c>
      <c r="AU14">
        <v>1521.787</v>
      </c>
      <c r="AV14">
        <v>648.94529999999997</v>
      </c>
      <c r="AW14">
        <v>208.62819999999999</v>
      </c>
      <c r="AX14">
        <v>1.1165</v>
      </c>
      <c r="AY14">
        <v>1416.9903999999999</v>
      </c>
      <c r="AZ14">
        <v>142.9683</v>
      </c>
      <c r="BA14">
        <v>3590.1448999999998</v>
      </c>
      <c r="BB14">
        <v>1449.3511000000001</v>
      </c>
      <c r="BC14">
        <v>112.72539999999999</v>
      </c>
      <c r="BD14">
        <v>162.9144</v>
      </c>
      <c r="BE14">
        <v>0</v>
      </c>
      <c r="BF14">
        <v>20963972.5495</v>
      </c>
      <c r="BG14">
        <v>54146.789400000001</v>
      </c>
      <c r="BH14">
        <v>0</v>
      </c>
      <c r="BI14">
        <v>272877.43599999999</v>
      </c>
      <c r="BJ14">
        <v>1451.3202000000001</v>
      </c>
      <c r="BK14">
        <v>22426308.344300002</v>
      </c>
      <c r="BL14">
        <v>22754783.889899999</v>
      </c>
      <c r="BM14">
        <v>43718756.439400002</v>
      </c>
      <c r="BN14">
        <v>0</v>
      </c>
      <c r="BO14">
        <v>0</v>
      </c>
      <c r="BP14">
        <v>43718756.439400002</v>
      </c>
      <c r="BQ14">
        <v>43718756.439400002</v>
      </c>
      <c r="BS14" s="20">
        <f t="shared" si="0"/>
        <v>0.47951895838022857</v>
      </c>
      <c r="BT14" s="20">
        <f t="shared" si="1"/>
        <v>0.51296766355616363</v>
      </c>
      <c r="BU14">
        <v>30071012.1393</v>
      </c>
      <c r="BV14" s="20">
        <f t="shared" si="2"/>
        <v>0.6878286252488085</v>
      </c>
      <c r="BW14" s="41" t="str" cm="1">
        <f t="array" ref="BW14">_xlfn.IFS(BV14&gt;$BV$62,"Very High",BV14&gt;$BV$61,"High",BV14&gt;$BV$60,"Low",BV14&lt;=$BV$60,"Very Low")</f>
        <v>Very High</v>
      </c>
      <c r="BX14" t="s">
        <v>480</v>
      </c>
    </row>
    <row r="15" spans="1:82">
      <c r="A15" t="s">
        <v>15</v>
      </c>
      <c r="B15" t="s">
        <v>82</v>
      </c>
      <c r="C15">
        <v>13011.0159</v>
      </c>
      <c r="D15">
        <v>14614.407300000001</v>
      </c>
      <c r="E15">
        <v>0</v>
      </c>
      <c r="F15">
        <v>0</v>
      </c>
      <c r="G15">
        <v>1417.0359000000001</v>
      </c>
      <c r="H15">
        <v>939395.98340000003</v>
      </c>
      <c r="I15">
        <v>994.78300000000002</v>
      </c>
      <c r="J15">
        <v>129319.14479999999</v>
      </c>
      <c r="K15">
        <v>275077.95740000001</v>
      </c>
      <c r="L15">
        <v>86679.044500000004</v>
      </c>
      <c r="M15">
        <v>2971054.6852000002</v>
      </c>
      <c r="N15">
        <v>0</v>
      </c>
      <c r="O15">
        <v>1451393.5482000001</v>
      </c>
      <c r="P15">
        <v>117704.5687</v>
      </c>
      <c r="Q15">
        <v>257561.1286</v>
      </c>
      <c r="R15">
        <v>0</v>
      </c>
      <c r="S15">
        <v>14820.735199999999</v>
      </c>
      <c r="T15">
        <v>50.206200000000003</v>
      </c>
      <c r="U15">
        <v>27085.625100000001</v>
      </c>
      <c r="V15">
        <v>499123.94939999998</v>
      </c>
      <c r="W15">
        <v>278410.15649999998</v>
      </c>
      <c r="X15">
        <v>194572.27789999999</v>
      </c>
      <c r="Y15">
        <v>48746.255899999996</v>
      </c>
      <c r="Z15">
        <v>2689.4906000000001</v>
      </c>
      <c r="AA15">
        <v>7698.8211000000001</v>
      </c>
      <c r="AB15">
        <v>40.030299999999997</v>
      </c>
      <c r="AC15">
        <v>11199.2485</v>
      </c>
      <c r="AD15">
        <v>3036.7420999999999</v>
      </c>
      <c r="AE15">
        <v>8805.4999000000007</v>
      </c>
      <c r="AF15">
        <v>20649.460299999999</v>
      </c>
      <c r="AG15">
        <v>4318.1692000000003</v>
      </c>
      <c r="AH15">
        <v>4178.5751</v>
      </c>
      <c r="AI15">
        <v>6805167.9692000002</v>
      </c>
      <c r="AJ15">
        <v>386532.75300000003</v>
      </c>
      <c r="AK15">
        <v>6396859.1794999996</v>
      </c>
      <c r="AL15">
        <v>318281.80849999998</v>
      </c>
      <c r="AM15">
        <v>2955506.3639000002</v>
      </c>
      <c r="AN15">
        <v>347114.80810000002</v>
      </c>
      <c r="AO15">
        <v>241243.0287</v>
      </c>
      <c r="AP15">
        <v>2174532.1109000002</v>
      </c>
      <c r="AQ15">
        <v>31362.4545</v>
      </c>
      <c r="AR15">
        <v>5558.8710000000001</v>
      </c>
      <c r="AS15">
        <v>62476.233899999999</v>
      </c>
      <c r="AT15">
        <v>64794.065000000002</v>
      </c>
      <c r="AU15">
        <v>4404.3281999999999</v>
      </c>
      <c r="AV15">
        <v>2977.3726000000001</v>
      </c>
      <c r="AW15">
        <v>38.387500000000003</v>
      </c>
      <c r="AX15">
        <v>21.763999999999999</v>
      </c>
      <c r="AY15">
        <v>77178.405499999993</v>
      </c>
      <c r="AZ15">
        <v>35936.277699999999</v>
      </c>
      <c r="BA15">
        <v>31172.440200000001</v>
      </c>
      <c r="BB15">
        <v>53718.102200000001</v>
      </c>
      <c r="BC15">
        <v>49094.978300000002</v>
      </c>
      <c r="BD15">
        <v>121352.1479</v>
      </c>
      <c r="BE15">
        <v>0</v>
      </c>
      <c r="BF15">
        <v>27548972.396000002</v>
      </c>
      <c r="BG15">
        <v>2407676.4167999998</v>
      </c>
      <c r="BH15">
        <v>0</v>
      </c>
      <c r="BI15">
        <v>0</v>
      </c>
      <c r="BJ15">
        <v>276611.21010000003</v>
      </c>
      <c r="BK15">
        <v>1520373.9182</v>
      </c>
      <c r="BL15">
        <v>4204661.5450999998</v>
      </c>
      <c r="BM15">
        <v>31753633.941199999</v>
      </c>
      <c r="BN15">
        <v>0</v>
      </c>
      <c r="BO15">
        <v>0</v>
      </c>
      <c r="BP15">
        <v>31753633.941199999</v>
      </c>
      <c r="BQ15">
        <v>31753633.941199999</v>
      </c>
      <c r="BS15" s="20">
        <f t="shared" si="0"/>
        <v>0.86758487066437795</v>
      </c>
      <c r="BT15" s="20">
        <f t="shared" si="1"/>
        <v>4.7880312565653504E-2</v>
      </c>
      <c r="BU15">
        <v>19994587.726799998</v>
      </c>
      <c r="BV15" s="20">
        <f t="shared" si="2"/>
        <v>0.62967872476659237</v>
      </c>
      <c r="BW15" s="41" t="str" cm="1">
        <f t="array" ref="BW15">_xlfn.IFS(BV15&gt;$BV$62,"Very High",BV15&gt;$BV$61,"High",BV15&gt;$BV$60,"Low",BV15&lt;=$BV$60,"Very Low")</f>
        <v>High</v>
      </c>
      <c r="BX15" t="s">
        <v>480</v>
      </c>
    </row>
    <row r="16" spans="1:82">
      <c r="A16" t="s">
        <v>16</v>
      </c>
      <c r="B16" t="s">
        <v>83</v>
      </c>
      <c r="C16">
        <v>368.24220000000003</v>
      </c>
      <c r="D16">
        <v>308.6413</v>
      </c>
      <c r="E16">
        <v>240784.52540000001</v>
      </c>
      <c r="F16">
        <v>662172.57059999998</v>
      </c>
      <c r="G16">
        <v>31138.149700000002</v>
      </c>
      <c r="H16">
        <v>453910.18359999999</v>
      </c>
      <c r="I16">
        <v>465058.21850000002</v>
      </c>
      <c r="J16">
        <v>1300.3688</v>
      </c>
      <c r="K16">
        <v>562262.42500000005</v>
      </c>
      <c r="L16">
        <v>35451.951300000001</v>
      </c>
      <c r="M16">
        <v>211992.55609999999</v>
      </c>
      <c r="N16">
        <v>0</v>
      </c>
      <c r="O16">
        <v>1372.5730000000001</v>
      </c>
      <c r="P16">
        <v>10958.3838</v>
      </c>
      <c r="Q16">
        <v>32080692.607700001</v>
      </c>
      <c r="R16">
        <v>5.8500000000000003E-2</v>
      </c>
      <c r="S16">
        <v>9935.6038000000008</v>
      </c>
      <c r="T16">
        <v>313.78609999999998</v>
      </c>
      <c r="U16">
        <v>12129.8354</v>
      </c>
      <c r="V16">
        <v>54081.446499999998</v>
      </c>
      <c r="W16">
        <v>482018.23389999999</v>
      </c>
      <c r="X16">
        <v>17686.732400000001</v>
      </c>
      <c r="Y16">
        <v>3360.8814000000002</v>
      </c>
      <c r="Z16">
        <v>328.1037</v>
      </c>
      <c r="AA16">
        <v>2093.1381000000001</v>
      </c>
      <c r="AB16">
        <v>37.183900000000001</v>
      </c>
      <c r="AC16">
        <v>2762.4521</v>
      </c>
      <c r="AD16">
        <v>1501.2157</v>
      </c>
      <c r="AE16">
        <v>2088.2548999999999</v>
      </c>
      <c r="AF16">
        <v>2411.1388999999999</v>
      </c>
      <c r="AG16">
        <v>280.62580000000003</v>
      </c>
      <c r="AH16">
        <v>6295.7768999999998</v>
      </c>
      <c r="AI16">
        <v>116700.22470000001</v>
      </c>
      <c r="AJ16">
        <v>17531.675299999999</v>
      </c>
      <c r="AK16">
        <v>189384.76980000001</v>
      </c>
      <c r="AL16">
        <v>10506.9256</v>
      </c>
      <c r="AM16">
        <v>1072.385</v>
      </c>
      <c r="AN16">
        <v>101714.1859</v>
      </c>
      <c r="AO16">
        <v>24864.516800000001</v>
      </c>
      <c r="AP16">
        <v>220286.6378</v>
      </c>
      <c r="AQ16">
        <v>10570.1394</v>
      </c>
      <c r="AR16">
        <v>454122.85460000002</v>
      </c>
      <c r="AS16">
        <v>8953330.0077</v>
      </c>
      <c r="AT16">
        <v>26974.256099999999</v>
      </c>
      <c r="AU16">
        <v>33781.828999999998</v>
      </c>
      <c r="AV16">
        <v>39065.918400000002</v>
      </c>
      <c r="AW16">
        <v>2158.4994999999999</v>
      </c>
      <c r="AX16">
        <v>42.530700000000003</v>
      </c>
      <c r="AY16">
        <v>18460.5085</v>
      </c>
      <c r="AZ16">
        <v>4031.3514</v>
      </c>
      <c r="BA16">
        <v>734055.00459999999</v>
      </c>
      <c r="BB16">
        <v>742338.04740000004</v>
      </c>
      <c r="BC16">
        <v>822693.21219999995</v>
      </c>
      <c r="BD16">
        <v>209068.93530000001</v>
      </c>
      <c r="BE16">
        <v>0</v>
      </c>
      <c r="BF16">
        <v>48087850.2808</v>
      </c>
      <c r="BG16">
        <v>89427004.109500006</v>
      </c>
      <c r="BH16">
        <v>1040496.1108</v>
      </c>
      <c r="BI16">
        <v>12103.788399999999</v>
      </c>
      <c r="BJ16">
        <v>-1737523.8322000001</v>
      </c>
      <c r="BK16">
        <v>38320140.838399999</v>
      </c>
      <c r="BL16">
        <v>127062221.015</v>
      </c>
      <c r="BM16">
        <v>175150071.2958</v>
      </c>
      <c r="BN16">
        <v>0</v>
      </c>
      <c r="BO16">
        <v>0</v>
      </c>
      <c r="BP16">
        <v>175150071.2958</v>
      </c>
      <c r="BQ16">
        <v>175150071.2958</v>
      </c>
      <c r="BS16" s="20">
        <f t="shared" si="0"/>
        <v>0.27455227351627759</v>
      </c>
      <c r="BT16" s="20">
        <f t="shared" si="1"/>
        <v>0.21878461455881174</v>
      </c>
      <c r="BU16">
        <v>58627185.5713</v>
      </c>
      <c r="BV16" s="20">
        <f t="shared" si="2"/>
        <v>0.33472544508582136</v>
      </c>
      <c r="BW16" s="41" t="str" cm="1">
        <f t="array" ref="BW16">_xlfn.IFS(BV16&gt;$BV$62,"Very High",BV16&gt;$BV$61,"High",BV16&gt;$BV$60,"Low",BV16&lt;=$BV$60,"Very Low")</f>
        <v>Very Low</v>
      </c>
      <c r="BX16" t="s">
        <v>478</v>
      </c>
    </row>
    <row r="17" spans="1:76">
      <c r="A17" t="s">
        <v>17</v>
      </c>
      <c r="B17" t="s">
        <v>84</v>
      </c>
      <c r="C17">
        <v>1.6155999999999999</v>
      </c>
      <c r="D17">
        <v>0.87250000000000005</v>
      </c>
      <c r="E17">
        <v>0</v>
      </c>
      <c r="F17">
        <v>0</v>
      </c>
      <c r="G17">
        <v>7.0190000000000001</v>
      </c>
      <c r="H17">
        <v>9.7297999999999991</v>
      </c>
      <c r="I17">
        <v>3.5499999999999997E-2</v>
      </c>
      <c r="J17">
        <v>2.0024999999999999</v>
      </c>
      <c r="K17">
        <v>137.1405</v>
      </c>
      <c r="L17">
        <v>12.900700000000001</v>
      </c>
      <c r="M17">
        <v>211.41309999999999</v>
      </c>
      <c r="N17">
        <v>0</v>
      </c>
      <c r="O17">
        <v>6.4743000000000004</v>
      </c>
      <c r="P17">
        <v>1.7330000000000001</v>
      </c>
      <c r="Q17">
        <v>4.9989999999999997</v>
      </c>
      <c r="R17">
        <v>1.6442000000000001</v>
      </c>
      <c r="S17">
        <v>0.13569999999999999</v>
      </c>
      <c r="T17">
        <v>0</v>
      </c>
      <c r="U17">
        <v>0.3115</v>
      </c>
      <c r="V17">
        <v>4.5949999999999998</v>
      </c>
      <c r="W17">
        <v>1.3223</v>
      </c>
      <c r="X17">
        <v>2.976</v>
      </c>
      <c r="Y17">
        <v>0.56230000000000002</v>
      </c>
      <c r="Z17">
        <v>1.7600000000000001E-2</v>
      </c>
      <c r="AA17">
        <v>0.2266</v>
      </c>
      <c r="AB17">
        <v>0</v>
      </c>
      <c r="AC17">
        <v>0.40849999999999997</v>
      </c>
      <c r="AD17">
        <v>0.1081</v>
      </c>
      <c r="AE17">
        <v>0.10349999999999999</v>
      </c>
      <c r="AF17">
        <v>3.7221000000000002</v>
      </c>
      <c r="AG17">
        <v>1.5699999999999999E-2</v>
      </c>
      <c r="AH17">
        <v>0.20280000000000001</v>
      </c>
      <c r="AI17">
        <v>56.864100000000001</v>
      </c>
      <c r="AJ17">
        <v>7.2450999999999999</v>
      </c>
      <c r="AK17">
        <v>66.424499999999995</v>
      </c>
      <c r="AL17">
        <v>1.3409</v>
      </c>
      <c r="AM17">
        <v>6.7073999999999998</v>
      </c>
      <c r="AN17">
        <v>1.4118999999999999</v>
      </c>
      <c r="AO17">
        <v>0.81679999999999997</v>
      </c>
      <c r="AP17">
        <v>11.4933</v>
      </c>
      <c r="AQ17">
        <v>1.5765</v>
      </c>
      <c r="AR17">
        <v>0.4037</v>
      </c>
      <c r="AS17">
        <v>1.3894</v>
      </c>
      <c r="AT17">
        <v>24.059100000000001</v>
      </c>
      <c r="AU17">
        <v>10.281000000000001</v>
      </c>
      <c r="AV17">
        <v>4.4017999999999997</v>
      </c>
      <c r="AW17">
        <v>1.4191</v>
      </c>
      <c r="AX17">
        <v>1.03E-2</v>
      </c>
      <c r="AY17">
        <v>6.7884000000000002</v>
      </c>
      <c r="AZ17">
        <v>0.96850000000000003</v>
      </c>
      <c r="BA17">
        <v>21.918199999999999</v>
      </c>
      <c r="BB17">
        <v>9.7250999999999994</v>
      </c>
      <c r="BC17">
        <v>0.73699999999999999</v>
      </c>
      <c r="BD17">
        <v>1.4676</v>
      </c>
      <c r="BE17">
        <v>0</v>
      </c>
      <c r="BF17">
        <v>649.73720000000003</v>
      </c>
      <c r="BG17">
        <v>1170.7476999999999</v>
      </c>
      <c r="BH17">
        <v>0</v>
      </c>
      <c r="BI17">
        <v>3.4097</v>
      </c>
      <c r="BJ17">
        <v>-0.33090000000000003</v>
      </c>
      <c r="BK17">
        <v>0</v>
      </c>
      <c r="BL17">
        <v>1173.8264999999999</v>
      </c>
      <c r="BM17">
        <v>1823.5636999999999</v>
      </c>
      <c r="BN17">
        <v>0</v>
      </c>
      <c r="BO17">
        <v>0</v>
      </c>
      <c r="BP17">
        <v>1823.5636999999999</v>
      </c>
      <c r="BQ17">
        <v>1823.5636999999999</v>
      </c>
      <c r="BS17" s="20">
        <f t="shared" si="0"/>
        <v>0.35630079716984936</v>
      </c>
      <c r="BT17" s="20">
        <f t="shared" si="1"/>
        <v>0</v>
      </c>
      <c r="BU17">
        <v>1144.2429</v>
      </c>
      <c r="BV17" s="20">
        <f t="shared" si="2"/>
        <v>0.62747624335799179</v>
      </c>
      <c r="BW17" s="41" t="str" cm="1">
        <f t="array" ref="BW17">_xlfn.IFS(BV17&gt;$BV$62,"Very High",BV17&gt;$BV$61,"High",BV17&gt;$BV$60,"Low",BV17&lt;=$BV$60,"Very Low")</f>
        <v>High</v>
      </c>
      <c r="BX17" t="s">
        <v>476</v>
      </c>
    </row>
    <row r="18" spans="1:76">
      <c r="A18" t="s">
        <v>18</v>
      </c>
      <c r="B18" t="s">
        <v>85</v>
      </c>
      <c r="C18">
        <v>1834.211</v>
      </c>
      <c r="D18">
        <v>3849.7431999999999</v>
      </c>
      <c r="E18">
        <v>97729.303899999999</v>
      </c>
      <c r="F18">
        <v>3984.1408999999999</v>
      </c>
      <c r="G18">
        <v>269.11110000000002</v>
      </c>
      <c r="H18">
        <v>2281.9531999999999</v>
      </c>
      <c r="I18">
        <v>1.5659000000000001</v>
      </c>
      <c r="J18">
        <v>223.69159999999999</v>
      </c>
      <c r="K18">
        <v>324.53030000000001</v>
      </c>
      <c r="L18">
        <v>322.32159999999999</v>
      </c>
      <c r="M18">
        <v>4010.9443000000001</v>
      </c>
      <c r="N18">
        <v>0</v>
      </c>
      <c r="O18">
        <v>66.9041</v>
      </c>
      <c r="P18">
        <v>0.76929999999999998</v>
      </c>
      <c r="Q18">
        <v>1920.4453000000001</v>
      </c>
      <c r="R18">
        <v>0</v>
      </c>
      <c r="S18">
        <v>24650.489600000001</v>
      </c>
      <c r="T18">
        <v>6.2895000000000003</v>
      </c>
      <c r="U18">
        <v>263.03370000000001</v>
      </c>
      <c r="V18">
        <v>1982.6155000000001</v>
      </c>
      <c r="W18">
        <v>1463.1141</v>
      </c>
      <c r="X18">
        <v>8424.3176999999996</v>
      </c>
      <c r="Y18">
        <v>53.090800000000002</v>
      </c>
      <c r="Z18">
        <v>0.42549999999999999</v>
      </c>
      <c r="AA18">
        <v>135.32579999999999</v>
      </c>
      <c r="AB18">
        <v>0.1031</v>
      </c>
      <c r="AC18">
        <v>30.084800000000001</v>
      </c>
      <c r="AD18">
        <v>975.34010000000001</v>
      </c>
      <c r="AE18">
        <v>227.19290000000001</v>
      </c>
      <c r="AF18">
        <v>0.34429999999999999</v>
      </c>
      <c r="AG18">
        <v>0.60119999999999996</v>
      </c>
      <c r="AH18">
        <v>26.103200000000001</v>
      </c>
      <c r="AI18">
        <v>13612.0684</v>
      </c>
      <c r="AJ18">
        <v>3893.4630999999999</v>
      </c>
      <c r="AK18">
        <v>23477.8449</v>
      </c>
      <c r="AL18">
        <v>0.26600000000000001</v>
      </c>
      <c r="AM18">
        <v>10.240399999999999</v>
      </c>
      <c r="AN18">
        <v>30.214600000000001</v>
      </c>
      <c r="AO18">
        <v>0.2233</v>
      </c>
      <c r="AP18">
        <v>9.7318999999999996</v>
      </c>
      <c r="AQ18">
        <v>219.98060000000001</v>
      </c>
      <c r="AR18">
        <v>509.9314</v>
      </c>
      <c r="AS18">
        <v>319.01510000000002</v>
      </c>
      <c r="AT18">
        <v>350.93279999999999</v>
      </c>
      <c r="AU18">
        <v>917.65980000000002</v>
      </c>
      <c r="AV18">
        <v>112.94029999999999</v>
      </c>
      <c r="AW18">
        <v>27.964600000000001</v>
      </c>
      <c r="AX18">
        <v>0.16159999999999999</v>
      </c>
      <c r="AY18">
        <v>647.57889999999998</v>
      </c>
      <c r="AZ18">
        <v>93.788300000000007</v>
      </c>
      <c r="BA18">
        <v>3885.55</v>
      </c>
      <c r="BB18">
        <v>5112.4102999999996</v>
      </c>
      <c r="BC18">
        <v>8581.0633999999991</v>
      </c>
      <c r="BD18">
        <v>9499.6527999999998</v>
      </c>
      <c r="BE18">
        <v>0</v>
      </c>
      <c r="BF18">
        <v>226370.7899</v>
      </c>
      <c r="BG18">
        <v>497705.13569999998</v>
      </c>
      <c r="BH18">
        <v>0</v>
      </c>
      <c r="BI18">
        <v>24504.427800000001</v>
      </c>
      <c r="BJ18">
        <v>653.94399999999996</v>
      </c>
      <c r="BK18">
        <v>4682.0374000000002</v>
      </c>
      <c r="BL18">
        <v>527545.54489999998</v>
      </c>
      <c r="BM18">
        <v>753916.33479999995</v>
      </c>
      <c r="BN18">
        <v>0</v>
      </c>
      <c r="BO18">
        <v>0</v>
      </c>
      <c r="BP18">
        <v>753916.33479999995</v>
      </c>
      <c r="BQ18">
        <v>753916.33479999995</v>
      </c>
      <c r="BS18" s="20">
        <f t="shared" si="0"/>
        <v>0.30025982917594163</v>
      </c>
      <c r="BT18" s="20">
        <f t="shared" si="1"/>
        <v>6.2102877784735331E-3</v>
      </c>
      <c r="BU18">
        <v>200226.3199</v>
      </c>
      <c r="BV18" s="20">
        <f t="shared" si="2"/>
        <v>0.26558161782383499</v>
      </c>
      <c r="BW18" s="41" t="str" cm="1">
        <f t="array" ref="BW18">_xlfn.IFS(BV18&gt;$BV$62,"Very High",BV18&gt;$BV$61,"High",BV18&gt;$BV$60,"Low",BV18&lt;=$BV$60,"Very Low")</f>
        <v>Very Low</v>
      </c>
      <c r="BX18" t="s">
        <v>482</v>
      </c>
    </row>
    <row r="19" spans="1:76">
      <c r="A19" t="s">
        <v>19</v>
      </c>
      <c r="B19" t="s">
        <v>86</v>
      </c>
      <c r="C19">
        <v>0</v>
      </c>
      <c r="D19">
        <v>0</v>
      </c>
      <c r="E19">
        <v>0</v>
      </c>
      <c r="F19">
        <v>0</v>
      </c>
      <c r="G19">
        <v>0</v>
      </c>
      <c r="H19">
        <v>0</v>
      </c>
      <c r="I19">
        <v>0</v>
      </c>
      <c r="J19">
        <v>0</v>
      </c>
      <c r="K19">
        <v>0</v>
      </c>
      <c r="L19">
        <v>0</v>
      </c>
      <c r="M19">
        <v>0</v>
      </c>
      <c r="N19">
        <v>0</v>
      </c>
      <c r="O19">
        <v>0</v>
      </c>
      <c r="P19">
        <v>0</v>
      </c>
      <c r="Q19">
        <v>46.026600000000002</v>
      </c>
      <c r="R19">
        <v>0</v>
      </c>
      <c r="S19">
        <v>0</v>
      </c>
      <c r="T19">
        <v>0</v>
      </c>
      <c r="U19">
        <v>0</v>
      </c>
      <c r="V19">
        <v>0</v>
      </c>
      <c r="W19">
        <v>0</v>
      </c>
      <c r="X19">
        <v>0</v>
      </c>
      <c r="Y19">
        <v>0</v>
      </c>
      <c r="Z19">
        <v>0</v>
      </c>
      <c r="AA19">
        <v>0</v>
      </c>
      <c r="AB19">
        <v>0</v>
      </c>
      <c r="AC19">
        <v>0</v>
      </c>
      <c r="AD19">
        <v>25.0566</v>
      </c>
      <c r="AE19">
        <v>0</v>
      </c>
      <c r="AF19">
        <v>0</v>
      </c>
      <c r="AG19">
        <v>0</v>
      </c>
      <c r="AH19">
        <v>30.816500000000001</v>
      </c>
      <c r="AI19">
        <v>0</v>
      </c>
      <c r="AJ19">
        <v>0</v>
      </c>
      <c r="AK19">
        <v>0</v>
      </c>
      <c r="AL19">
        <v>0</v>
      </c>
      <c r="AM19">
        <v>0</v>
      </c>
      <c r="AN19">
        <v>0</v>
      </c>
      <c r="AO19">
        <v>0</v>
      </c>
      <c r="AP19">
        <v>0</v>
      </c>
      <c r="AQ19">
        <v>0</v>
      </c>
      <c r="AR19">
        <v>0</v>
      </c>
      <c r="AS19">
        <v>3.9922</v>
      </c>
      <c r="AT19">
        <v>0</v>
      </c>
      <c r="AU19">
        <v>0</v>
      </c>
      <c r="AV19">
        <v>0</v>
      </c>
      <c r="AW19">
        <v>0</v>
      </c>
      <c r="AX19">
        <v>0</v>
      </c>
      <c r="AY19">
        <v>0</v>
      </c>
      <c r="AZ19">
        <v>0</v>
      </c>
      <c r="BA19">
        <v>0</v>
      </c>
      <c r="BB19">
        <v>0</v>
      </c>
      <c r="BC19">
        <v>0</v>
      </c>
      <c r="BD19">
        <v>0</v>
      </c>
      <c r="BE19">
        <v>0</v>
      </c>
      <c r="BF19">
        <v>105.892</v>
      </c>
      <c r="BG19">
        <v>3066.1262999999999</v>
      </c>
      <c r="BH19">
        <v>0</v>
      </c>
      <c r="BI19">
        <v>0</v>
      </c>
      <c r="BJ19">
        <v>-71.854500000000002</v>
      </c>
      <c r="BK19">
        <v>0</v>
      </c>
      <c r="BL19">
        <v>2994.2719000000002</v>
      </c>
      <c r="BM19">
        <v>3100.1637999999998</v>
      </c>
      <c r="BN19">
        <v>0</v>
      </c>
      <c r="BO19">
        <v>0</v>
      </c>
      <c r="BP19">
        <v>3100.1637999999998</v>
      </c>
      <c r="BQ19">
        <v>3100.1637999999998</v>
      </c>
      <c r="BS19" s="20">
        <f t="shared" si="0"/>
        <v>3.4156904870639417E-2</v>
      </c>
      <c r="BT19" s="20">
        <f t="shared" si="1"/>
        <v>0</v>
      </c>
      <c r="BU19">
        <v>1243.8277</v>
      </c>
      <c r="BV19" s="20">
        <f t="shared" si="2"/>
        <v>0.4012135423296021</v>
      </c>
      <c r="BW19" s="41" t="str" cm="1">
        <f t="array" ref="BW19">_xlfn.IFS(BV19&gt;$BV$62,"Very High",BV19&gt;$BV$61,"High",BV19&gt;$BV$60,"Low",BV19&lt;=$BV$60,"Very Low")</f>
        <v>Low</v>
      </c>
      <c r="BX19" t="s">
        <v>482</v>
      </c>
    </row>
    <row r="20" spans="1:76">
      <c r="A20" t="s">
        <v>20</v>
      </c>
      <c r="B20" t="s">
        <v>87</v>
      </c>
      <c r="C20">
        <v>377.13490000000002</v>
      </c>
      <c r="D20">
        <v>492.32819999999998</v>
      </c>
      <c r="E20">
        <v>47128.183799999999</v>
      </c>
      <c r="F20">
        <v>0</v>
      </c>
      <c r="G20">
        <v>156.9949</v>
      </c>
      <c r="H20">
        <v>2989.4805999999999</v>
      </c>
      <c r="I20">
        <v>59.8979</v>
      </c>
      <c r="J20">
        <v>226.24979999999999</v>
      </c>
      <c r="K20">
        <v>267.55919999999998</v>
      </c>
      <c r="L20">
        <v>592.52419999999995</v>
      </c>
      <c r="M20">
        <v>11243.1554</v>
      </c>
      <c r="N20">
        <v>0</v>
      </c>
      <c r="O20">
        <v>1779.1309000000001</v>
      </c>
      <c r="P20">
        <v>132.95079999999999</v>
      </c>
      <c r="Q20">
        <v>11146.9025</v>
      </c>
      <c r="R20">
        <v>4.9500000000000002E-2</v>
      </c>
      <c r="S20">
        <v>75.177800000000005</v>
      </c>
      <c r="T20">
        <v>0.27160000000000001</v>
      </c>
      <c r="U20">
        <v>7746.6571999999996</v>
      </c>
      <c r="V20">
        <v>2585.4065000000001</v>
      </c>
      <c r="W20">
        <v>1423.0654999999999</v>
      </c>
      <c r="X20">
        <v>3192.6169</v>
      </c>
      <c r="Y20">
        <v>161.9819</v>
      </c>
      <c r="Z20">
        <v>11.929600000000001</v>
      </c>
      <c r="AA20">
        <v>203.2209</v>
      </c>
      <c r="AB20">
        <v>5.3221999999999996</v>
      </c>
      <c r="AC20">
        <v>359.154</v>
      </c>
      <c r="AD20">
        <v>1715.0416</v>
      </c>
      <c r="AE20">
        <v>2254.4493000000002</v>
      </c>
      <c r="AF20">
        <v>189.56049999999999</v>
      </c>
      <c r="AG20">
        <v>1.7412000000000001</v>
      </c>
      <c r="AH20">
        <v>36.386099999999999</v>
      </c>
      <c r="AI20">
        <v>326633.71830000001</v>
      </c>
      <c r="AJ20">
        <v>868.99260000000004</v>
      </c>
      <c r="AK20">
        <v>17723.162899999999</v>
      </c>
      <c r="AL20">
        <v>145.7689</v>
      </c>
      <c r="AM20">
        <v>1023.914</v>
      </c>
      <c r="AN20">
        <v>116.8515</v>
      </c>
      <c r="AO20">
        <v>99.425600000000003</v>
      </c>
      <c r="AP20">
        <v>1098.4477999999999</v>
      </c>
      <c r="AQ20">
        <v>101.58450000000001</v>
      </c>
      <c r="AR20">
        <v>116.0946</v>
      </c>
      <c r="AS20">
        <v>2183.3676</v>
      </c>
      <c r="AT20">
        <v>1606.5071</v>
      </c>
      <c r="AU20">
        <v>446.40039999999999</v>
      </c>
      <c r="AV20">
        <v>214.40719999999999</v>
      </c>
      <c r="AW20">
        <v>67.883399999999995</v>
      </c>
      <c r="AX20">
        <v>0.35589999999999999</v>
      </c>
      <c r="AY20">
        <v>386.12729999999999</v>
      </c>
      <c r="AZ20">
        <v>74.805099999999996</v>
      </c>
      <c r="BA20">
        <v>1307.9277</v>
      </c>
      <c r="BB20">
        <v>867.80050000000006</v>
      </c>
      <c r="BC20">
        <v>424.34899999999999</v>
      </c>
      <c r="BD20">
        <v>838.93709999999999</v>
      </c>
      <c r="BE20">
        <v>0</v>
      </c>
      <c r="BF20">
        <v>452901.35470000003</v>
      </c>
      <c r="BG20">
        <v>37725.879800000002</v>
      </c>
      <c r="BH20">
        <v>75.300700000000006</v>
      </c>
      <c r="BI20">
        <v>8188.7043999999996</v>
      </c>
      <c r="BJ20">
        <v>12559.0308</v>
      </c>
      <c r="BK20">
        <v>2049150.1577000001</v>
      </c>
      <c r="BL20">
        <v>2107699.0732999998</v>
      </c>
      <c r="BM20">
        <v>2560600.4279999998</v>
      </c>
      <c r="BN20">
        <v>0</v>
      </c>
      <c r="BO20">
        <v>0</v>
      </c>
      <c r="BP20">
        <v>2560600.4279999998</v>
      </c>
      <c r="BQ20">
        <v>2560600.4279999998</v>
      </c>
      <c r="BS20" s="20">
        <f t="shared" si="0"/>
        <v>0.17687310747415061</v>
      </c>
      <c r="BT20" s="20">
        <f t="shared" si="1"/>
        <v>0.8002615852487861</v>
      </c>
      <c r="BU20">
        <v>1004869.9504</v>
      </c>
      <c r="BV20" s="20">
        <f t="shared" si="2"/>
        <v>0.39243528174556724</v>
      </c>
      <c r="BW20" s="41" t="str" cm="1">
        <f t="array" ref="BW20">_xlfn.IFS(BV20&gt;$BV$62,"Very High",BV20&gt;$BV$61,"High",BV20&gt;$BV$60,"Low",BV20&lt;=$BV$60,"Very Low")</f>
        <v>Low</v>
      </c>
      <c r="BX20" t="s">
        <v>482</v>
      </c>
    </row>
    <row r="21" spans="1:76">
      <c r="A21" t="s">
        <v>21</v>
      </c>
      <c r="B21" t="s">
        <v>88</v>
      </c>
      <c r="C21">
        <v>4758.9004000000004</v>
      </c>
      <c r="D21">
        <v>13043.763499999999</v>
      </c>
      <c r="E21">
        <v>7898.4745000000003</v>
      </c>
      <c r="F21">
        <v>0</v>
      </c>
      <c r="G21">
        <v>249.643</v>
      </c>
      <c r="H21">
        <v>53649.425499999998</v>
      </c>
      <c r="I21">
        <v>332.4787</v>
      </c>
      <c r="J21">
        <v>1769.5650000000001</v>
      </c>
      <c r="K21">
        <v>1371.0252</v>
      </c>
      <c r="L21">
        <v>68016.452999999994</v>
      </c>
      <c r="M21">
        <v>668742.6507</v>
      </c>
      <c r="N21">
        <v>0</v>
      </c>
      <c r="O21">
        <v>17807.512599999998</v>
      </c>
      <c r="P21">
        <v>877.60479999999995</v>
      </c>
      <c r="Q21">
        <v>109608.5944</v>
      </c>
      <c r="R21">
        <v>0.26219999999999999</v>
      </c>
      <c r="S21">
        <v>1891.5614</v>
      </c>
      <c r="T21">
        <v>11.0252</v>
      </c>
      <c r="U21">
        <v>2369.0776999999998</v>
      </c>
      <c r="V21">
        <v>4245575.3535000002</v>
      </c>
      <c r="W21">
        <v>21645.176800000001</v>
      </c>
      <c r="X21">
        <v>74508.035699999993</v>
      </c>
      <c r="Y21">
        <v>4932.2438000000002</v>
      </c>
      <c r="Z21">
        <v>195.48939999999999</v>
      </c>
      <c r="AA21">
        <v>5171.8630000000003</v>
      </c>
      <c r="AB21">
        <v>33.846299999999999</v>
      </c>
      <c r="AC21">
        <v>2506.4839999999999</v>
      </c>
      <c r="AD21">
        <v>2144.7849999999999</v>
      </c>
      <c r="AE21">
        <v>1580.3705</v>
      </c>
      <c r="AF21">
        <v>736.45479999999998</v>
      </c>
      <c r="AG21">
        <v>39.014699999999998</v>
      </c>
      <c r="AH21">
        <v>397.17610000000002</v>
      </c>
      <c r="AI21">
        <v>496958.32410000003</v>
      </c>
      <c r="AJ21">
        <v>111983.1565</v>
      </c>
      <c r="AK21">
        <v>1522752.3899000001</v>
      </c>
      <c r="AL21">
        <v>4988.8617999999997</v>
      </c>
      <c r="AM21">
        <v>6794.0902999999998</v>
      </c>
      <c r="AN21">
        <v>1348.9531999999999</v>
      </c>
      <c r="AO21">
        <v>2912.0349000000001</v>
      </c>
      <c r="AP21">
        <v>6493.0767999999998</v>
      </c>
      <c r="AQ21">
        <v>3366.8586</v>
      </c>
      <c r="AR21">
        <v>2458.6165000000001</v>
      </c>
      <c r="AS21">
        <v>17360.758999999998</v>
      </c>
      <c r="AT21">
        <v>606775.48239999998</v>
      </c>
      <c r="AU21">
        <v>38297.136700000003</v>
      </c>
      <c r="AV21">
        <v>58975.188000000002</v>
      </c>
      <c r="AW21">
        <v>12648.477199999999</v>
      </c>
      <c r="AX21">
        <v>83.336699999999993</v>
      </c>
      <c r="AY21">
        <v>46648.84</v>
      </c>
      <c r="AZ21">
        <v>12248.2583</v>
      </c>
      <c r="BA21">
        <v>247691.59570000001</v>
      </c>
      <c r="BB21">
        <v>363484.27230000001</v>
      </c>
      <c r="BC21">
        <v>16962.033100000001</v>
      </c>
      <c r="BD21">
        <v>25748.462100000001</v>
      </c>
      <c r="BE21">
        <v>0</v>
      </c>
      <c r="BF21">
        <v>8918844.5153000001</v>
      </c>
      <c r="BG21">
        <v>672909.89390000002</v>
      </c>
      <c r="BH21">
        <v>477.8845</v>
      </c>
      <c r="BI21">
        <v>50536.096899999997</v>
      </c>
      <c r="BJ21">
        <v>-26134.640100000001</v>
      </c>
      <c r="BK21">
        <v>13514154.8739</v>
      </c>
      <c r="BL21">
        <v>14211944.109099999</v>
      </c>
      <c r="BM21">
        <v>23130788.624400001</v>
      </c>
      <c r="BN21">
        <v>0</v>
      </c>
      <c r="BO21">
        <v>0</v>
      </c>
      <c r="BP21">
        <v>23130788.624400001</v>
      </c>
      <c r="BQ21">
        <v>23130788.624400001</v>
      </c>
      <c r="BS21" s="20">
        <f t="shared" si="0"/>
        <v>0.3855832440529835</v>
      </c>
      <c r="BT21" s="20">
        <f t="shared" si="1"/>
        <v>0.58424963771638583</v>
      </c>
      <c r="BU21">
        <v>8070604.7843000004</v>
      </c>
      <c r="BV21" s="20">
        <f t="shared" si="2"/>
        <v>0.34891178659540178</v>
      </c>
      <c r="BW21" s="41" t="str" cm="1">
        <f t="array" ref="BW21">_xlfn.IFS(BV21&gt;$BV$62,"Very High",BV21&gt;$BV$61,"High",BV21&gt;$BV$60,"Low",BV21&lt;=$BV$60,"Very Low")</f>
        <v>Very Low</v>
      </c>
      <c r="BX21" t="s">
        <v>478</v>
      </c>
    </row>
    <row r="22" spans="1:76">
      <c r="A22" t="s">
        <v>22</v>
      </c>
      <c r="B22" t="s">
        <v>89</v>
      </c>
      <c r="C22">
        <v>957501.07070000004</v>
      </c>
      <c r="D22">
        <v>546843.33380000002</v>
      </c>
      <c r="E22">
        <v>1127093.9058999999</v>
      </c>
      <c r="F22">
        <v>782024.38459999999</v>
      </c>
      <c r="G22">
        <v>89396.002900000007</v>
      </c>
      <c r="H22">
        <v>363329.76520000002</v>
      </c>
      <c r="I22">
        <v>10478.2631</v>
      </c>
      <c r="J22">
        <v>3741.3074999999999</v>
      </c>
      <c r="K22">
        <v>28140.3894</v>
      </c>
      <c r="L22">
        <v>12925.104600000001</v>
      </c>
      <c r="M22">
        <v>1256898.2047999999</v>
      </c>
      <c r="N22">
        <v>0</v>
      </c>
      <c r="O22">
        <v>1599262.1935000001</v>
      </c>
      <c r="P22">
        <v>11472.094999999999</v>
      </c>
      <c r="Q22">
        <v>897181.36589999998</v>
      </c>
      <c r="R22">
        <v>0</v>
      </c>
      <c r="S22">
        <v>121661.9256</v>
      </c>
      <c r="T22">
        <v>325.04989999999998</v>
      </c>
      <c r="U22">
        <v>135031.55910000001</v>
      </c>
      <c r="V22">
        <v>1259900.0785000001</v>
      </c>
      <c r="W22">
        <v>2580316.7483999999</v>
      </c>
      <c r="X22">
        <v>3760631.9342999998</v>
      </c>
      <c r="Y22">
        <v>161631.1796</v>
      </c>
      <c r="Z22">
        <v>17328.850299999998</v>
      </c>
      <c r="AA22">
        <v>90532.7399</v>
      </c>
      <c r="AB22">
        <v>266.64210000000003</v>
      </c>
      <c r="AC22">
        <v>20230.090400000001</v>
      </c>
      <c r="AD22">
        <v>27295.7186</v>
      </c>
      <c r="AE22">
        <v>59167.207300000002</v>
      </c>
      <c r="AF22">
        <v>15919.232</v>
      </c>
      <c r="AG22">
        <v>27.611499999999999</v>
      </c>
      <c r="AH22">
        <v>134386.0282</v>
      </c>
      <c r="AI22">
        <v>1678166.1758000001</v>
      </c>
      <c r="AJ22">
        <v>87302.806400000001</v>
      </c>
      <c r="AK22">
        <v>552438.40899999999</v>
      </c>
      <c r="AL22">
        <v>11793.779200000001</v>
      </c>
      <c r="AM22">
        <v>21932.829300000001</v>
      </c>
      <c r="AN22">
        <v>7070.5446000000002</v>
      </c>
      <c r="AO22">
        <v>10067.031800000001</v>
      </c>
      <c r="AP22">
        <v>6183.5973000000004</v>
      </c>
      <c r="AQ22">
        <v>3940.6898999999999</v>
      </c>
      <c r="AR22">
        <v>10746.0021</v>
      </c>
      <c r="AS22">
        <v>29437.504700000001</v>
      </c>
      <c r="AT22">
        <v>98427.688299999994</v>
      </c>
      <c r="AU22">
        <v>19300.105299999999</v>
      </c>
      <c r="AV22">
        <v>25775.026399999999</v>
      </c>
      <c r="AW22">
        <v>5065.9731000000002</v>
      </c>
      <c r="AX22">
        <v>17.331800000000001</v>
      </c>
      <c r="AY22">
        <v>37931.775900000001</v>
      </c>
      <c r="AZ22">
        <v>12753.0419</v>
      </c>
      <c r="BA22">
        <v>177684.8345</v>
      </c>
      <c r="BB22">
        <v>407259.35979999998</v>
      </c>
      <c r="BC22">
        <v>990332.66700000002</v>
      </c>
      <c r="BD22">
        <v>288369.79619999998</v>
      </c>
      <c r="BE22">
        <v>0</v>
      </c>
      <c r="BF22">
        <v>20552936.953000002</v>
      </c>
      <c r="BG22">
        <v>2187241.4024</v>
      </c>
      <c r="BH22">
        <v>1.4789000000000001</v>
      </c>
      <c r="BI22">
        <v>1120.635</v>
      </c>
      <c r="BJ22">
        <v>-76777.913499999995</v>
      </c>
      <c r="BK22">
        <v>355267.24890000001</v>
      </c>
      <c r="BL22">
        <v>2466852.8517</v>
      </c>
      <c r="BM22">
        <v>23019789.804699998</v>
      </c>
      <c r="BN22">
        <v>0</v>
      </c>
      <c r="BO22">
        <v>0</v>
      </c>
      <c r="BP22">
        <v>23019789.804699998</v>
      </c>
      <c r="BQ22">
        <v>23019789.804699998</v>
      </c>
      <c r="BS22" s="20">
        <f t="shared" si="0"/>
        <v>0.8928377334185591</v>
      </c>
      <c r="BT22" s="20">
        <f t="shared" si="1"/>
        <v>1.5433123061248125E-2</v>
      </c>
      <c r="BU22">
        <v>7973084.2888000002</v>
      </c>
      <c r="BV22" s="20">
        <f t="shared" si="2"/>
        <v>0.34635782326614117</v>
      </c>
      <c r="BW22" s="41" t="str" cm="1">
        <f t="array" ref="BW22">_xlfn.IFS(BV22&gt;$BV$62,"Very High",BV22&gt;$BV$61,"High",BV22&gt;$BV$60,"Low",BV22&lt;=$BV$60,"Very Low")</f>
        <v>Very Low</v>
      </c>
      <c r="BX22" t="s">
        <v>478</v>
      </c>
    </row>
    <row r="23" spans="1:76">
      <c r="A23" t="s">
        <v>23</v>
      </c>
      <c r="B23" t="s">
        <v>90</v>
      </c>
      <c r="C23">
        <v>7748.6337000000003</v>
      </c>
      <c r="D23">
        <v>8941.6370999999999</v>
      </c>
      <c r="E23">
        <v>5874.2281000000003</v>
      </c>
      <c r="F23">
        <v>0</v>
      </c>
      <c r="G23">
        <v>49910.815699999999</v>
      </c>
      <c r="H23">
        <v>118804.1963</v>
      </c>
      <c r="I23">
        <v>305.54599999999999</v>
      </c>
      <c r="J23">
        <v>1697.1795</v>
      </c>
      <c r="K23">
        <v>3001.7638999999999</v>
      </c>
      <c r="L23">
        <v>5058.9615999999996</v>
      </c>
      <c r="M23">
        <v>76867.660499999998</v>
      </c>
      <c r="N23">
        <v>0</v>
      </c>
      <c r="O23">
        <v>17656.891199999998</v>
      </c>
      <c r="P23">
        <v>1118.2954999999999</v>
      </c>
      <c r="Q23">
        <v>50085.556700000001</v>
      </c>
      <c r="R23">
        <v>0.15759999999999999</v>
      </c>
      <c r="S23">
        <v>3875.0239000000001</v>
      </c>
      <c r="T23">
        <v>43.704700000000003</v>
      </c>
      <c r="U23">
        <v>7377.9787999999999</v>
      </c>
      <c r="V23">
        <v>45089.705800000003</v>
      </c>
      <c r="W23">
        <v>40355.647599999997</v>
      </c>
      <c r="X23">
        <v>2428146.2071000002</v>
      </c>
      <c r="Y23">
        <v>1466.1652999999999</v>
      </c>
      <c r="Z23">
        <v>91.038700000000006</v>
      </c>
      <c r="AA23">
        <v>14833.0371</v>
      </c>
      <c r="AB23">
        <v>62.7059</v>
      </c>
      <c r="AC23">
        <v>23132.2778</v>
      </c>
      <c r="AD23">
        <v>11474.3712</v>
      </c>
      <c r="AE23">
        <v>11622.9558</v>
      </c>
      <c r="AF23">
        <v>2975.6529999999998</v>
      </c>
      <c r="AG23">
        <v>11.181100000000001</v>
      </c>
      <c r="AH23">
        <v>769.37609999999995</v>
      </c>
      <c r="AI23">
        <v>3057792.7121000001</v>
      </c>
      <c r="AJ23">
        <v>123579.6079</v>
      </c>
      <c r="AK23">
        <v>1304493.4504</v>
      </c>
      <c r="AL23">
        <v>4739.6788999999999</v>
      </c>
      <c r="AM23">
        <v>160390.9227</v>
      </c>
      <c r="AN23">
        <v>11011.398300000001</v>
      </c>
      <c r="AO23">
        <v>7923.4823999999999</v>
      </c>
      <c r="AP23">
        <v>116904.1418</v>
      </c>
      <c r="AQ23">
        <v>13830.4241</v>
      </c>
      <c r="AR23">
        <v>913.47400000000005</v>
      </c>
      <c r="AS23">
        <v>23525.5982</v>
      </c>
      <c r="AT23">
        <v>21185.4689</v>
      </c>
      <c r="AU23">
        <v>26331.470300000001</v>
      </c>
      <c r="AV23">
        <v>12712.591399999999</v>
      </c>
      <c r="AW23">
        <v>8203.7718999999997</v>
      </c>
      <c r="AX23">
        <v>47.8386</v>
      </c>
      <c r="AY23">
        <v>35100.956400000003</v>
      </c>
      <c r="AZ23">
        <v>5316.6571000000004</v>
      </c>
      <c r="BA23">
        <v>29800.508000000002</v>
      </c>
      <c r="BB23">
        <v>59412.373599999999</v>
      </c>
      <c r="BC23">
        <v>19521.636699999999</v>
      </c>
      <c r="BD23">
        <v>21834.211500000001</v>
      </c>
      <c r="BE23">
        <v>0</v>
      </c>
      <c r="BF23">
        <v>8002970.9287999999</v>
      </c>
      <c r="BG23">
        <v>1041702.079</v>
      </c>
      <c r="BH23">
        <v>228.72069999999999</v>
      </c>
      <c r="BI23">
        <v>26358.867300000002</v>
      </c>
      <c r="BJ23">
        <v>-61460.865599999997</v>
      </c>
      <c r="BK23">
        <v>33975029.453299999</v>
      </c>
      <c r="BL23">
        <v>34981858.254600003</v>
      </c>
      <c r="BM23">
        <v>42984829.183399998</v>
      </c>
      <c r="BN23">
        <v>0</v>
      </c>
      <c r="BO23">
        <v>0</v>
      </c>
      <c r="BP23">
        <v>42984829.183399998</v>
      </c>
      <c r="BQ23">
        <v>42984829.183399998</v>
      </c>
      <c r="BS23" s="20">
        <f t="shared" si="0"/>
        <v>0.18618128955809854</v>
      </c>
      <c r="BT23" s="20">
        <f t="shared" si="1"/>
        <v>0.79039582333435376</v>
      </c>
      <c r="BU23">
        <v>12288411.0547</v>
      </c>
      <c r="BV23" s="20">
        <f t="shared" si="2"/>
        <v>0.28587786175141006</v>
      </c>
      <c r="BW23" s="41" t="str" cm="1">
        <f t="array" ref="BW23">_xlfn.IFS(BV23&gt;$BV$62,"Very High",BV23&gt;$BV$61,"High",BV23&gt;$BV$60,"Low",BV23&lt;=$BV$60,"Very Low")</f>
        <v>Very Low</v>
      </c>
      <c r="BX23" t="s">
        <v>482</v>
      </c>
    </row>
    <row r="24" spans="1:76">
      <c r="A24" t="s">
        <v>24</v>
      </c>
      <c r="B24" t="s">
        <v>91</v>
      </c>
      <c r="C24">
        <v>9.5739000000000001</v>
      </c>
      <c r="D24">
        <v>23.772600000000001</v>
      </c>
      <c r="E24">
        <v>4343.8337000000001</v>
      </c>
      <c r="F24">
        <v>0</v>
      </c>
      <c r="G24">
        <v>7.2337999999999996</v>
      </c>
      <c r="H24">
        <v>8320.9387999999999</v>
      </c>
      <c r="I24">
        <v>2.4047000000000001</v>
      </c>
      <c r="J24">
        <v>6.4692999999999996</v>
      </c>
      <c r="K24">
        <v>33.489100000000001</v>
      </c>
      <c r="L24">
        <v>6.8509000000000002</v>
      </c>
      <c r="M24">
        <v>164.23679999999999</v>
      </c>
      <c r="N24">
        <v>0</v>
      </c>
      <c r="O24">
        <v>30.047499999999999</v>
      </c>
      <c r="P24">
        <v>10331.053599999999</v>
      </c>
      <c r="Q24">
        <v>11733.7413</v>
      </c>
      <c r="R24">
        <v>0</v>
      </c>
      <c r="S24">
        <v>320.86680000000001</v>
      </c>
      <c r="T24">
        <v>0.27810000000000001</v>
      </c>
      <c r="U24">
        <v>5562.7641999999996</v>
      </c>
      <c r="V24">
        <v>1095.8801000000001</v>
      </c>
      <c r="W24">
        <v>6483.8644000000004</v>
      </c>
      <c r="X24">
        <v>67976.537299999996</v>
      </c>
      <c r="Y24">
        <v>117975.4656</v>
      </c>
      <c r="Z24">
        <v>152.76730000000001</v>
      </c>
      <c r="AA24">
        <v>1926.5045</v>
      </c>
      <c r="AB24">
        <v>2.3534999999999999</v>
      </c>
      <c r="AC24">
        <v>1634.7573</v>
      </c>
      <c r="AD24">
        <v>1962.0315000000001</v>
      </c>
      <c r="AE24">
        <v>8749.8353999999999</v>
      </c>
      <c r="AF24">
        <v>292.52960000000002</v>
      </c>
      <c r="AG24">
        <v>3.2399999999999998E-2</v>
      </c>
      <c r="AH24">
        <v>593.78229999999996</v>
      </c>
      <c r="AI24">
        <v>2847531.9197999998</v>
      </c>
      <c r="AJ24">
        <v>1470.8438000000001</v>
      </c>
      <c r="AK24">
        <v>12234.865299999999</v>
      </c>
      <c r="AL24">
        <v>43812.588600000003</v>
      </c>
      <c r="AM24">
        <v>24970.3442</v>
      </c>
      <c r="AN24">
        <v>1720.4768999999999</v>
      </c>
      <c r="AO24">
        <v>13.980499999999999</v>
      </c>
      <c r="AP24">
        <v>184.87690000000001</v>
      </c>
      <c r="AQ24">
        <v>50.883699999999997</v>
      </c>
      <c r="AR24">
        <v>2.7193000000000001</v>
      </c>
      <c r="AS24">
        <v>54.322099999999999</v>
      </c>
      <c r="AT24">
        <v>134.8169</v>
      </c>
      <c r="AU24">
        <v>106.1057</v>
      </c>
      <c r="AV24">
        <v>2.1718000000000002</v>
      </c>
      <c r="AW24">
        <v>1.524</v>
      </c>
      <c r="AX24">
        <v>3.1699999999999999E-2</v>
      </c>
      <c r="AY24">
        <v>95243.642800000001</v>
      </c>
      <c r="AZ24">
        <v>1441.6856</v>
      </c>
      <c r="BA24">
        <v>19674.947100000001</v>
      </c>
      <c r="BB24">
        <v>93682.712799999994</v>
      </c>
      <c r="BC24">
        <v>22015.514899999998</v>
      </c>
      <c r="BD24">
        <v>29900.207699999999</v>
      </c>
      <c r="BE24">
        <v>0</v>
      </c>
      <c r="BF24">
        <v>3443995.0781</v>
      </c>
      <c r="BG24">
        <v>288628.63280000002</v>
      </c>
      <c r="BH24">
        <v>1.9781</v>
      </c>
      <c r="BI24">
        <v>42641.135499999997</v>
      </c>
      <c r="BJ24">
        <v>-77626.651100000003</v>
      </c>
      <c r="BK24">
        <v>4241.3689999999997</v>
      </c>
      <c r="BL24">
        <v>257886.4644</v>
      </c>
      <c r="BM24">
        <v>3701881.5425</v>
      </c>
      <c r="BN24">
        <v>0</v>
      </c>
      <c r="BO24">
        <v>0</v>
      </c>
      <c r="BP24">
        <v>3701881.5425</v>
      </c>
      <c r="BQ24">
        <v>3701881.5425</v>
      </c>
      <c r="BS24" s="20">
        <f t="shared" si="0"/>
        <v>0.93033638125928775</v>
      </c>
      <c r="BT24" s="20">
        <f t="shared" si="1"/>
        <v>1.1457333119135051E-3</v>
      </c>
      <c r="BU24">
        <v>1588842.1776999999</v>
      </c>
      <c r="BV24" s="20">
        <f t="shared" si="2"/>
        <v>0.42919854659287759</v>
      </c>
      <c r="BW24" s="41" t="str" cm="1">
        <f t="array" ref="BW24">_xlfn.IFS(BV24&gt;$BV$62,"Very High",BV24&gt;$BV$61,"High",BV24&gt;$BV$60,"Low",BV24&lt;=$BV$60,"Very Low")</f>
        <v>Low</v>
      </c>
      <c r="BX24" t="s">
        <v>482</v>
      </c>
    </row>
    <row r="25" spans="1:76">
      <c r="A25" t="s">
        <v>25</v>
      </c>
      <c r="B25" t="s">
        <v>92</v>
      </c>
      <c r="C25">
        <v>0.92689999999999995</v>
      </c>
      <c r="D25">
        <v>0.153</v>
      </c>
      <c r="E25">
        <v>2523.4041999999999</v>
      </c>
      <c r="F25">
        <v>0</v>
      </c>
      <c r="G25">
        <v>5.8003</v>
      </c>
      <c r="H25">
        <v>6.2512999999999996</v>
      </c>
      <c r="I25">
        <v>8.0999999999999996E-3</v>
      </c>
      <c r="J25">
        <v>5.2999999999999999E-2</v>
      </c>
      <c r="K25">
        <v>2.6499999999999999E-2</v>
      </c>
      <c r="L25">
        <v>1.1924999999999999</v>
      </c>
      <c r="M25">
        <v>36.896599999999999</v>
      </c>
      <c r="N25">
        <v>0</v>
      </c>
      <c r="O25">
        <v>11.286799999999999</v>
      </c>
      <c r="P25">
        <v>4.0735000000000001</v>
      </c>
      <c r="Q25">
        <v>2981.1702</v>
      </c>
      <c r="R25">
        <v>0</v>
      </c>
      <c r="S25">
        <v>53.701000000000001</v>
      </c>
      <c r="T25">
        <v>5.7799999999999997E-2</v>
      </c>
      <c r="U25">
        <v>91.8078</v>
      </c>
      <c r="V25">
        <v>9946.9724999999999</v>
      </c>
      <c r="W25">
        <v>765.05629999999996</v>
      </c>
      <c r="X25">
        <v>725.37559999999996</v>
      </c>
      <c r="Y25">
        <v>489.98039999999997</v>
      </c>
      <c r="Z25">
        <v>1885.8061</v>
      </c>
      <c r="AA25">
        <v>8122.6383999999998</v>
      </c>
      <c r="AB25">
        <v>26.596</v>
      </c>
      <c r="AC25">
        <v>1903.4962</v>
      </c>
      <c r="AD25">
        <v>393.48480000000001</v>
      </c>
      <c r="AE25">
        <v>3024.2024000000001</v>
      </c>
      <c r="AF25">
        <v>1.2975000000000001</v>
      </c>
      <c r="AG25">
        <v>0</v>
      </c>
      <c r="AH25">
        <v>0.26719999999999999</v>
      </c>
      <c r="AI25">
        <v>183590.1942</v>
      </c>
      <c r="AJ25">
        <v>18.452500000000001</v>
      </c>
      <c r="AK25">
        <v>29.807700000000001</v>
      </c>
      <c r="AL25">
        <v>2.2446999999999999</v>
      </c>
      <c r="AM25">
        <v>3.2107999999999999</v>
      </c>
      <c r="AN25">
        <v>8.2699999999999996E-2</v>
      </c>
      <c r="AO25">
        <v>9.1200000000000003E-2</v>
      </c>
      <c r="AP25">
        <v>2.7099999999999999E-2</v>
      </c>
      <c r="AQ25">
        <v>0.2132</v>
      </c>
      <c r="AR25">
        <v>0.1191</v>
      </c>
      <c r="AS25">
        <v>0.2923</v>
      </c>
      <c r="AT25">
        <v>27.975999999999999</v>
      </c>
      <c r="AU25">
        <v>1.1708000000000001</v>
      </c>
      <c r="AV25">
        <v>0.25790000000000002</v>
      </c>
      <c r="AW25">
        <v>5.4699999999999999E-2</v>
      </c>
      <c r="AX25">
        <v>0</v>
      </c>
      <c r="AY25">
        <v>1.1089</v>
      </c>
      <c r="AZ25">
        <v>0.87939999999999996</v>
      </c>
      <c r="BA25">
        <v>3.9283000000000001</v>
      </c>
      <c r="BB25">
        <v>9.49</v>
      </c>
      <c r="BC25">
        <v>7.8868</v>
      </c>
      <c r="BD25">
        <v>3.7968000000000002</v>
      </c>
      <c r="BE25">
        <v>0</v>
      </c>
      <c r="BF25">
        <v>216703.2683</v>
      </c>
      <c r="BG25">
        <v>115.44370000000001</v>
      </c>
      <c r="BH25">
        <v>0</v>
      </c>
      <c r="BI25">
        <v>61.1036</v>
      </c>
      <c r="BJ25">
        <v>36.878399999999999</v>
      </c>
      <c r="BK25">
        <v>2058.9643999999998</v>
      </c>
      <c r="BL25">
        <v>2272.39</v>
      </c>
      <c r="BM25">
        <v>218975.65839999999</v>
      </c>
      <c r="BN25">
        <v>0</v>
      </c>
      <c r="BO25">
        <v>0</v>
      </c>
      <c r="BP25">
        <v>218975.65839999999</v>
      </c>
      <c r="BQ25">
        <v>218975.65839999999</v>
      </c>
      <c r="BS25" s="20">
        <f t="shared" si="0"/>
        <v>0.98962263606556189</v>
      </c>
      <c r="BT25" s="20">
        <f t="shared" si="1"/>
        <v>9.4027090273153396E-3</v>
      </c>
      <c r="BU25">
        <v>54626.4571</v>
      </c>
      <c r="BV25" s="20">
        <f t="shared" si="2"/>
        <v>0.24946360476384349</v>
      </c>
      <c r="BW25" s="41" t="str" cm="1">
        <f t="array" ref="BW25">_xlfn.IFS(BV25&gt;$BV$62,"Very High",BV25&gt;$BV$61,"High",BV25&gt;$BV$60,"Low",BV25&lt;=$BV$60,"Very Low")</f>
        <v>Very Low</v>
      </c>
      <c r="BX25" t="s">
        <v>482</v>
      </c>
    </row>
    <row r="26" spans="1:76">
      <c r="A26" t="s">
        <v>26</v>
      </c>
      <c r="B26" t="s">
        <v>93</v>
      </c>
      <c r="C26">
        <v>3885.2727</v>
      </c>
      <c r="D26">
        <v>637.61120000000005</v>
      </c>
      <c r="E26">
        <v>2581.4605000000001</v>
      </c>
      <c r="F26">
        <v>0</v>
      </c>
      <c r="G26">
        <v>45.935400000000001</v>
      </c>
      <c r="H26">
        <v>26284.061099999999</v>
      </c>
      <c r="I26">
        <v>23.8156</v>
      </c>
      <c r="J26">
        <v>223.1927</v>
      </c>
      <c r="K26">
        <v>125.27</v>
      </c>
      <c r="L26">
        <v>5027.9985999999999</v>
      </c>
      <c r="M26">
        <v>155174.5042</v>
      </c>
      <c r="N26">
        <v>0</v>
      </c>
      <c r="O26">
        <v>47408.9876</v>
      </c>
      <c r="P26">
        <v>1660.1587</v>
      </c>
      <c r="Q26">
        <v>7668.5375000000004</v>
      </c>
      <c r="R26">
        <v>0</v>
      </c>
      <c r="S26">
        <v>486.38409999999999</v>
      </c>
      <c r="T26">
        <v>3.8336999999999999</v>
      </c>
      <c r="U26">
        <v>2003.3</v>
      </c>
      <c r="V26">
        <v>12913.1646</v>
      </c>
      <c r="W26">
        <v>4926.1869999999999</v>
      </c>
      <c r="X26">
        <v>16410.328799999999</v>
      </c>
      <c r="Y26">
        <v>2554.453</v>
      </c>
      <c r="Z26">
        <v>166.9571</v>
      </c>
      <c r="AA26">
        <v>43783.188600000001</v>
      </c>
      <c r="AB26">
        <v>715.59029999999996</v>
      </c>
      <c r="AC26">
        <v>8292.8081999999995</v>
      </c>
      <c r="AD26">
        <v>2276.9475000000002</v>
      </c>
      <c r="AE26">
        <v>3780.6610000000001</v>
      </c>
      <c r="AF26">
        <v>5474.0718999999999</v>
      </c>
      <c r="AG26">
        <v>1.47E-2</v>
      </c>
      <c r="AH26">
        <v>1134.1569</v>
      </c>
      <c r="AI26">
        <v>412096.27039999998</v>
      </c>
      <c r="AJ26">
        <v>77495.624800000005</v>
      </c>
      <c r="AK26">
        <v>125284.2687</v>
      </c>
      <c r="AL26">
        <v>9450.4487000000008</v>
      </c>
      <c r="AM26">
        <v>13472.599200000001</v>
      </c>
      <c r="AN26">
        <v>334.1386</v>
      </c>
      <c r="AO26">
        <v>392.12400000000002</v>
      </c>
      <c r="AP26">
        <v>139.52719999999999</v>
      </c>
      <c r="AQ26">
        <v>885.47640000000001</v>
      </c>
      <c r="AR26">
        <v>520.42240000000004</v>
      </c>
      <c r="AS26">
        <v>1246.9349999999999</v>
      </c>
      <c r="AT26">
        <v>117558.15919999999</v>
      </c>
      <c r="AU26">
        <v>4917.7840999999999</v>
      </c>
      <c r="AV26">
        <v>1086.4914000000001</v>
      </c>
      <c r="AW26">
        <v>243.52889999999999</v>
      </c>
      <c r="AX26">
        <v>0.48949999999999999</v>
      </c>
      <c r="AY26">
        <v>4676.6464999999998</v>
      </c>
      <c r="AZ26">
        <v>3694.8955000000001</v>
      </c>
      <c r="BA26">
        <v>12320.8601</v>
      </c>
      <c r="BB26">
        <v>39883.757599999997</v>
      </c>
      <c r="BC26">
        <v>21194.101500000001</v>
      </c>
      <c r="BD26">
        <v>15935.456099999999</v>
      </c>
      <c r="BE26">
        <v>0</v>
      </c>
      <c r="BF26">
        <v>1218498.8588</v>
      </c>
      <c r="BG26">
        <v>287810.10239999997</v>
      </c>
      <c r="BH26">
        <v>0</v>
      </c>
      <c r="BI26">
        <v>110640.97930000001</v>
      </c>
      <c r="BJ26">
        <v>-320.8494</v>
      </c>
      <c r="BK26">
        <v>96712.896099999998</v>
      </c>
      <c r="BL26">
        <v>494843.12839999999</v>
      </c>
      <c r="BM26">
        <v>1713341.9872000001</v>
      </c>
      <c r="BN26">
        <v>0</v>
      </c>
      <c r="BO26">
        <v>0</v>
      </c>
      <c r="BP26">
        <v>1713341.9872000001</v>
      </c>
      <c r="BQ26">
        <v>1713341.9872000001</v>
      </c>
      <c r="BS26" s="20">
        <f t="shared" si="0"/>
        <v>0.71118251224982298</v>
      </c>
      <c r="BT26" s="20">
        <f t="shared" si="1"/>
        <v>5.6446930515052278E-2</v>
      </c>
      <c r="BU26">
        <v>638654.9264</v>
      </c>
      <c r="BV26" s="20">
        <f t="shared" si="2"/>
        <v>0.3727539108778341</v>
      </c>
      <c r="BW26" s="41" t="str" cm="1">
        <f t="array" ref="BW26">_xlfn.IFS(BV26&gt;$BV$62,"Very High",BV26&gt;$BV$61,"High",BV26&gt;$BV$60,"Low",BV26&lt;=$BV$60,"Very Low")</f>
        <v>Very Low</v>
      </c>
      <c r="BX26" t="s">
        <v>476</v>
      </c>
    </row>
    <row r="27" spans="1:76">
      <c r="A27" t="s">
        <v>27</v>
      </c>
      <c r="B27" t="s">
        <v>94</v>
      </c>
      <c r="C27">
        <v>0</v>
      </c>
      <c r="D27">
        <v>0</v>
      </c>
      <c r="E27">
        <v>4608.6181999999999</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4608.6181999999999</v>
      </c>
      <c r="BG27">
        <v>0</v>
      </c>
      <c r="BH27">
        <v>0</v>
      </c>
      <c r="BI27">
        <v>0</v>
      </c>
      <c r="BJ27">
        <v>0</v>
      </c>
      <c r="BK27">
        <v>47504.101499999997</v>
      </c>
      <c r="BL27">
        <v>47504.101499999997</v>
      </c>
      <c r="BM27">
        <v>52112.719599999997</v>
      </c>
      <c r="BN27">
        <v>0</v>
      </c>
      <c r="BO27">
        <v>0</v>
      </c>
      <c r="BP27">
        <v>52112.719599999997</v>
      </c>
      <c r="BQ27">
        <v>52112.719599999997</v>
      </c>
      <c r="BS27" s="20">
        <f t="shared" si="0"/>
        <v>8.8435572646644214E-2</v>
      </c>
      <c r="BT27" s="20">
        <f t="shared" si="1"/>
        <v>0.9115644292722731</v>
      </c>
      <c r="BU27">
        <v>19485.322199999999</v>
      </c>
      <c r="BV27" s="20">
        <f t="shared" si="2"/>
        <v>0.37390722168336038</v>
      </c>
      <c r="BW27" s="41" t="str" cm="1">
        <f t="array" ref="BW27">_xlfn.IFS(BV27&gt;$BV$62,"Very High",BV27&gt;$BV$61,"High",BV27&gt;$BV$60,"Low",BV27&lt;=$BV$60,"Very Low")</f>
        <v>Very Low</v>
      </c>
      <c r="BX27" t="s">
        <v>476</v>
      </c>
    </row>
    <row r="28" spans="1:76">
      <c r="A28" t="s">
        <v>28</v>
      </c>
      <c r="B28" t="s">
        <v>95</v>
      </c>
      <c r="C28">
        <v>1315.9149</v>
      </c>
      <c r="D28">
        <v>798.91369999999995</v>
      </c>
      <c r="E28">
        <v>14068.0221</v>
      </c>
      <c r="F28">
        <v>10154.004000000001</v>
      </c>
      <c r="G28">
        <v>15.286</v>
      </c>
      <c r="H28">
        <v>5494.7543999999998</v>
      </c>
      <c r="I28">
        <v>9.0135000000000005</v>
      </c>
      <c r="J28">
        <v>1329.6608000000001</v>
      </c>
      <c r="K28">
        <v>4159.6958999999997</v>
      </c>
      <c r="L28">
        <v>2328.1709999999998</v>
      </c>
      <c r="M28">
        <v>31458.9463</v>
      </c>
      <c r="N28">
        <v>0</v>
      </c>
      <c r="O28">
        <v>13760.793299999999</v>
      </c>
      <c r="P28">
        <v>1513.3497</v>
      </c>
      <c r="Q28">
        <v>11437.3851</v>
      </c>
      <c r="R28">
        <v>0</v>
      </c>
      <c r="S28">
        <v>217.29130000000001</v>
      </c>
      <c r="T28">
        <v>0.68559999999999999</v>
      </c>
      <c r="U28">
        <v>329.82920000000001</v>
      </c>
      <c r="V28">
        <v>5514.5509000000002</v>
      </c>
      <c r="W28">
        <v>2566.7824000000001</v>
      </c>
      <c r="X28">
        <v>7775.7808999999997</v>
      </c>
      <c r="Y28">
        <v>428.12880000000001</v>
      </c>
      <c r="Z28">
        <v>41.706299999999999</v>
      </c>
      <c r="AA28">
        <v>493.41849999999999</v>
      </c>
      <c r="AB28">
        <v>4.2942</v>
      </c>
      <c r="AC28">
        <v>19199.663100000002</v>
      </c>
      <c r="AD28">
        <v>89.259900000000002</v>
      </c>
      <c r="AE28">
        <v>285.30489999999998</v>
      </c>
      <c r="AF28">
        <v>63.4754</v>
      </c>
      <c r="AG28">
        <v>18.857900000000001</v>
      </c>
      <c r="AH28">
        <v>227.65479999999999</v>
      </c>
      <c r="AI28">
        <v>49058.816800000001</v>
      </c>
      <c r="AJ28">
        <v>12202.017099999999</v>
      </c>
      <c r="AK28">
        <v>38845.741300000002</v>
      </c>
      <c r="AL28">
        <v>332.57100000000003</v>
      </c>
      <c r="AM28">
        <v>30138.1077</v>
      </c>
      <c r="AN28">
        <v>438.7389</v>
      </c>
      <c r="AO28">
        <v>2395.1909999999998</v>
      </c>
      <c r="AP28">
        <v>30225.598300000001</v>
      </c>
      <c r="AQ28">
        <v>1006.1527</v>
      </c>
      <c r="AR28">
        <v>174.46270000000001</v>
      </c>
      <c r="AS28">
        <v>4883.4735000000001</v>
      </c>
      <c r="AT28">
        <v>2237.2748999999999</v>
      </c>
      <c r="AU28">
        <v>1683.6052</v>
      </c>
      <c r="AV28">
        <v>640.83079999999995</v>
      </c>
      <c r="AW28">
        <v>512.91930000000002</v>
      </c>
      <c r="AX28">
        <v>1.4536</v>
      </c>
      <c r="AY28">
        <v>2629.1801</v>
      </c>
      <c r="AZ28">
        <v>874.72389999999996</v>
      </c>
      <c r="BA28">
        <v>2605.5518000000002</v>
      </c>
      <c r="BB28">
        <v>1918.9450999999999</v>
      </c>
      <c r="BC28">
        <v>839.69110000000001</v>
      </c>
      <c r="BD28">
        <v>554.78970000000004</v>
      </c>
      <c r="BE28">
        <v>0</v>
      </c>
      <c r="BF28">
        <v>319300.4313</v>
      </c>
      <c r="BG28">
        <v>473955.39179999998</v>
      </c>
      <c r="BH28">
        <v>0</v>
      </c>
      <c r="BI28">
        <v>380903.54759999999</v>
      </c>
      <c r="BJ28">
        <v>-1383.5409</v>
      </c>
      <c r="BK28">
        <v>30306.0772</v>
      </c>
      <c r="BL28">
        <v>883781.47569999995</v>
      </c>
      <c r="BM28">
        <v>1203081.9069999999</v>
      </c>
      <c r="BN28">
        <v>0</v>
      </c>
      <c r="BO28">
        <v>0</v>
      </c>
      <c r="BP28">
        <v>1203081.9069999999</v>
      </c>
      <c r="BQ28">
        <v>1203081.9069999999</v>
      </c>
      <c r="BS28" s="20">
        <f t="shared" si="0"/>
        <v>0.26540207232956087</v>
      </c>
      <c r="BT28" s="20">
        <f t="shared" si="1"/>
        <v>2.5190369021150946E-2</v>
      </c>
      <c r="BU28">
        <v>97699.233800000002</v>
      </c>
      <c r="BV28" s="20">
        <f t="shared" si="2"/>
        <v>8.1207466616817811E-2</v>
      </c>
      <c r="BW28" s="41" t="str" cm="1">
        <f t="array" ref="BW28">_xlfn.IFS(BV28&gt;$BV$62,"Very High",BV28&gt;$BV$61,"High",BV28&gt;$BV$60,"Low",BV28&lt;=$BV$60,"Very Low")</f>
        <v>Very Low</v>
      </c>
      <c r="BX28" t="s">
        <v>482</v>
      </c>
    </row>
    <row r="29" spans="1:76">
      <c r="A29" t="s">
        <v>29</v>
      </c>
      <c r="B29" t="s">
        <v>96</v>
      </c>
      <c r="C29">
        <v>11.088100000000001</v>
      </c>
      <c r="D29">
        <v>9.7885000000000009</v>
      </c>
      <c r="E29">
        <v>0</v>
      </c>
      <c r="F29">
        <v>0</v>
      </c>
      <c r="G29">
        <v>7.1612</v>
      </c>
      <c r="H29">
        <v>18.5687</v>
      </c>
      <c r="I29">
        <v>2.2725</v>
      </c>
      <c r="J29">
        <v>3.5135999999999998</v>
      </c>
      <c r="K29">
        <v>12.911899999999999</v>
      </c>
      <c r="L29">
        <v>6.2546999999999997</v>
      </c>
      <c r="M29">
        <v>172.43180000000001</v>
      </c>
      <c r="N29">
        <v>0</v>
      </c>
      <c r="O29">
        <v>192.39570000000001</v>
      </c>
      <c r="P29">
        <v>2.5146000000000002</v>
      </c>
      <c r="Q29">
        <v>9904.9177</v>
      </c>
      <c r="R29">
        <v>0</v>
      </c>
      <c r="S29">
        <v>40.122999999999998</v>
      </c>
      <c r="T29">
        <v>0.70340000000000003</v>
      </c>
      <c r="U29">
        <v>99.749899999999997</v>
      </c>
      <c r="V29">
        <v>3278.2082999999998</v>
      </c>
      <c r="W29">
        <v>104.9487</v>
      </c>
      <c r="X29">
        <v>487.07490000000001</v>
      </c>
      <c r="Y29">
        <v>5.4789000000000003</v>
      </c>
      <c r="Z29">
        <v>0.4889</v>
      </c>
      <c r="AA29">
        <v>7.7820999999999998</v>
      </c>
      <c r="AB29">
        <v>0.21829999999999999</v>
      </c>
      <c r="AC29">
        <v>15.710900000000001</v>
      </c>
      <c r="AD29">
        <v>658.87249999999995</v>
      </c>
      <c r="AE29">
        <v>288.81599999999997</v>
      </c>
      <c r="AF29">
        <v>2.1360000000000001</v>
      </c>
      <c r="AG29">
        <v>3.5700000000000003E-2</v>
      </c>
      <c r="AH29">
        <v>1.8491</v>
      </c>
      <c r="AI29">
        <v>24542.512500000001</v>
      </c>
      <c r="AJ29">
        <v>29.212399999999999</v>
      </c>
      <c r="AK29">
        <v>228.24950000000001</v>
      </c>
      <c r="AL29">
        <v>11.5548</v>
      </c>
      <c r="AM29">
        <v>48.41</v>
      </c>
      <c r="AN29">
        <v>39.416699999999999</v>
      </c>
      <c r="AO29">
        <v>13.836</v>
      </c>
      <c r="AP29">
        <v>171.56809999999999</v>
      </c>
      <c r="AQ29">
        <v>21.912199999999999</v>
      </c>
      <c r="AR29">
        <v>532.40949999999998</v>
      </c>
      <c r="AS29">
        <v>257.62329999999997</v>
      </c>
      <c r="AT29">
        <v>33.818100000000001</v>
      </c>
      <c r="AU29">
        <v>1599.7657999999999</v>
      </c>
      <c r="AV29">
        <v>386.37909999999999</v>
      </c>
      <c r="AW29">
        <v>160.44399999999999</v>
      </c>
      <c r="AX29">
        <v>2.0716000000000001</v>
      </c>
      <c r="AY29">
        <v>165.2397</v>
      </c>
      <c r="AZ29">
        <v>165.27359999999999</v>
      </c>
      <c r="BA29">
        <v>16.678699999999999</v>
      </c>
      <c r="BB29">
        <v>3589.1044000000002</v>
      </c>
      <c r="BC29">
        <v>1079.5615</v>
      </c>
      <c r="BD29">
        <v>2250.3761</v>
      </c>
      <c r="BE29">
        <v>0</v>
      </c>
      <c r="BF29">
        <v>50681.4329</v>
      </c>
      <c r="BG29">
        <v>243259.9694</v>
      </c>
      <c r="BH29">
        <v>2.7179000000000002</v>
      </c>
      <c r="BI29">
        <v>120449.03479999999</v>
      </c>
      <c r="BJ29">
        <v>778.0557</v>
      </c>
      <c r="BK29">
        <v>2206.4767999999999</v>
      </c>
      <c r="BL29">
        <v>366696.25459999999</v>
      </c>
      <c r="BM29">
        <v>417377.6875</v>
      </c>
      <c r="BN29">
        <v>0</v>
      </c>
      <c r="BO29">
        <v>0</v>
      </c>
      <c r="BP29">
        <v>417377.6875</v>
      </c>
      <c r="BQ29">
        <v>417377.6875</v>
      </c>
      <c r="BS29" s="20">
        <f t="shared" si="0"/>
        <v>0.12142822776073769</v>
      </c>
      <c r="BT29" s="20">
        <f t="shared" si="1"/>
        <v>5.2865231326003738E-3</v>
      </c>
      <c r="BU29">
        <v>177470.5404</v>
      </c>
      <c r="BV29" s="20">
        <f t="shared" si="2"/>
        <v>0.42520370809232583</v>
      </c>
      <c r="BW29" s="41" t="str" cm="1">
        <f t="array" ref="BW29">_xlfn.IFS(BV29&gt;$BV$62,"Very High",BV29&gt;$BV$61,"High",BV29&gt;$BV$60,"Low",BV29&lt;=$BV$60,"Very Low")</f>
        <v>Low</v>
      </c>
      <c r="BX29" t="s">
        <v>482</v>
      </c>
    </row>
    <row r="30" spans="1:76">
      <c r="A30" t="s">
        <v>30</v>
      </c>
      <c r="B30" t="s">
        <v>97</v>
      </c>
      <c r="C30">
        <v>1172.0029</v>
      </c>
      <c r="D30">
        <v>3293.5731999999998</v>
      </c>
      <c r="E30">
        <v>10596.4647</v>
      </c>
      <c r="F30">
        <v>141962.7795</v>
      </c>
      <c r="G30">
        <v>202.06639999999999</v>
      </c>
      <c r="H30">
        <v>18933.331900000001</v>
      </c>
      <c r="I30">
        <v>87.606399999999994</v>
      </c>
      <c r="J30">
        <v>1348.9296999999999</v>
      </c>
      <c r="K30">
        <v>14913.1008</v>
      </c>
      <c r="L30">
        <v>7380.8489</v>
      </c>
      <c r="M30">
        <v>26523.736700000001</v>
      </c>
      <c r="N30">
        <v>0</v>
      </c>
      <c r="O30">
        <v>3865.9355999999998</v>
      </c>
      <c r="P30">
        <v>1473.8226</v>
      </c>
      <c r="Q30">
        <v>9934.3305999999993</v>
      </c>
      <c r="R30">
        <v>0</v>
      </c>
      <c r="S30">
        <v>413.45920000000001</v>
      </c>
      <c r="T30">
        <v>0.38840000000000002</v>
      </c>
      <c r="U30">
        <v>245.4562</v>
      </c>
      <c r="V30">
        <v>1937.4337</v>
      </c>
      <c r="W30">
        <v>7334.3401999999996</v>
      </c>
      <c r="X30">
        <v>3407.5504999999998</v>
      </c>
      <c r="Y30">
        <v>195.81209999999999</v>
      </c>
      <c r="Z30">
        <v>33.303100000000001</v>
      </c>
      <c r="AA30">
        <v>541.20989999999995</v>
      </c>
      <c r="AB30">
        <v>2.47E-2</v>
      </c>
      <c r="AC30">
        <v>50.601300000000002</v>
      </c>
      <c r="AD30">
        <v>156.36959999999999</v>
      </c>
      <c r="AE30">
        <v>3943.7257</v>
      </c>
      <c r="AF30">
        <v>274.17070000000001</v>
      </c>
      <c r="AG30">
        <v>75.977199999999996</v>
      </c>
      <c r="AH30">
        <v>107.6343</v>
      </c>
      <c r="AI30">
        <v>17296.072899999999</v>
      </c>
      <c r="AJ30">
        <v>4944.8946999999998</v>
      </c>
      <c r="AK30">
        <v>83343.295400000003</v>
      </c>
      <c r="AL30">
        <v>20770.583900000001</v>
      </c>
      <c r="AM30">
        <v>228.2877</v>
      </c>
      <c r="AN30">
        <v>4212.2647999999999</v>
      </c>
      <c r="AO30">
        <v>7238.5918000000001</v>
      </c>
      <c r="AP30">
        <v>13251.182000000001</v>
      </c>
      <c r="AQ30">
        <v>234.74600000000001</v>
      </c>
      <c r="AR30">
        <v>389.33510000000001</v>
      </c>
      <c r="AS30">
        <v>922.31140000000005</v>
      </c>
      <c r="AT30">
        <v>27806.453099999999</v>
      </c>
      <c r="AU30">
        <v>7347.4466000000002</v>
      </c>
      <c r="AV30">
        <v>3918.8773999999999</v>
      </c>
      <c r="AW30">
        <v>841.63699999999994</v>
      </c>
      <c r="AX30">
        <v>1.5979000000000001</v>
      </c>
      <c r="AY30">
        <v>6084.8908000000001</v>
      </c>
      <c r="AZ30">
        <v>2235.4196999999999</v>
      </c>
      <c r="BA30">
        <v>28692.192500000001</v>
      </c>
      <c r="BB30">
        <v>33946.444600000003</v>
      </c>
      <c r="BC30">
        <v>49146.347900000001</v>
      </c>
      <c r="BD30">
        <v>28611.691299999999</v>
      </c>
      <c r="BE30">
        <v>0</v>
      </c>
      <c r="BF30">
        <v>601870.55119999999</v>
      </c>
      <c r="BG30">
        <v>194340.73199999999</v>
      </c>
      <c r="BH30">
        <v>0.31440000000000001</v>
      </c>
      <c r="BI30">
        <v>1268.2416000000001</v>
      </c>
      <c r="BJ30">
        <v>-9350.7333999999992</v>
      </c>
      <c r="BK30">
        <v>345.10919999999999</v>
      </c>
      <c r="BL30">
        <v>186603.66380000001</v>
      </c>
      <c r="BM30">
        <v>788474.21499999997</v>
      </c>
      <c r="BN30">
        <v>0</v>
      </c>
      <c r="BO30">
        <v>0</v>
      </c>
      <c r="BP30">
        <v>788474.21499999997</v>
      </c>
      <c r="BQ30">
        <v>788474.21499999997</v>
      </c>
      <c r="BS30" s="20">
        <f t="shared" si="0"/>
        <v>0.76333574357913536</v>
      </c>
      <c r="BT30" s="20">
        <f t="shared" si="1"/>
        <v>4.3769243614390105E-4</v>
      </c>
      <c r="BU30">
        <v>305483.60940000002</v>
      </c>
      <c r="BV30" s="20">
        <f t="shared" si="2"/>
        <v>0.38743639752379222</v>
      </c>
      <c r="BW30" s="41" t="str" cm="1">
        <f t="array" ref="BW30">_xlfn.IFS(BV30&gt;$BV$62,"Very High",BV30&gt;$BV$61,"High",BV30&gt;$BV$60,"Low",BV30&lt;=$BV$60,"Very Low")</f>
        <v>Low</v>
      </c>
      <c r="BX30" t="s">
        <v>482</v>
      </c>
    </row>
    <row r="31" spans="1:76">
      <c r="A31" t="s">
        <v>31</v>
      </c>
      <c r="B31" t="s">
        <v>98</v>
      </c>
      <c r="C31">
        <v>2274.0252</v>
      </c>
      <c r="D31">
        <v>3863.9879000000001</v>
      </c>
      <c r="E31">
        <v>78728.401700000002</v>
      </c>
      <c r="F31">
        <v>192991.9773</v>
      </c>
      <c r="G31">
        <v>16.319299999999998</v>
      </c>
      <c r="H31">
        <v>10234.4581</v>
      </c>
      <c r="I31">
        <v>600.3623</v>
      </c>
      <c r="J31">
        <v>7548.2556999999997</v>
      </c>
      <c r="K31">
        <v>12302.052299999999</v>
      </c>
      <c r="L31">
        <v>28974.974099999999</v>
      </c>
      <c r="M31">
        <v>82861.773000000001</v>
      </c>
      <c r="N31">
        <v>0</v>
      </c>
      <c r="O31">
        <v>1080.1441</v>
      </c>
      <c r="P31">
        <v>11962.2282</v>
      </c>
      <c r="Q31">
        <v>166752.91649999999</v>
      </c>
      <c r="R31">
        <v>0</v>
      </c>
      <c r="S31">
        <v>7126.4103999999998</v>
      </c>
      <c r="T31">
        <v>24.878900000000002</v>
      </c>
      <c r="U31">
        <v>5825.7007999999996</v>
      </c>
      <c r="V31">
        <v>186659.24979999999</v>
      </c>
      <c r="W31">
        <v>41910.933299999997</v>
      </c>
      <c r="X31">
        <v>140267.12359999999</v>
      </c>
      <c r="Y31">
        <v>16779.8259</v>
      </c>
      <c r="Z31">
        <v>963.05709999999999</v>
      </c>
      <c r="AA31">
        <v>10050.1374</v>
      </c>
      <c r="AB31">
        <v>65.376499999999993</v>
      </c>
      <c r="AC31">
        <v>3403.4643000000001</v>
      </c>
      <c r="AD31">
        <v>1832.319</v>
      </c>
      <c r="AE31">
        <v>7429.7470999999996</v>
      </c>
      <c r="AF31">
        <v>1047972.6701</v>
      </c>
      <c r="AG31">
        <v>36.400599999999997</v>
      </c>
      <c r="AH31">
        <v>30491.2647</v>
      </c>
      <c r="AI31">
        <v>137823.2745</v>
      </c>
      <c r="AJ31">
        <v>92297.478300000002</v>
      </c>
      <c r="AK31">
        <v>448185.42259999999</v>
      </c>
      <c r="AL31">
        <v>158818.6827</v>
      </c>
      <c r="AM31">
        <v>8221.8945999999996</v>
      </c>
      <c r="AN31">
        <v>1780.8848</v>
      </c>
      <c r="AO31">
        <v>8918.6733999999997</v>
      </c>
      <c r="AP31">
        <v>5277.4323000000004</v>
      </c>
      <c r="AQ31">
        <v>17484.328399999999</v>
      </c>
      <c r="AR31">
        <v>10446.7881</v>
      </c>
      <c r="AS31">
        <v>33796.4303</v>
      </c>
      <c r="AT31">
        <v>140567.1814</v>
      </c>
      <c r="AU31">
        <v>14885.273499999999</v>
      </c>
      <c r="AV31">
        <v>11966.117700000001</v>
      </c>
      <c r="AW31">
        <v>5961.9647000000004</v>
      </c>
      <c r="AX31">
        <v>32.973199999999999</v>
      </c>
      <c r="AY31">
        <v>26377.308400000002</v>
      </c>
      <c r="AZ31">
        <v>4764.8796000000002</v>
      </c>
      <c r="BA31">
        <v>252679.05439999999</v>
      </c>
      <c r="BB31">
        <v>96359.199900000007</v>
      </c>
      <c r="BC31">
        <v>52588.111400000002</v>
      </c>
      <c r="BD31">
        <v>58842.552100000001</v>
      </c>
      <c r="BE31">
        <v>0</v>
      </c>
      <c r="BF31">
        <v>3689106.3415999999</v>
      </c>
      <c r="BG31">
        <v>2351796.6269999999</v>
      </c>
      <c r="BH31">
        <v>54766.976799999997</v>
      </c>
      <c r="BI31">
        <v>0</v>
      </c>
      <c r="BJ31">
        <v>0</v>
      </c>
      <c r="BK31">
        <v>0</v>
      </c>
      <c r="BL31">
        <v>2406563.6038000002</v>
      </c>
      <c r="BM31">
        <v>6095669.9453999996</v>
      </c>
      <c r="BN31">
        <v>0</v>
      </c>
      <c r="BO31">
        <v>0</v>
      </c>
      <c r="BP31">
        <v>6095669.9453999996</v>
      </c>
      <c r="BQ31">
        <v>6095669.9453999996</v>
      </c>
      <c r="BS31" s="20">
        <f t="shared" si="0"/>
        <v>0.60520113041617773</v>
      </c>
      <c r="BT31" s="20">
        <f t="shared" si="1"/>
        <v>0</v>
      </c>
      <c r="BU31">
        <v>756108.59450000001</v>
      </c>
      <c r="BV31" s="20">
        <f t="shared" si="2"/>
        <v>0.12404027797971334</v>
      </c>
      <c r="BW31" s="41" t="str" cm="1">
        <f t="array" ref="BW31">_xlfn.IFS(BV31&gt;$BV$62,"Very High",BV31&gt;$BV$61,"High",BV31&gt;$BV$60,"Low",BV31&lt;=$BV$60,"Very Low")</f>
        <v>Very Low</v>
      </c>
      <c r="BX31" t="s">
        <v>478</v>
      </c>
    </row>
    <row r="32" spans="1:76">
      <c r="A32" t="s">
        <v>32</v>
      </c>
      <c r="B32" t="s">
        <v>99</v>
      </c>
      <c r="C32">
        <v>0</v>
      </c>
      <c r="D32">
        <v>0</v>
      </c>
      <c r="E32">
        <v>1730.5646999999999</v>
      </c>
      <c r="F32">
        <v>0</v>
      </c>
      <c r="G32">
        <v>0</v>
      </c>
      <c r="H32">
        <v>0</v>
      </c>
      <c r="I32">
        <v>0</v>
      </c>
      <c r="J32">
        <v>0</v>
      </c>
      <c r="K32">
        <v>16221.971100000001</v>
      </c>
      <c r="L32">
        <v>2.2225000000000001</v>
      </c>
      <c r="M32">
        <v>2.5537000000000001</v>
      </c>
      <c r="N32">
        <v>0</v>
      </c>
      <c r="O32">
        <v>386.1533</v>
      </c>
      <c r="P32">
        <v>0</v>
      </c>
      <c r="Q32">
        <v>22494.9031</v>
      </c>
      <c r="R32">
        <v>0</v>
      </c>
      <c r="S32">
        <v>869.3297</v>
      </c>
      <c r="T32">
        <v>2.4184999999999999</v>
      </c>
      <c r="U32">
        <v>1165.4093</v>
      </c>
      <c r="V32">
        <v>12975.554899999999</v>
      </c>
      <c r="W32">
        <v>10390.266799999999</v>
      </c>
      <c r="X32">
        <v>26703.177</v>
      </c>
      <c r="Y32">
        <v>5076.8041000000003</v>
      </c>
      <c r="Z32">
        <v>272.49</v>
      </c>
      <c r="AA32">
        <v>1808.9113</v>
      </c>
      <c r="AB32">
        <v>20.939699999999998</v>
      </c>
      <c r="AC32">
        <v>545.65350000000001</v>
      </c>
      <c r="AD32">
        <v>457.29070000000002</v>
      </c>
      <c r="AE32">
        <v>934.68230000000005</v>
      </c>
      <c r="AF32">
        <v>283.96260000000001</v>
      </c>
      <c r="AG32">
        <v>33.553899999999999</v>
      </c>
      <c r="AH32">
        <v>32.423299999999998</v>
      </c>
      <c r="AI32">
        <v>18423.022199999999</v>
      </c>
      <c r="AJ32">
        <v>0</v>
      </c>
      <c r="AK32">
        <v>1339.2527</v>
      </c>
      <c r="AL32">
        <v>0</v>
      </c>
      <c r="AM32">
        <v>4335.2902999999997</v>
      </c>
      <c r="AN32">
        <v>0</v>
      </c>
      <c r="AO32">
        <v>0</v>
      </c>
      <c r="AP32">
        <v>71.014300000000006</v>
      </c>
      <c r="AQ32">
        <v>0</v>
      </c>
      <c r="AR32">
        <v>760.70450000000005</v>
      </c>
      <c r="AS32">
        <v>1530.0358000000001</v>
      </c>
      <c r="AT32">
        <v>0</v>
      </c>
      <c r="AU32">
        <v>1.7299</v>
      </c>
      <c r="AV32">
        <v>0</v>
      </c>
      <c r="AW32">
        <v>0</v>
      </c>
      <c r="AX32">
        <v>0</v>
      </c>
      <c r="AY32">
        <v>0</v>
      </c>
      <c r="AZ32">
        <v>14.5436</v>
      </c>
      <c r="BA32">
        <v>488.34379999999999</v>
      </c>
      <c r="BB32">
        <v>1278.941</v>
      </c>
      <c r="BC32">
        <v>282.01179999999999</v>
      </c>
      <c r="BD32">
        <v>47.932000000000002</v>
      </c>
      <c r="BE32">
        <v>0</v>
      </c>
      <c r="BF32">
        <v>130984.0575</v>
      </c>
      <c r="BG32">
        <v>45165.519699999997</v>
      </c>
      <c r="BH32">
        <v>0</v>
      </c>
      <c r="BI32">
        <v>0</v>
      </c>
      <c r="BJ32">
        <v>0</v>
      </c>
      <c r="BK32">
        <v>0</v>
      </c>
      <c r="BL32">
        <v>45165.519699999997</v>
      </c>
      <c r="BM32">
        <v>176149.5772</v>
      </c>
      <c r="BN32">
        <v>0</v>
      </c>
      <c r="BO32">
        <v>0</v>
      </c>
      <c r="BP32">
        <v>176149.5772</v>
      </c>
      <c r="BQ32">
        <v>176149.5772</v>
      </c>
      <c r="BS32" s="20">
        <f t="shared" si="0"/>
        <v>0.74359563946770568</v>
      </c>
      <c r="BT32" s="20">
        <f t="shared" si="1"/>
        <v>0</v>
      </c>
      <c r="BU32">
        <v>123810.0722</v>
      </c>
      <c r="BV32" s="20">
        <f t="shared" si="2"/>
        <v>0.70286897174567842</v>
      </c>
      <c r="BW32" s="41" t="str" cm="1">
        <f t="array" ref="BW32">_xlfn.IFS(BV32&gt;$BV$62,"Very High",BV32&gt;$BV$61,"High",BV32&gt;$BV$60,"Low",BV32&lt;=$BV$60,"Very Low")</f>
        <v>Very High</v>
      </c>
      <c r="BX32" t="s">
        <v>476</v>
      </c>
    </row>
    <row r="33" spans="1:76">
      <c r="A33" t="s">
        <v>33</v>
      </c>
      <c r="B33" t="s">
        <v>100</v>
      </c>
      <c r="C33">
        <v>176.31</v>
      </c>
      <c r="D33">
        <v>4495.4274999999998</v>
      </c>
      <c r="E33">
        <v>10833.4635</v>
      </c>
      <c r="F33">
        <v>0</v>
      </c>
      <c r="G33">
        <v>24.281199999999998</v>
      </c>
      <c r="H33">
        <v>96.086600000000004</v>
      </c>
      <c r="I33">
        <v>260.005</v>
      </c>
      <c r="J33">
        <v>12.3348</v>
      </c>
      <c r="K33">
        <v>1235.3649</v>
      </c>
      <c r="L33">
        <v>7900.6869999999999</v>
      </c>
      <c r="M33">
        <v>8895.2775000000001</v>
      </c>
      <c r="N33">
        <v>0</v>
      </c>
      <c r="O33">
        <v>514.5489</v>
      </c>
      <c r="P33">
        <v>193.20230000000001</v>
      </c>
      <c r="Q33">
        <v>29212.9944</v>
      </c>
      <c r="R33">
        <v>0</v>
      </c>
      <c r="S33">
        <v>842.5213</v>
      </c>
      <c r="T33">
        <v>1.4004000000000001</v>
      </c>
      <c r="U33">
        <v>385.4135</v>
      </c>
      <c r="V33">
        <v>21200.9699</v>
      </c>
      <c r="W33">
        <v>7524.0280000000002</v>
      </c>
      <c r="X33">
        <v>13753.998900000001</v>
      </c>
      <c r="Y33">
        <v>2915.4911999999999</v>
      </c>
      <c r="Z33">
        <v>2352.9634999999998</v>
      </c>
      <c r="AA33">
        <v>401.53840000000002</v>
      </c>
      <c r="AB33">
        <v>3.0341999999999998</v>
      </c>
      <c r="AC33">
        <v>615.88170000000002</v>
      </c>
      <c r="AD33">
        <v>158.91380000000001</v>
      </c>
      <c r="AE33">
        <v>300.49930000000001</v>
      </c>
      <c r="AF33">
        <v>117.6828</v>
      </c>
      <c r="AG33">
        <v>1.7005999999999999</v>
      </c>
      <c r="AH33">
        <v>30853.447700000001</v>
      </c>
      <c r="AI33">
        <v>13710.3467</v>
      </c>
      <c r="AJ33">
        <v>13335.092699999999</v>
      </c>
      <c r="AK33">
        <v>75413.444900000002</v>
      </c>
      <c r="AL33">
        <v>228.5333</v>
      </c>
      <c r="AM33">
        <v>210.76130000000001</v>
      </c>
      <c r="AN33">
        <v>1388.5398</v>
      </c>
      <c r="AO33">
        <v>618.54899999999998</v>
      </c>
      <c r="AP33">
        <v>630.03510000000006</v>
      </c>
      <c r="AQ33">
        <v>1455.6397999999999</v>
      </c>
      <c r="AR33">
        <v>1923.3792000000001</v>
      </c>
      <c r="AS33">
        <v>2455.3081000000002</v>
      </c>
      <c r="AT33">
        <v>3221.3503000000001</v>
      </c>
      <c r="AU33">
        <v>330.01650000000001</v>
      </c>
      <c r="AV33">
        <v>72.521799999999999</v>
      </c>
      <c r="AW33">
        <v>221.49100000000001</v>
      </c>
      <c r="AX33">
        <v>0.17760000000000001</v>
      </c>
      <c r="AY33">
        <v>1641.0790999999999</v>
      </c>
      <c r="AZ33">
        <v>722.3605</v>
      </c>
      <c r="BA33">
        <v>10100.700800000001</v>
      </c>
      <c r="BB33">
        <v>9840.8261000000002</v>
      </c>
      <c r="BC33">
        <v>23403.783299999999</v>
      </c>
      <c r="BD33">
        <v>10348.562900000001</v>
      </c>
      <c r="BE33">
        <v>0</v>
      </c>
      <c r="BF33">
        <v>316551.96860000002</v>
      </c>
      <c r="BG33">
        <v>719254.35629999998</v>
      </c>
      <c r="BH33">
        <v>12732.4316</v>
      </c>
      <c r="BI33">
        <v>243.07589999999999</v>
      </c>
      <c r="BJ33">
        <v>0</v>
      </c>
      <c r="BK33">
        <v>0</v>
      </c>
      <c r="BL33">
        <v>732229.8639</v>
      </c>
      <c r="BM33">
        <v>1048781.8324</v>
      </c>
      <c r="BN33">
        <v>0</v>
      </c>
      <c r="BO33">
        <v>0</v>
      </c>
      <c r="BP33">
        <v>1048781.8324</v>
      </c>
      <c r="BQ33">
        <v>1048781.8324</v>
      </c>
      <c r="BS33" s="20">
        <f t="shared" si="0"/>
        <v>0.30182823426261329</v>
      </c>
      <c r="BT33" s="20">
        <f t="shared" si="1"/>
        <v>0</v>
      </c>
      <c r="BU33">
        <v>605713.00120000006</v>
      </c>
      <c r="BV33" s="20">
        <f t="shared" si="2"/>
        <v>0.57753956303181297</v>
      </c>
      <c r="BW33" s="41" t="str" cm="1">
        <f t="array" ref="BW33">_xlfn.IFS(BV33&gt;$BV$62,"Very High",BV33&gt;$BV$61,"High",BV33&gt;$BV$60,"Low",BV33&lt;=$BV$60,"Very Low")</f>
        <v>High</v>
      </c>
      <c r="BX33" t="s">
        <v>482</v>
      </c>
    </row>
    <row r="34" spans="1:76">
      <c r="A34" t="s">
        <v>34</v>
      </c>
      <c r="B34" t="s">
        <v>101</v>
      </c>
      <c r="C34">
        <v>619055.05920000002</v>
      </c>
      <c r="D34">
        <v>161382.13560000001</v>
      </c>
      <c r="E34">
        <v>14602.932199999999</v>
      </c>
      <c r="F34">
        <v>34288.849800000004</v>
      </c>
      <c r="G34">
        <v>53366.001100000001</v>
      </c>
      <c r="H34">
        <v>206035.07939999999</v>
      </c>
      <c r="I34">
        <v>3858.498</v>
      </c>
      <c r="J34">
        <v>437693.35190000001</v>
      </c>
      <c r="K34">
        <v>82699.233800000002</v>
      </c>
      <c r="L34">
        <v>853166.39350000001</v>
      </c>
      <c r="M34">
        <v>4540494.6458999999</v>
      </c>
      <c r="N34">
        <v>0</v>
      </c>
      <c r="O34">
        <v>3017743.0044999998</v>
      </c>
      <c r="P34">
        <v>31485.221799999999</v>
      </c>
      <c r="Q34">
        <v>37680.522100000002</v>
      </c>
      <c r="R34">
        <v>1.67E-2</v>
      </c>
      <c r="S34">
        <v>1089.1585</v>
      </c>
      <c r="T34">
        <v>5.0579999999999998</v>
      </c>
      <c r="U34">
        <v>759.02149999999995</v>
      </c>
      <c r="V34">
        <v>55527.774799999999</v>
      </c>
      <c r="W34">
        <v>1018.7102</v>
      </c>
      <c r="X34">
        <v>2842.8537000000001</v>
      </c>
      <c r="Y34">
        <v>74129.462499999994</v>
      </c>
      <c r="Z34">
        <v>922.7568</v>
      </c>
      <c r="AA34">
        <v>489.16919999999999</v>
      </c>
      <c r="AB34">
        <v>1.2116</v>
      </c>
      <c r="AC34">
        <v>218.5506</v>
      </c>
      <c r="AD34">
        <v>423.24349999999998</v>
      </c>
      <c r="AE34">
        <v>265.17259999999999</v>
      </c>
      <c r="AF34">
        <v>6393.5852000000004</v>
      </c>
      <c r="AG34">
        <v>1559.4215999999999</v>
      </c>
      <c r="AH34">
        <v>32042.0039</v>
      </c>
      <c r="AI34">
        <v>567789.66440000001</v>
      </c>
      <c r="AJ34">
        <v>223993.2923</v>
      </c>
      <c r="AK34">
        <v>3809135.5843000002</v>
      </c>
      <c r="AL34">
        <v>260883.5717</v>
      </c>
      <c r="AM34">
        <v>3347.3090000000002</v>
      </c>
      <c r="AN34">
        <v>46889.959600000002</v>
      </c>
      <c r="AO34">
        <v>29095.230800000001</v>
      </c>
      <c r="AP34">
        <v>15221.716899999999</v>
      </c>
      <c r="AQ34">
        <v>242876.9008</v>
      </c>
      <c r="AR34">
        <v>18802.301100000001</v>
      </c>
      <c r="AS34">
        <v>34354.146200000003</v>
      </c>
      <c r="AT34">
        <v>636372.2402</v>
      </c>
      <c r="AU34">
        <v>117645.2656</v>
      </c>
      <c r="AV34">
        <v>36144.352500000001</v>
      </c>
      <c r="AW34">
        <v>9268.6484999999993</v>
      </c>
      <c r="AX34">
        <v>100.5411</v>
      </c>
      <c r="AY34">
        <v>2101886.7974999999</v>
      </c>
      <c r="AZ34">
        <v>8843.8042000000005</v>
      </c>
      <c r="BA34">
        <v>1658118.1931</v>
      </c>
      <c r="BB34">
        <v>164522.2867</v>
      </c>
      <c r="BC34">
        <v>23651.918900000001</v>
      </c>
      <c r="BD34">
        <v>42752.226799999997</v>
      </c>
      <c r="BE34">
        <v>0</v>
      </c>
      <c r="BF34">
        <v>20322934.052000001</v>
      </c>
      <c r="BG34">
        <v>1086978.8613</v>
      </c>
      <c r="BH34">
        <v>10.6129</v>
      </c>
      <c r="BI34">
        <v>148174334.3906</v>
      </c>
      <c r="BJ34">
        <v>0</v>
      </c>
      <c r="BK34">
        <v>0</v>
      </c>
      <c r="BL34">
        <v>149261323.86480001</v>
      </c>
      <c r="BM34">
        <v>169584257.91670001</v>
      </c>
      <c r="BN34">
        <v>0</v>
      </c>
      <c r="BO34">
        <v>0</v>
      </c>
      <c r="BP34">
        <v>169584257.91670001</v>
      </c>
      <c r="BQ34">
        <v>169584257.91670001</v>
      </c>
      <c r="BS34" s="20">
        <f t="shared" si="0"/>
        <v>0.11983974398132315</v>
      </c>
      <c r="BT34" s="20">
        <f t="shared" si="1"/>
        <v>0</v>
      </c>
      <c r="BU34">
        <v>67207973.317000002</v>
      </c>
      <c r="BV34" s="20">
        <f t="shared" si="2"/>
        <v>0.39631021264964722</v>
      </c>
      <c r="BW34" s="41" t="str" cm="1">
        <f t="array" ref="BW34">_xlfn.IFS(BV34&gt;$BV$62,"Very High",BV34&gt;$BV$61,"High",BV34&gt;$BV$60,"Low",BV34&lt;=$BV$60,"Very Low")</f>
        <v>Low</v>
      </c>
      <c r="BX34" t="s">
        <v>478</v>
      </c>
    </row>
    <row r="35" spans="1:76">
      <c r="A35" t="s">
        <v>35</v>
      </c>
      <c r="B35" t="s">
        <v>102</v>
      </c>
      <c r="C35">
        <v>126758.1259</v>
      </c>
      <c r="D35">
        <v>22042.417600000001</v>
      </c>
      <c r="E35">
        <v>0</v>
      </c>
      <c r="F35">
        <v>0</v>
      </c>
      <c r="G35">
        <v>7.5427</v>
      </c>
      <c r="H35">
        <v>63939.959199999998</v>
      </c>
      <c r="I35">
        <v>6231.2969000000003</v>
      </c>
      <c r="J35">
        <v>52803.870499999997</v>
      </c>
      <c r="K35">
        <v>27450.1423</v>
      </c>
      <c r="L35">
        <v>27156.8855</v>
      </c>
      <c r="M35">
        <v>778186.82339999999</v>
      </c>
      <c r="N35">
        <v>0</v>
      </c>
      <c r="O35">
        <v>524953.31929999997</v>
      </c>
      <c r="P35">
        <v>6693.2682000000004</v>
      </c>
      <c r="Q35">
        <v>1144975.6666999999</v>
      </c>
      <c r="R35">
        <v>4.6825999999999999</v>
      </c>
      <c r="S35">
        <v>7500.1208999999999</v>
      </c>
      <c r="T35">
        <v>24.493600000000001</v>
      </c>
      <c r="U35">
        <v>26017.197800000002</v>
      </c>
      <c r="V35">
        <v>260836.91380000001</v>
      </c>
      <c r="W35">
        <v>101089.817</v>
      </c>
      <c r="X35">
        <v>312047.07040000003</v>
      </c>
      <c r="Y35">
        <v>14688.849700000001</v>
      </c>
      <c r="Z35">
        <v>1299.2597000000001</v>
      </c>
      <c r="AA35">
        <v>17543.192899999998</v>
      </c>
      <c r="AB35">
        <v>547.50260000000003</v>
      </c>
      <c r="AC35">
        <v>28165.364000000001</v>
      </c>
      <c r="AD35">
        <v>4304.0519999999997</v>
      </c>
      <c r="AE35">
        <v>7677.6314000000002</v>
      </c>
      <c r="AF35">
        <v>13309.1566</v>
      </c>
      <c r="AG35">
        <v>184.44839999999999</v>
      </c>
      <c r="AH35">
        <v>3955.7885000000001</v>
      </c>
      <c r="AI35">
        <v>2275322.6006</v>
      </c>
      <c r="AJ35">
        <v>141100.84830000001</v>
      </c>
      <c r="AK35">
        <v>905933.25490000006</v>
      </c>
      <c r="AL35">
        <v>27390.699199999999</v>
      </c>
      <c r="AM35">
        <v>402988.38569999998</v>
      </c>
      <c r="AN35">
        <v>17897.420300000002</v>
      </c>
      <c r="AO35">
        <v>15431.4336</v>
      </c>
      <c r="AP35">
        <v>97990.975000000006</v>
      </c>
      <c r="AQ35">
        <v>31047.9359</v>
      </c>
      <c r="AR35">
        <v>11517.2652</v>
      </c>
      <c r="AS35">
        <v>220590.3928</v>
      </c>
      <c r="AT35">
        <v>105062.94960000001</v>
      </c>
      <c r="AU35">
        <v>38084.377099999998</v>
      </c>
      <c r="AV35">
        <v>32941.712899999999</v>
      </c>
      <c r="AW35">
        <v>3463.7815000000001</v>
      </c>
      <c r="AX35">
        <v>21.0989</v>
      </c>
      <c r="AY35">
        <v>23833.4473</v>
      </c>
      <c r="AZ35">
        <v>20838.518599999999</v>
      </c>
      <c r="BA35">
        <v>161272.2654</v>
      </c>
      <c r="BB35">
        <v>108978.19650000001</v>
      </c>
      <c r="BC35">
        <v>57777.642099999997</v>
      </c>
      <c r="BD35">
        <v>38164.4352</v>
      </c>
      <c r="BE35">
        <v>0</v>
      </c>
      <c r="BF35">
        <v>8318044.4971000003</v>
      </c>
      <c r="BG35">
        <v>5375951.7955999998</v>
      </c>
      <c r="BH35">
        <v>8316.5342999999993</v>
      </c>
      <c r="BI35">
        <v>867915.30810000002</v>
      </c>
      <c r="BJ35">
        <v>0</v>
      </c>
      <c r="BK35">
        <v>788925.9656</v>
      </c>
      <c r="BL35">
        <v>7041109.6036999999</v>
      </c>
      <c r="BM35">
        <v>15359154.1007</v>
      </c>
      <c r="BN35">
        <v>0</v>
      </c>
      <c r="BO35">
        <v>0</v>
      </c>
      <c r="BP35">
        <v>15359154.1007</v>
      </c>
      <c r="BQ35">
        <v>15359154.1007</v>
      </c>
      <c r="BS35" s="20">
        <f t="shared" si="0"/>
        <v>0.54156918034443713</v>
      </c>
      <c r="BT35" s="20">
        <f t="shared" si="1"/>
        <v>5.1365196314036875E-2</v>
      </c>
      <c r="BU35">
        <v>10652541.5649</v>
      </c>
      <c r="BV35" s="20">
        <f t="shared" si="2"/>
        <v>0.69356303706950273</v>
      </c>
      <c r="BW35" s="41" t="str" cm="1">
        <f t="array" ref="BW35">_xlfn.IFS(BV35&gt;$BV$62,"Very High",BV35&gt;$BV$61,"High",BV35&gt;$BV$60,"Low",BV35&lt;=$BV$60,"Very Low")</f>
        <v>Very High</v>
      </c>
      <c r="BX35" t="s">
        <v>480</v>
      </c>
    </row>
    <row r="36" spans="1:76">
      <c r="A36" t="s">
        <v>36</v>
      </c>
      <c r="B36" t="s">
        <v>103</v>
      </c>
      <c r="C36">
        <v>226261.02</v>
      </c>
      <c r="D36">
        <v>143496.416</v>
      </c>
      <c r="E36">
        <v>246602.77239999999</v>
      </c>
      <c r="F36">
        <v>239558.62280000001</v>
      </c>
      <c r="G36">
        <v>74827.900699999998</v>
      </c>
      <c r="H36">
        <v>381120.07610000001</v>
      </c>
      <c r="I36">
        <v>47594.778700000003</v>
      </c>
      <c r="J36">
        <v>58543.014999999999</v>
      </c>
      <c r="K36">
        <v>174103.79569999999</v>
      </c>
      <c r="L36">
        <v>106190.17600000001</v>
      </c>
      <c r="M36">
        <v>3004927.074</v>
      </c>
      <c r="N36">
        <v>0</v>
      </c>
      <c r="O36">
        <v>755659.63249999995</v>
      </c>
      <c r="P36">
        <v>47541.510600000001</v>
      </c>
      <c r="Q36">
        <v>8721325.3386000004</v>
      </c>
      <c r="R36">
        <v>38.686399999999999</v>
      </c>
      <c r="S36">
        <v>57696.2379</v>
      </c>
      <c r="T36">
        <v>182.4802</v>
      </c>
      <c r="U36">
        <v>194340.20370000001</v>
      </c>
      <c r="V36">
        <v>1944149.0626000001</v>
      </c>
      <c r="W36">
        <v>767544.35259999998</v>
      </c>
      <c r="X36">
        <v>2411108.2365000001</v>
      </c>
      <c r="Y36">
        <v>106709.7883</v>
      </c>
      <c r="Z36">
        <v>9387.0702999999994</v>
      </c>
      <c r="AA36">
        <v>137782.21340000001</v>
      </c>
      <c r="AB36">
        <v>4289.0918000000001</v>
      </c>
      <c r="AC36">
        <v>215479.95170000001</v>
      </c>
      <c r="AD36">
        <v>30064.8282</v>
      </c>
      <c r="AE36">
        <v>59164.400800000003</v>
      </c>
      <c r="AF36">
        <v>45735.531799999997</v>
      </c>
      <c r="AG36">
        <v>922.82129999999995</v>
      </c>
      <c r="AH36">
        <v>24015.7572</v>
      </c>
      <c r="AI36">
        <v>16606622.263</v>
      </c>
      <c r="AJ36">
        <v>399327.05589999998</v>
      </c>
      <c r="AK36">
        <v>2402007.8078000001</v>
      </c>
      <c r="AL36">
        <v>83991.552899999995</v>
      </c>
      <c r="AM36">
        <v>651682.00100000005</v>
      </c>
      <c r="AN36">
        <v>72359.452399999995</v>
      </c>
      <c r="AO36">
        <v>63032.8393</v>
      </c>
      <c r="AP36">
        <v>633414.43429999996</v>
      </c>
      <c r="AQ36">
        <v>32223.108199999999</v>
      </c>
      <c r="AR36">
        <v>79850.2742</v>
      </c>
      <c r="AS36">
        <v>1642318.7705999999</v>
      </c>
      <c r="AT36">
        <v>592583.73990000004</v>
      </c>
      <c r="AU36">
        <v>63114.0144</v>
      </c>
      <c r="AV36">
        <v>46194.649899999997</v>
      </c>
      <c r="AW36">
        <v>14266.6186</v>
      </c>
      <c r="AX36">
        <v>84.392799999999994</v>
      </c>
      <c r="AY36">
        <v>104997.9844</v>
      </c>
      <c r="AZ36">
        <v>33281.391799999998</v>
      </c>
      <c r="BA36">
        <v>302525.56050000002</v>
      </c>
      <c r="BB36">
        <v>427551.13919999998</v>
      </c>
      <c r="BC36">
        <v>326825.92499999999</v>
      </c>
      <c r="BD36">
        <v>178785.0491</v>
      </c>
      <c r="BE36">
        <v>0</v>
      </c>
      <c r="BF36">
        <v>44993402.869099997</v>
      </c>
      <c r="BG36">
        <v>35296412.158200003</v>
      </c>
      <c r="BH36">
        <v>85232.736300000004</v>
      </c>
      <c r="BI36">
        <v>13859563.090700001</v>
      </c>
      <c r="BJ36">
        <v>0</v>
      </c>
      <c r="BK36">
        <v>28625411.6164</v>
      </c>
      <c r="BL36">
        <v>77866619.601600006</v>
      </c>
      <c r="BM36">
        <v>122860022.4707</v>
      </c>
      <c r="BN36">
        <v>0</v>
      </c>
      <c r="BO36">
        <v>0</v>
      </c>
      <c r="BP36">
        <v>122860022.4707</v>
      </c>
      <c r="BQ36">
        <v>122860022.4707</v>
      </c>
      <c r="BS36" s="20">
        <f t="shared" si="0"/>
        <v>0.36621678853941403</v>
      </c>
      <c r="BT36" s="20">
        <f t="shared" si="1"/>
        <v>0.23299207537770611</v>
      </c>
      <c r="BU36">
        <v>81154296.609300002</v>
      </c>
      <c r="BV36" s="20">
        <f t="shared" si="2"/>
        <v>0.66054274594206519</v>
      </c>
      <c r="BW36" s="41" t="str" cm="1">
        <f t="array" ref="BW36">_xlfn.IFS(BV36&gt;$BV$62,"Very High",BV36&gt;$BV$61,"High",BV36&gt;$BV$60,"Low",BV36&lt;=$BV$60,"Very Low")</f>
        <v>High</v>
      </c>
      <c r="BX36" t="s">
        <v>480</v>
      </c>
    </row>
    <row r="37" spans="1:76">
      <c r="A37" t="s">
        <v>37</v>
      </c>
      <c r="B37" t="s">
        <v>104</v>
      </c>
      <c r="C37">
        <v>102.173</v>
      </c>
      <c r="D37">
        <v>1740.1967999999999</v>
      </c>
      <c r="E37">
        <v>0</v>
      </c>
      <c r="F37">
        <v>0</v>
      </c>
      <c r="G37">
        <v>82.697400000000002</v>
      </c>
      <c r="H37">
        <v>371.15140000000002</v>
      </c>
      <c r="I37">
        <v>161.9581</v>
      </c>
      <c r="J37">
        <v>53.405099999999997</v>
      </c>
      <c r="K37">
        <v>250.505</v>
      </c>
      <c r="L37">
        <v>194.57089999999999</v>
      </c>
      <c r="M37">
        <v>307101.64919999999</v>
      </c>
      <c r="N37">
        <v>0</v>
      </c>
      <c r="O37">
        <v>6557.1012000000001</v>
      </c>
      <c r="P37">
        <v>106.60850000000001</v>
      </c>
      <c r="Q37">
        <v>3814.5428000000002</v>
      </c>
      <c r="R37">
        <v>2.6100000000000002E-2</v>
      </c>
      <c r="S37">
        <v>52.061399999999999</v>
      </c>
      <c r="T37">
        <v>0.2225</v>
      </c>
      <c r="U37">
        <v>109.8061</v>
      </c>
      <c r="V37">
        <v>7948.0154000000002</v>
      </c>
      <c r="W37">
        <v>298.00439999999998</v>
      </c>
      <c r="X37">
        <v>1064.8985</v>
      </c>
      <c r="Y37">
        <v>818.01869999999997</v>
      </c>
      <c r="Z37">
        <v>8.7622</v>
      </c>
      <c r="AA37">
        <v>85.830600000000004</v>
      </c>
      <c r="AB37">
        <v>1.7609999999999999</v>
      </c>
      <c r="AC37">
        <v>181.4376</v>
      </c>
      <c r="AD37">
        <v>43.738900000000001</v>
      </c>
      <c r="AE37">
        <v>71.063199999999995</v>
      </c>
      <c r="AF37">
        <v>107.51730000000001</v>
      </c>
      <c r="AG37">
        <v>2.0011000000000001</v>
      </c>
      <c r="AH37">
        <v>117.38800000000001</v>
      </c>
      <c r="AI37">
        <v>12710.754199999999</v>
      </c>
      <c r="AJ37">
        <v>609.79480000000001</v>
      </c>
      <c r="AK37">
        <v>38889.013299999999</v>
      </c>
      <c r="AL37">
        <v>374.59390000000002</v>
      </c>
      <c r="AM37">
        <v>370.053</v>
      </c>
      <c r="AN37">
        <v>64.819299999999998</v>
      </c>
      <c r="AO37">
        <v>40.085599999999999</v>
      </c>
      <c r="AP37">
        <v>474.81509999999997</v>
      </c>
      <c r="AQ37">
        <v>318.3383</v>
      </c>
      <c r="AR37">
        <v>61.365400000000001</v>
      </c>
      <c r="AS37">
        <v>729.18859999999995</v>
      </c>
      <c r="AT37">
        <v>881.43020000000001</v>
      </c>
      <c r="AU37">
        <v>179.93809999999999</v>
      </c>
      <c r="AV37">
        <v>146.01480000000001</v>
      </c>
      <c r="AW37">
        <v>694.64559999999994</v>
      </c>
      <c r="AX37">
        <v>0.84670000000000001</v>
      </c>
      <c r="AY37">
        <v>227.40440000000001</v>
      </c>
      <c r="AZ37">
        <v>2093.7853</v>
      </c>
      <c r="BA37">
        <v>2153.7123999999999</v>
      </c>
      <c r="BB37">
        <v>1306.529</v>
      </c>
      <c r="BC37">
        <v>352.74459999999999</v>
      </c>
      <c r="BD37">
        <v>888.36929999999995</v>
      </c>
      <c r="BE37">
        <v>0</v>
      </c>
      <c r="BF37">
        <v>395015.3542</v>
      </c>
      <c r="BG37">
        <v>1823273.4886</v>
      </c>
      <c r="BH37">
        <v>46.094000000000001</v>
      </c>
      <c r="BI37">
        <v>6257.8900999999996</v>
      </c>
      <c r="BJ37">
        <v>0</v>
      </c>
      <c r="BK37">
        <v>1364742.6321</v>
      </c>
      <c r="BL37">
        <v>3194320.1047999999</v>
      </c>
      <c r="BM37">
        <v>3589335.4589999998</v>
      </c>
      <c r="BN37">
        <v>0</v>
      </c>
      <c r="BO37">
        <v>0</v>
      </c>
      <c r="BP37">
        <v>3589335.4589999998</v>
      </c>
      <c r="BQ37">
        <v>3589335.4589999998</v>
      </c>
      <c r="BS37" s="20">
        <f t="shared" si="0"/>
        <v>0.11005250378855715</v>
      </c>
      <c r="BT37" s="20">
        <f t="shared" si="1"/>
        <v>0.38022153339777875</v>
      </c>
      <c r="BU37">
        <v>1499337.4180999999</v>
      </c>
      <c r="BV37" s="20">
        <f t="shared" si="2"/>
        <v>0.41772005855304484</v>
      </c>
      <c r="BW37" s="41" t="str" cm="1">
        <f t="array" ref="BW37">_xlfn.IFS(BV37&gt;$BV$62,"Very High",BV37&gt;$BV$61,"High",BV37&gt;$BV$60,"Low",BV37&lt;=$BV$60,"Very Low")</f>
        <v>Low</v>
      </c>
      <c r="BX37" t="s">
        <v>482</v>
      </c>
    </row>
    <row r="38" spans="1:76">
      <c r="A38" t="s">
        <v>38</v>
      </c>
      <c r="B38" t="s">
        <v>105</v>
      </c>
      <c r="C38">
        <v>18792.235400000001</v>
      </c>
      <c r="D38">
        <v>29349.5753</v>
      </c>
      <c r="E38">
        <v>139448.9809</v>
      </c>
      <c r="F38">
        <v>337353.95669999998</v>
      </c>
      <c r="G38">
        <v>55089.141799999998</v>
      </c>
      <c r="H38">
        <v>59062.078999999998</v>
      </c>
      <c r="I38">
        <v>2241.1363000000001</v>
      </c>
      <c r="J38">
        <v>6883.9175999999998</v>
      </c>
      <c r="K38">
        <v>18994.893</v>
      </c>
      <c r="L38">
        <v>15406.6162</v>
      </c>
      <c r="M38">
        <v>599980.69389999995</v>
      </c>
      <c r="N38">
        <v>0</v>
      </c>
      <c r="O38">
        <v>654845.56169999996</v>
      </c>
      <c r="P38">
        <v>5763.2968000000001</v>
      </c>
      <c r="Q38">
        <v>302419.34669999999</v>
      </c>
      <c r="R38">
        <v>2.6779999999999999</v>
      </c>
      <c r="S38">
        <v>4385.1716999999999</v>
      </c>
      <c r="T38">
        <v>19.364599999999999</v>
      </c>
      <c r="U38">
        <v>11518.3591</v>
      </c>
      <c r="V38">
        <v>415302.38669999997</v>
      </c>
      <c r="W38">
        <v>47438.811399999999</v>
      </c>
      <c r="X38">
        <v>132574.7519</v>
      </c>
      <c r="Y38">
        <v>14584.8012</v>
      </c>
      <c r="Z38">
        <v>896.2029</v>
      </c>
      <c r="AA38">
        <v>10450.300800000001</v>
      </c>
      <c r="AB38">
        <v>231.12090000000001</v>
      </c>
      <c r="AC38">
        <v>14541.1237</v>
      </c>
      <c r="AD38">
        <v>4694.3212000000003</v>
      </c>
      <c r="AE38">
        <v>6102.5209000000004</v>
      </c>
      <c r="AF38">
        <v>3773.6878999999999</v>
      </c>
      <c r="AG38">
        <v>281.86950000000002</v>
      </c>
      <c r="AH38">
        <v>3431.0871000000002</v>
      </c>
      <c r="AI38">
        <v>1569689.5534000001</v>
      </c>
      <c r="AJ38">
        <v>145017.4032</v>
      </c>
      <c r="AK38">
        <v>823528.35840000003</v>
      </c>
      <c r="AL38">
        <v>7671.0862999999999</v>
      </c>
      <c r="AM38">
        <v>67920.607900000003</v>
      </c>
      <c r="AN38">
        <v>7389.2168000000001</v>
      </c>
      <c r="AO38">
        <v>4065.8645000000001</v>
      </c>
      <c r="AP38">
        <v>34531.592199999999</v>
      </c>
      <c r="AQ38">
        <v>9229.1347000000005</v>
      </c>
      <c r="AR38">
        <v>5418.7943999999998</v>
      </c>
      <c r="AS38">
        <v>86774.6927</v>
      </c>
      <c r="AT38">
        <v>75965.447100000005</v>
      </c>
      <c r="AU38">
        <v>10088.6152</v>
      </c>
      <c r="AV38">
        <v>5445.51</v>
      </c>
      <c r="AW38">
        <v>4385.8849</v>
      </c>
      <c r="AX38">
        <v>40.0184</v>
      </c>
      <c r="AY38">
        <v>13124.660900000001</v>
      </c>
      <c r="AZ38">
        <v>9754.0324999999993</v>
      </c>
      <c r="BA38">
        <v>821900.43909999996</v>
      </c>
      <c r="BB38">
        <v>200178.0367</v>
      </c>
      <c r="BC38">
        <v>99332.558699999994</v>
      </c>
      <c r="BD38">
        <v>28158.1787</v>
      </c>
      <c r="BE38">
        <v>0</v>
      </c>
      <c r="BF38">
        <v>6945469.6771999998</v>
      </c>
      <c r="BG38">
        <v>4102319.7944</v>
      </c>
      <c r="BH38">
        <v>514122.53980000003</v>
      </c>
      <c r="BI38">
        <v>646871.41469999996</v>
      </c>
      <c r="BJ38">
        <v>0</v>
      </c>
      <c r="BK38">
        <v>194855.36859999999</v>
      </c>
      <c r="BL38">
        <v>5458169.1174999997</v>
      </c>
      <c r="BM38">
        <v>12403638.7947</v>
      </c>
      <c r="BN38">
        <v>0</v>
      </c>
      <c r="BO38">
        <v>0</v>
      </c>
      <c r="BP38">
        <v>12403638.7947</v>
      </c>
      <c r="BQ38">
        <v>12403638.7947</v>
      </c>
      <c r="BS38" s="20">
        <f t="shared" si="0"/>
        <v>0.55995420313011346</v>
      </c>
      <c r="BT38" s="20">
        <f t="shared" si="1"/>
        <v>1.5709532648053286E-2</v>
      </c>
      <c r="BU38">
        <v>6239838.2265999997</v>
      </c>
      <c r="BV38" s="20">
        <f t="shared" si="2"/>
        <v>0.50306513514939222</v>
      </c>
      <c r="BW38" s="41" t="str" cm="1">
        <f t="array" ref="BW38">_xlfn.IFS(BV38&gt;$BV$62,"Very High",BV38&gt;$BV$61,"High",BV38&gt;$BV$60,"Low",BV38&lt;=$BV$60,"Very Low")</f>
        <v>Low</v>
      </c>
      <c r="BX38" t="s">
        <v>482</v>
      </c>
    </row>
    <row r="39" spans="1:76">
      <c r="A39" t="s">
        <v>39</v>
      </c>
      <c r="B39" t="s">
        <v>106</v>
      </c>
      <c r="C39">
        <v>2253.1745999999998</v>
      </c>
      <c r="D39">
        <v>3996.3712999999998</v>
      </c>
      <c r="E39">
        <v>0</v>
      </c>
      <c r="F39">
        <v>0</v>
      </c>
      <c r="G39">
        <v>23079.161100000001</v>
      </c>
      <c r="H39">
        <v>6934.9630999999999</v>
      </c>
      <c r="I39">
        <v>554.40009999999995</v>
      </c>
      <c r="J39">
        <v>665.16210000000001</v>
      </c>
      <c r="K39">
        <v>3204.8674000000001</v>
      </c>
      <c r="L39">
        <v>21843.4067</v>
      </c>
      <c r="M39">
        <v>307624.73749999999</v>
      </c>
      <c r="N39">
        <v>0</v>
      </c>
      <c r="O39">
        <v>7979.2471999999998</v>
      </c>
      <c r="P39">
        <v>7975.1211999999996</v>
      </c>
      <c r="Q39">
        <v>87488.549599999998</v>
      </c>
      <c r="R39">
        <v>0.51</v>
      </c>
      <c r="S39">
        <v>684.29179999999997</v>
      </c>
      <c r="T39">
        <v>1.9789000000000001</v>
      </c>
      <c r="U39">
        <v>2004.9976999999999</v>
      </c>
      <c r="V39">
        <v>20194.199700000001</v>
      </c>
      <c r="W39">
        <v>7331.9832999999999</v>
      </c>
      <c r="X39">
        <v>23517.463299999999</v>
      </c>
      <c r="Y39">
        <v>1033.1212</v>
      </c>
      <c r="Z39">
        <v>103.259</v>
      </c>
      <c r="AA39">
        <v>1592.4820999999999</v>
      </c>
      <c r="AB39">
        <v>42.970199999999998</v>
      </c>
      <c r="AC39">
        <v>2440.5518999999999</v>
      </c>
      <c r="AD39">
        <v>343.46660000000003</v>
      </c>
      <c r="AE39">
        <v>658.38509999999997</v>
      </c>
      <c r="AF39">
        <v>445.82190000000003</v>
      </c>
      <c r="AG39">
        <v>9.1273</v>
      </c>
      <c r="AH39">
        <v>263.72469999999998</v>
      </c>
      <c r="AI39">
        <v>179871.22649999999</v>
      </c>
      <c r="AJ39">
        <v>4959.0910000000003</v>
      </c>
      <c r="AK39">
        <v>27427.517</v>
      </c>
      <c r="AL39">
        <v>818.69650000000001</v>
      </c>
      <c r="AM39">
        <v>6573.3820999999998</v>
      </c>
      <c r="AN39">
        <v>534.4873</v>
      </c>
      <c r="AO39">
        <v>623.40859999999998</v>
      </c>
      <c r="AP39">
        <v>5806.3540999999996</v>
      </c>
      <c r="AQ39">
        <v>34149.4522</v>
      </c>
      <c r="AR39">
        <v>863.77760000000001</v>
      </c>
      <c r="AS39">
        <v>16738.635900000001</v>
      </c>
      <c r="AT39">
        <v>12600.981900000001</v>
      </c>
      <c r="AU39">
        <v>782.33510000000001</v>
      </c>
      <c r="AV39">
        <v>686.02300000000002</v>
      </c>
      <c r="AW39">
        <v>185.4117</v>
      </c>
      <c r="AX39">
        <v>2.6044</v>
      </c>
      <c r="AY39">
        <v>1292.0671</v>
      </c>
      <c r="AZ39">
        <v>1598.7588000000001</v>
      </c>
      <c r="BA39">
        <v>4186.4650000000001</v>
      </c>
      <c r="BB39">
        <v>4942.1196</v>
      </c>
      <c r="BC39">
        <v>3801.0201000000002</v>
      </c>
      <c r="BD39">
        <v>2798.8953000000001</v>
      </c>
      <c r="BE39">
        <v>0</v>
      </c>
      <c r="BF39">
        <v>845510.20750000002</v>
      </c>
      <c r="BG39">
        <v>406123.63990000001</v>
      </c>
      <c r="BH39">
        <v>577.2681</v>
      </c>
      <c r="BI39">
        <v>67256.895999999993</v>
      </c>
      <c r="BJ39">
        <v>0</v>
      </c>
      <c r="BK39">
        <v>109651.2568</v>
      </c>
      <c r="BL39">
        <v>583609.06079999998</v>
      </c>
      <c r="BM39">
        <v>1429119.2682</v>
      </c>
      <c r="BN39">
        <v>0</v>
      </c>
      <c r="BO39">
        <v>0</v>
      </c>
      <c r="BP39">
        <v>1429119.2682</v>
      </c>
      <c r="BQ39">
        <v>1429119.2682</v>
      </c>
      <c r="BS39" s="20">
        <f t="shared" si="0"/>
        <v>0.59163026229779581</v>
      </c>
      <c r="BT39" s="20">
        <f t="shared" si="1"/>
        <v>7.6726456104750179E-2</v>
      </c>
      <c r="BU39">
        <v>418202.82199999999</v>
      </c>
      <c r="BV39" s="20">
        <f t="shared" si="2"/>
        <v>0.29262975547641557</v>
      </c>
      <c r="BW39" s="41" t="str" cm="1">
        <f t="array" ref="BW39">_xlfn.IFS(BV39&gt;$BV$62,"Very High",BV39&gt;$BV$61,"High",BV39&gt;$BV$60,"Low",BV39&lt;=$BV$60,"Very Low")</f>
        <v>Very Low</v>
      </c>
      <c r="BX39" t="s">
        <v>482</v>
      </c>
    </row>
    <row r="40" spans="1:76">
      <c r="A40" t="s">
        <v>40</v>
      </c>
      <c r="B40" t="s">
        <v>107</v>
      </c>
      <c r="C40">
        <v>2155.7024999999999</v>
      </c>
      <c r="D40">
        <v>7206.2259000000004</v>
      </c>
      <c r="E40">
        <v>1423.3655000000001</v>
      </c>
      <c r="F40">
        <v>17162.2261</v>
      </c>
      <c r="G40">
        <v>3305.4461000000001</v>
      </c>
      <c r="H40">
        <v>2936.6320999999998</v>
      </c>
      <c r="I40">
        <v>187.89330000000001</v>
      </c>
      <c r="J40">
        <v>1144.3585</v>
      </c>
      <c r="K40">
        <v>3027.9643999999998</v>
      </c>
      <c r="L40">
        <v>16342.861000000001</v>
      </c>
      <c r="M40">
        <v>82948.176099999997</v>
      </c>
      <c r="N40">
        <v>0</v>
      </c>
      <c r="O40">
        <v>2087.0355</v>
      </c>
      <c r="P40">
        <v>7694.3626000000004</v>
      </c>
      <c r="Q40">
        <v>25024.933799999999</v>
      </c>
      <c r="R40">
        <v>9.6199999999999994E-2</v>
      </c>
      <c r="S40">
        <v>470.99290000000002</v>
      </c>
      <c r="T40">
        <v>1.1933</v>
      </c>
      <c r="U40">
        <v>1328.3607999999999</v>
      </c>
      <c r="V40">
        <v>5333.6602000000003</v>
      </c>
      <c r="W40">
        <v>1629.4503999999999</v>
      </c>
      <c r="X40">
        <v>5249.2933000000003</v>
      </c>
      <c r="Y40">
        <v>820.97450000000003</v>
      </c>
      <c r="Z40">
        <v>22.916</v>
      </c>
      <c r="AA40">
        <v>401.62549999999999</v>
      </c>
      <c r="AB40">
        <v>8.7162000000000006</v>
      </c>
      <c r="AC40">
        <v>753.31629999999996</v>
      </c>
      <c r="AD40">
        <v>329.98320000000001</v>
      </c>
      <c r="AE40">
        <v>400.61160000000001</v>
      </c>
      <c r="AF40">
        <v>180.41679999999999</v>
      </c>
      <c r="AG40">
        <v>6.8760000000000003</v>
      </c>
      <c r="AH40">
        <v>980.37639999999999</v>
      </c>
      <c r="AI40">
        <v>61705.268799999998</v>
      </c>
      <c r="AJ40">
        <v>2599.7993999999999</v>
      </c>
      <c r="AK40">
        <v>72629.747600000002</v>
      </c>
      <c r="AL40">
        <v>782.03520000000003</v>
      </c>
      <c r="AM40">
        <v>28479.587299999999</v>
      </c>
      <c r="AN40">
        <v>3018.9983999999999</v>
      </c>
      <c r="AO40">
        <v>1004.7406</v>
      </c>
      <c r="AP40">
        <v>12625.036700000001</v>
      </c>
      <c r="AQ40">
        <v>66440.310700000002</v>
      </c>
      <c r="AR40">
        <v>413.68430000000001</v>
      </c>
      <c r="AS40">
        <v>6620.8301000000001</v>
      </c>
      <c r="AT40">
        <v>2780.9762999999998</v>
      </c>
      <c r="AU40">
        <v>317.21690000000001</v>
      </c>
      <c r="AV40">
        <v>195.66</v>
      </c>
      <c r="AW40">
        <v>130.11510000000001</v>
      </c>
      <c r="AX40">
        <v>2.6352000000000002</v>
      </c>
      <c r="AY40">
        <v>356.00630000000001</v>
      </c>
      <c r="AZ40">
        <v>2842.8444</v>
      </c>
      <c r="BA40">
        <v>1264.415</v>
      </c>
      <c r="BB40">
        <v>1451.2935</v>
      </c>
      <c r="BC40">
        <v>1002.1724</v>
      </c>
      <c r="BD40">
        <v>1689.9213</v>
      </c>
      <c r="BE40">
        <v>0</v>
      </c>
      <c r="BF40">
        <v>458919.33850000001</v>
      </c>
      <c r="BG40">
        <v>813609.19949999999</v>
      </c>
      <c r="BH40">
        <v>118.25530000000001</v>
      </c>
      <c r="BI40">
        <v>13811.512000000001</v>
      </c>
      <c r="BJ40">
        <v>0</v>
      </c>
      <c r="BK40">
        <v>53502.843399999998</v>
      </c>
      <c r="BL40">
        <v>881041.81019999995</v>
      </c>
      <c r="BM40">
        <v>1339961.1488000001</v>
      </c>
      <c r="BN40">
        <v>0</v>
      </c>
      <c r="BO40">
        <v>0</v>
      </c>
      <c r="BP40">
        <v>1339961.1488000001</v>
      </c>
      <c r="BQ40">
        <v>1339961.1488000001</v>
      </c>
      <c r="BS40" s="20">
        <f t="shared" si="0"/>
        <v>0.34248704815880998</v>
      </c>
      <c r="BT40" s="20">
        <f t="shared" si="1"/>
        <v>3.99286527433384E-2</v>
      </c>
      <c r="BU40">
        <v>578770.76989999996</v>
      </c>
      <c r="BV40" s="20">
        <f t="shared" si="2"/>
        <v>0.43193100816267482</v>
      </c>
      <c r="BW40" s="41" t="str" cm="1">
        <f t="array" ref="BW40">_xlfn.IFS(BV40&gt;$BV$62,"Very High",BV40&gt;$BV$61,"High",BV40&gt;$BV$60,"Low",BV40&lt;=$BV$60,"Very Low")</f>
        <v>Low</v>
      </c>
      <c r="BX40" t="s">
        <v>482</v>
      </c>
    </row>
    <row r="41" spans="1:76">
      <c r="A41" t="s">
        <v>41</v>
      </c>
      <c r="B41" t="s">
        <v>108</v>
      </c>
      <c r="C41">
        <v>3057.2917000000002</v>
      </c>
      <c r="D41">
        <v>3407.4521</v>
      </c>
      <c r="E41">
        <v>121497.5368</v>
      </c>
      <c r="F41">
        <v>22937.6103</v>
      </c>
      <c r="G41">
        <v>7147.7825999999995</v>
      </c>
      <c r="H41">
        <v>3568.1336999999999</v>
      </c>
      <c r="I41">
        <v>371.82639999999998</v>
      </c>
      <c r="J41">
        <v>2560.8195999999998</v>
      </c>
      <c r="K41">
        <v>5163.3558000000003</v>
      </c>
      <c r="L41">
        <v>80133.2935</v>
      </c>
      <c r="M41">
        <v>782643.08829999994</v>
      </c>
      <c r="N41">
        <v>0</v>
      </c>
      <c r="O41">
        <v>70837.953500000003</v>
      </c>
      <c r="P41">
        <v>6621.1670000000004</v>
      </c>
      <c r="Q41">
        <v>77836.633799999996</v>
      </c>
      <c r="R41">
        <v>0.41839999999999999</v>
      </c>
      <c r="S41">
        <v>1941.3479</v>
      </c>
      <c r="T41">
        <v>3.3231000000000002</v>
      </c>
      <c r="U41">
        <v>3593.4866999999999</v>
      </c>
      <c r="V41">
        <v>23428.991600000001</v>
      </c>
      <c r="W41">
        <v>12126.646199999999</v>
      </c>
      <c r="X41">
        <v>38851.965600000003</v>
      </c>
      <c r="Y41">
        <v>2292.7422000000001</v>
      </c>
      <c r="Z41">
        <v>237.87569999999999</v>
      </c>
      <c r="AA41">
        <v>2791.5003999999999</v>
      </c>
      <c r="AB41">
        <v>46.748899999999999</v>
      </c>
      <c r="AC41">
        <v>2552.1851999999999</v>
      </c>
      <c r="AD41">
        <v>622.83460000000002</v>
      </c>
      <c r="AE41">
        <v>1358.3202000000001</v>
      </c>
      <c r="AF41">
        <v>3229.3589000000002</v>
      </c>
      <c r="AG41">
        <v>31.581800000000001</v>
      </c>
      <c r="AH41">
        <v>1404.7265</v>
      </c>
      <c r="AI41">
        <v>282895.64720000001</v>
      </c>
      <c r="AJ41">
        <v>21040.810700000002</v>
      </c>
      <c r="AK41">
        <v>564957.875</v>
      </c>
      <c r="AL41">
        <v>2503.5306999999998</v>
      </c>
      <c r="AM41">
        <v>17088.466799999998</v>
      </c>
      <c r="AN41">
        <v>5592.0285999999996</v>
      </c>
      <c r="AO41">
        <v>2000.6436000000001</v>
      </c>
      <c r="AP41">
        <v>160426.38639999999</v>
      </c>
      <c r="AQ41">
        <v>69555.490600000005</v>
      </c>
      <c r="AR41">
        <v>1911.9712</v>
      </c>
      <c r="AS41">
        <v>10987.4175</v>
      </c>
      <c r="AT41">
        <v>61940.7359</v>
      </c>
      <c r="AU41">
        <v>27643.364000000001</v>
      </c>
      <c r="AV41">
        <v>2529.8804</v>
      </c>
      <c r="AW41">
        <v>5519.3050999999996</v>
      </c>
      <c r="AX41">
        <v>30.0275</v>
      </c>
      <c r="AY41">
        <v>31043.498299999999</v>
      </c>
      <c r="AZ41">
        <v>15104.269399999999</v>
      </c>
      <c r="BA41">
        <v>1391772.1610999999</v>
      </c>
      <c r="BB41">
        <v>176941.33780000001</v>
      </c>
      <c r="BC41">
        <v>42978.113700000002</v>
      </c>
      <c r="BD41">
        <v>18260.425999999999</v>
      </c>
      <c r="BE41">
        <v>0</v>
      </c>
      <c r="BF41">
        <v>4195021.3864000002</v>
      </c>
      <c r="BG41">
        <v>5868181.3969999999</v>
      </c>
      <c r="BH41">
        <v>54573.73</v>
      </c>
      <c r="BI41">
        <v>17087.250899999999</v>
      </c>
      <c r="BJ41">
        <v>0</v>
      </c>
      <c r="BK41">
        <v>134180.14689999999</v>
      </c>
      <c r="BL41">
        <v>6074022.5247</v>
      </c>
      <c r="BM41">
        <v>10269043.9111</v>
      </c>
      <c r="BN41">
        <v>0</v>
      </c>
      <c r="BO41">
        <v>0</v>
      </c>
      <c r="BP41">
        <v>10269043.9111</v>
      </c>
      <c r="BQ41">
        <v>10269043.9111</v>
      </c>
      <c r="BS41" s="20">
        <f t="shared" si="0"/>
        <v>0.40851138847166907</v>
      </c>
      <c r="BT41" s="20">
        <f t="shared" si="1"/>
        <v>1.3066469289800405E-2</v>
      </c>
      <c r="BU41">
        <v>3875508.3530000001</v>
      </c>
      <c r="BV41" s="20">
        <f t="shared" si="2"/>
        <v>0.37739719359958052</v>
      </c>
      <c r="BW41" s="41" t="str" cm="1">
        <f t="array" ref="BW41">_xlfn.IFS(BV41&gt;$BV$62,"Very High",BV41&gt;$BV$61,"High",BV41&gt;$BV$60,"Low",BV41&lt;=$BV$60,"Very Low")</f>
        <v>Very Low</v>
      </c>
      <c r="BX41" t="s">
        <v>482</v>
      </c>
    </row>
    <row r="42" spans="1:76">
      <c r="A42" t="s">
        <v>42</v>
      </c>
      <c r="B42" t="s">
        <v>109</v>
      </c>
      <c r="C42">
        <v>1572.5263</v>
      </c>
      <c r="D42">
        <v>5864.0546999999997</v>
      </c>
      <c r="E42">
        <v>14511.524799999999</v>
      </c>
      <c r="F42">
        <v>29576.434099999999</v>
      </c>
      <c r="G42">
        <v>36487.176200000002</v>
      </c>
      <c r="H42">
        <v>3104.3271</v>
      </c>
      <c r="I42">
        <v>215.36250000000001</v>
      </c>
      <c r="J42">
        <v>1558.8712</v>
      </c>
      <c r="K42">
        <v>3942.4405999999999</v>
      </c>
      <c r="L42">
        <v>3191.5273000000002</v>
      </c>
      <c r="M42">
        <v>72793.054000000004</v>
      </c>
      <c r="N42">
        <v>0</v>
      </c>
      <c r="O42">
        <v>11644.6574</v>
      </c>
      <c r="P42">
        <v>691.7405</v>
      </c>
      <c r="Q42">
        <v>38606.6685</v>
      </c>
      <c r="R42">
        <v>0.2752</v>
      </c>
      <c r="S42">
        <v>585.89930000000004</v>
      </c>
      <c r="T42">
        <v>2.0045999999999999</v>
      </c>
      <c r="U42">
        <v>881.34950000000003</v>
      </c>
      <c r="V42">
        <v>12945.9619</v>
      </c>
      <c r="W42">
        <v>6666.6629000000003</v>
      </c>
      <c r="X42">
        <v>17992.517</v>
      </c>
      <c r="Y42">
        <v>1178.0821000000001</v>
      </c>
      <c r="Z42">
        <v>115.8944</v>
      </c>
      <c r="AA42">
        <v>1436.7014999999999</v>
      </c>
      <c r="AB42">
        <v>21.372399999999999</v>
      </c>
      <c r="AC42">
        <v>2226.6687999999999</v>
      </c>
      <c r="AD42">
        <v>433.49430000000001</v>
      </c>
      <c r="AE42">
        <v>852.47709999999995</v>
      </c>
      <c r="AF42">
        <v>352.73259999999999</v>
      </c>
      <c r="AG42">
        <v>6.5659999999999998</v>
      </c>
      <c r="AH42">
        <v>308.50830000000002</v>
      </c>
      <c r="AI42">
        <v>188950.4565</v>
      </c>
      <c r="AJ42">
        <v>20235.130399999998</v>
      </c>
      <c r="AK42">
        <v>222171.9969</v>
      </c>
      <c r="AL42">
        <v>13808.474</v>
      </c>
      <c r="AM42">
        <v>33623.413500000002</v>
      </c>
      <c r="AN42">
        <v>63944.813699999999</v>
      </c>
      <c r="AO42">
        <v>19446.893199999999</v>
      </c>
      <c r="AP42">
        <v>252710.8835</v>
      </c>
      <c r="AQ42">
        <v>36203.761299999998</v>
      </c>
      <c r="AR42">
        <v>464.30970000000002</v>
      </c>
      <c r="AS42">
        <v>7445.6538</v>
      </c>
      <c r="AT42">
        <v>13598.053</v>
      </c>
      <c r="AU42">
        <v>726.18780000000004</v>
      </c>
      <c r="AV42">
        <v>402.89409999999998</v>
      </c>
      <c r="AW42">
        <v>2030.1207999999999</v>
      </c>
      <c r="AX42">
        <v>39.531199999999998</v>
      </c>
      <c r="AY42">
        <v>2178.0664999999999</v>
      </c>
      <c r="AZ42">
        <v>1587.0017</v>
      </c>
      <c r="BA42">
        <v>5858.7367999999997</v>
      </c>
      <c r="BB42">
        <v>3979.2138</v>
      </c>
      <c r="BC42">
        <v>2065.8584000000001</v>
      </c>
      <c r="BD42">
        <v>2115.7269000000001</v>
      </c>
      <c r="BE42">
        <v>0</v>
      </c>
      <c r="BF42">
        <v>1163354.7106000001</v>
      </c>
      <c r="BG42">
        <v>1347226.9567</v>
      </c>
      <c r="BH42">
        <v>27223.081900000001</v>
      </c>
      <c r="BI42">
        <v>0</v>
      </c>
      <c r="BJ42">
        <v>0</v>
      </c>
      <c r="BK42">
        <v>0</v>
      </c>
      <c r="BL42">
        <v>1374450.0386000001</v>
      </c>
      <c r="BM42">
        <v>2537804.7491000001</v>
      </c>
      <c r="BN42">
        <v>0</v>
      </c>
      <c r="BO42">
        <v>0</v>
      </c>
      <c r="BP42">
        <v>2537804.7491000001</v>
      </c>
      <c r="BQ42">
        <v>2537804.7491000001</v>
      </c>
      <c r="BS42" s="20">
        <f t="shared" si="0"/>
        <v>0.45840985639756915</v>
      </c>
      <c r="BT42" s="20">
        <f t="shared" si="1"/>
        <v>0</v>
      </c>
      <c r="BU42">
        <v>1463249.4748</v>
      </c>
      <c r="BV42" s="20">
        <f t="shared" si="2"/>
        <v>0.57658079303339727</v>
      </c>
      <c r="BW42" s="41" t="str" cm="1">
        <f t="array" ref="BW42">_xlfn.IFS(BV42&gt;$BV$62,"Very High",BV42&gt;$BV$61,"High",BV42&gt;$BV$60,"Low",BV42&lt;=$BV$60,"Very Low")</f>
        <v>Low</v>
      </c>
      <c r="BX42" t="s">
        <v>482</v>
      </c>
    </row>
    <row r="43" spans="1:76">
      <c r="A43" t="s">
        <v>43</v>
      </c>
      <c r="B43" t="s">
        <v>110</v>
      </c>
      <c r="C43">
        <v>72.393500000000003</v>
      </c>
      <c r="D43">
        <v>1138.0871999999999</v>
      </c>
      <c r="E43">
        <v>129877.5866</v>
      </c>
      <c r="F43">
        <v>290289.10279999999</v>
      </c>
      <c r="G43">
        <v>65267.308199999999</v>
      </c>
      <c r="H43">
        <v>16231.2539</v>
      </c>
      <c r="I43">
        <v>2.1772999999999998</v>
      </c>
      <c r="J43">
        <v>1708.7533000000001</v>
      </c>
      <c r="K43">
        <v>7898.2259000000004</v>
      </c>
      <c r="L43">
        <v>6900.6333999999997</v>
      </c>
      <c r="M43">
        <v>105012.3414</v>
      </c>
      <c r="N43">
        <v>0</v>
      </c>
      <c r="O43">
        <v>8.3026</v>
      </c>
      <c r="P43">
        <v>421.18020000000001</v>
      </c>
      <c r="Q43">
        <v>31373.554700000001</v>
      </c>
      <c r="R43">
        <v>0</v>
      </c>
      <c r="S43">
        <v>4800.2415000000001</v>
      </c>
      <c r="T43">
        <v>1.7025999999999999</v>
      </c>
      <c r="U43">
        <v>730.84040000000005</v>
      </c>
      <c r="V43">
        <v>9677.8071</v>
      </c>
      <c r="W43">
        <v>10010.5867</v>
      </c>
      <c r="X43">
        <v>10565.5298</v>
      </c>
      <c r="Y43">
        <v>660.93949999999995</v>
      </c>
      <c r="Z43">
        <v>161.64699999999999</v>
      </c>
      <c r="AA43">
        <v>970.35350000000005</v>
      </c>
      <c r="AB43">
        <v>18.3292</v>
      </c>
      <c r="AC43">
        <v>8287.0434999999998</v>
      </c>
      <c r="AD43">
        <v>20.166599999999999</v>
      </c>
      <c r="AE43">
        <v>193.8931</v>
      </c>
      <c r="AF43">
        <v>121.3314</v>
      </c>
      <c r="AG43">
        <v>14.743</v>
      </c>
      <c r="AH43">
        <v>335.738</v>
      </c>
      <c r="AI43">
        <v>62738.276400000002</v>
      </c>
      <c r="AJ43">
        <v>86019.381200000003</v>
      </c>
      <c r="AK43">
        <v>269498.47700000001</v>
      </c>
      <c r="AL43">
        <v>11520.855299999999</v>
      </c>
      <c r="AM43">
        <v>17899.223099999999</v>
      </c>
      <c r="AN43">
        <v>7893.3244000000004</v>
      </c>
      <c r="AO43">
        <v>15439.5676</v>
      </c>
      <c r="AP43">
        <v>36328.960599999999</v>
      </c>
      <c r="AQ43">
        <v>15236.2377</v>
      </c>
      <c r="AR43">
        <v>2259.9838</v>
      </c>
      <c r="AS43">
        <v>222.96879999999999</v>
      </c>
      <c r="AT43">
        <v>147282.84599999999</v>
      </c>
      <c r="AU43">
        <v>19131.301100000001</v>
      </c>
      <c r="AV43">
        <v>195556.50529999999</v>
      </c>
      <c r="AW43">
        <v>46053.777699999999</v>
      </c>
      <c r="AX43">
        <v>1438.7375999999999</v>
      </c>
      <c r="AY43">
        <v>20327.822800000002</v>
      </c>
      <c r="AZ43">
        <v>14134.3122</v>
      </c>
      <c r="BA43">
        <v>5234.9885000000004</v>
      </c>
      <c r="BB43">
        <v>5667.9674000000005</v>
      </c>
      <c r="BC43">
        <v>10718.273300000001</v>
      </c>
      <c r="BD43">
        <v>3223.3319999999999</v>
      </c>
      <c r="BE43">
        <v>0</v>
      </c>
      <c r="BF43">
        <v>1696598.9136000001</v>
      </c>
      <c r="BG43">
        <v>727633.11800000002</v>
      </c>
      <c r="BH43">
        <v>4320.6758</v>
      </c>
      <c r="BI43">
        <v>0</v>
      </c>
      <c r="BJ43">
        <v>0</v>
      </c>
      <c r="BK43">
        <v>108708.81419999999</v>
      </c>
      <c r="BL43">
        <v>840662.60800000001</v>
      </c>
      <c r="BM43">
        <v>2537261.5216000001</v>
      </c>
      <c r="BN43">
        <v>0</v>
      </c>
      <c r="BO43">
        <v>0</v>
      </c>
      <c r="BP43">
        <v>2537261.5216000001</v>
      </c>
      <c r="BQ43">
        <v>2537261.5216000001</v>
      </c>
      <c r="BS43" s="20">
        <f t="shared" si="0"/>
        <v>0.66867325230633812</v>
      </c>
      <c r="BT43" s="20">
        <f t="shared" si="1"/>
        <v>4.2844938637404663E-2</v>
      </c>
      <c r="BU43">
        <v>1563970.3318</v>
      </c>
      <c r="BV43" s="20">
        <f t="shared" si="2"/>
        <v>0.61640091826788057</v>
      </c>
      <c r="BW43" s="41" t="str" cm="1">
        <f t="array" ref="BW43">_xlfn.IFS(BV43&gt;$BV$62,"Very High",BV43&gt;$BV$61,"High",BV43&gt;$BV$60,"Low",BV43&lt;=$BV$60,"Very Low")</f>
        <v>High</v>
      </c>
      <c r="BX43" t="s">
        <v>482</v>
      </c>
    </row>
    <row r="44" spans="1:76">
      <c r="A44" t="s">
        <v>44</v>
      </c>
      <c r="B44" t="s">
        <v>111</v>
      </c>
      <c r="C44">
        <v>8443.7684000000008</v>
      </c>
      <c r="D44">
        <v>5478.5140000000001</v>
      </c>
      <c r="E44">
        <v>112047.15</v>
      </c>
      <c r="F44">
        <v>110280.852</v>
      </c>
      <c r="G44">
        <v>72038.499100000001</v>
      </c>
      <c r="H44">
        <v>4514.5874999999996</v>
      </c>
      <c r="I44">
        <v>248.91720000000001</v>
      </c>
      <c r="J44">
        <v>1273.3891000000001</v>
      </c>
      <c r="K44">
        <v>14511.696900000001</v>
      </c>
      <c r="L44">
        <v>25391.7549</v>
      </c>
      <c r="M44">
        <v>51801.821900000003</v>
      </c>
      <c r="N44">
        <v>0</v>
      </c>
      <c r="O44">
        <v>113041.182</v>
      </c>
      <c r="P44">
        <v>875.51239999999996</v>
      </c>
      <c r="Q44">
        <v>50616.166299999997</v>
      </c>
      <c r="R44">
        <v>0.20130000000000001</v>
      </c>
      <c r="S44">
        <v>581.35019999999997</v>
      </c>
      <c r="T44">
        <v>3.4060999999999999</v>
      </c>
      <c r="U44">
        <v>6311.3379000000004</v>
      </c>
      <c r="V44">
        <v>37922.806700000001</v>
      </c>
      <c r="W44">
        <v>10764.7623</v>
      </c>
      <c r="X44">
        <v>42153.619700000003</v>
      </c>
      <c r="Y44">
        <v>5750.7678999999998</v>
      </c>
      <c r="Z44">
        <v>329.27940000000001</v>
      </c>
      <c r="AA44">
        <v>1196.2088000000001</v>
      </c>
      <c r="AB44">
        <v>32.0184</v>
      </c>
      <c r="AC44">
        <v>2869.8919000000001</v>
      </c>
      <c r="AD44">
        <v>568.61720000000003</v>
      </c>
      <c r="AE44">
        <v>5060.0677999999998</v>
      </c>
      <c r="AF44">
        <v>2393.9994999999999</v>
      </c>
      <c r="AG44">
        <v>23.0975</v>
      </c>
      <c r="AH44">
        <v>440.72899999999998</v>
      </c>
      <c r="AI44">
        <v>1135018.9032000001</v>
      </c>
      <c r="AJ44">
        <v>37182.419900000001</v>
      </c>
      <c r="AK44">
        <v>954010.94339999999</v>
      </c>
      <c r="AL44">
        <v>3924.7588999999998</v>
      </c>
      <c r="AM44">
        <v>8975.2595999999994</v>
      </c>
      <c r="AN44">
        <v>5050.3851000000004</v>
      </c>
      <c r="AO44">
        <v>6628.0294999999996</v>
      </c>
      <c r="AP44">
        <v>243423.85029999999</v>
      </c>
      <c r="AQ44">
        <v>4552.5533999999998</v>
      </c>
      <c r="AR44">
        <v>2822.1208999999999</v>
      </c>
      <c r="AS44">
        <v>12841.2348</v>
      </c>
      <c r="AT44">
        <v>40715.125</v>
      </c>
      <c r="AU44">
        <v>7994.8684999999996</v>
      </c>
      <c r="AV44">
        <v>2345.5248000000001</v>
      </c>
      <c r="AW44">
        <v>4736.0252</v>
      </c>
      <c r="AX44">
        <v>34.204599999999999</v>
      </c>
      <c r="AY44">
        <v>6578.6451999999999</v>
      </c>
      <c r="AZ44">
        <v>4683.0950999999995</v>
      </c>
      <c r="BA44">
        <v>257790.7212</v>
      </c>
      <c r="BB44">
        <v>17556.3724</v>
      </c>
      <c r="BC44">
        <v>21366.965100000001</v>
      </c>
      <c r="BD44">
        <v>19147.267899999999</v>
      </c>
      <c r="BE44">
        <v>0</v>
      </c>
      <c r="BF44">
        <v>3484345.2475000001</v>
      </c>
      <c r="BG44">
        <v>25739355.509100001</v>
      </c>
      <c r="BH44">
        <v>829502.90370000002</v>
      </c>
      <c r="BI44">
        <v>0</v>
      </c>
      <c r="BJ44">
        <v>0</v>
      </c>
      <c r="BK44">
        <v>266400.10950000002</v>
      </c>
      <c r="BL44">
        <v>26835258.522300001</v>
      </c>
      <c r="BM44">
        <v>30319603.7698</v>
      </c>
      <c r="BN44">
        <v>0</v>
      </c>
      <c r="BO44">
        <v>0</v>
      </c>
      <c r="BP44">
        <v>30319603.7698</v>
      </c>
      <c r="BQ44">
        <v>30319603.7698</v>
      </c>
      <c r="BS44" s="20">
        <f t="shared" si="0"/>
        <v>0.11492054031954733</v>
      </c>
      <c r="BT44" s="20">
        <f t="shared" si="1"/>
        <v>8.7863981179513058E-3</v>
      </c>
      <c r="BU44">
        <v>12404749.294</v>
      </c>
      <c r="BV44" s="20">
        <f t="shared" si="2"/>
        <v>0.40913296190090109</v>
      </c>
      <c r="BW44" s="41" t="str" cm="1">
        <f t="array" ref="BW44">_xlfn.IFS(BV44&gt;$BV$62,"Very High",BV44&gt;$BV$61,"High",BV44&gt;$BV$60,"Low",BV44&lt;=$BV$60,"Very Low")</f>
        <v>Low</v>
      </c>
      <c r="BX44" t="s">
        <v>482</v>
      </c>
    </row>
    <row r="45" spans="1:76">
      <c r="A45" t="s">
        <v>45</v>
      </c>
      <c r="B45" t="s">
        <v>112</v>
      </c>
      <c r="C45">
        <v>2977.3793999999998</v>
      </c>
      <c r="D45">
        <v>3744.5659999999998</v>
      </c>
      <c r="E45">
        <v>141348.76949999999</v>
      </c>
      <c r="F45">
        <v>223888.2426</v>
      </c>
      <c r="G45">
        <v>2559.5934000000002</v>
      </c>
      <c r="H45">
        <v>27444.297900000001</v>
      </c>
      <c r="I45">
        <v>613.56079999999997</v>
      </c>
      <c r="J45">
        <v>20745.8017</v>
      </c>
      <c r="K45">
        <v>6490.5033999999996</v>
      </c>
      <c r="L45">
        <v>49398.526899999997</v>
      </c>
      <c r="M45">
        <v>325802.63189999998</v>
      </c>
      <c r="N45">
        <v>0</v>
      </c>
      <c r="O45">
        <v>174748.90280000001</v>
      </c>
      <c r="P45">
        <v>47408.339399999997</v>
      </c>
      <c r="Q45">
        <v>1054980.0878000001</v>
      </c>
      <c r="R45">
        <v>0.49270000000000003</v>
      </c>
      <c r="S45">
        <v>19610.684700000002</v>
      </c>
      <c r="T45">
        <v>120.3622</v>
      </c>
      <c r="U45">
        <v>24792.507900000001</v>
      </c>
      <c r="V45">
        <v>405011.9852</v>
      </c>
      <c r="W45">
        <v>290636.43680000002</v>
      </c>
      <c r="X45">
        <v>250221.8714</v>
      </c>
      <c r="Y45">
        <v>20813.015899999999</v>
      </c>
      <c r="Z45">
        <v>823.98469999999998</v>
      </c>
      <c r="AA45">
        <v>15236.310600000001</v>
      </c>
      <c r="AB45">
        <v>217.70400000000001</v>
      </c>
      <c r="AC45">
        <v>20201.3557</v>
      </c>
      <c r="AD45">
        <v>20749.1325</v>
      </c>
      <c r="AE45">
        <v>20304.8691</v>
      </c>
      <c r="AF45">
        <v>19385.244900000002</v>
      </c>
      <c r="AG45">
        <v>153.38929999999999</v>
      </c>
      <c r="AH45">
        <v>4182.7722999999996</v>
      </c>
      <c r="AI45">
        <v>1559437.7634000001</v>
      </c>
      <c r="AJ45">
        <v>253034.5203</v>
      </c>
      <c r="AK45">
        <v>2755452.9369999999</v>
      </c>
      <c r="AL45">
        <v>21391.131799999999</v>
      </c>
      <c r="AM45">
        <v>60286.891199999998</v>
      </c>
      <c r="AN45">
        <v>26433.409800000001</v>
      </c>
      <c r="AO45">
        <v>61079.685100000002</v>
      </c>
      <c r="AP45">
        <v>244649.63149999999</v>
      </c>
      <c r="AQ45">
        <v>94195.8361</v>
      </c>
      <c r="AR45">
        <v>24683.691900000002</v>
      </c>
      <c r="AS45">
        <v>120174.2684</v>
      </c>
      <c r="AT45">
        <v>4474724.5060000001</v>
      </c>
      <c r="AU45">
        <v>211930.2648</v>
      </c>
      <c r="AV45">
        <v>259075.5001</v>
      </c>
      <c r="AW45">
        <v>47975.819799999997</v>
      </c>
      <c r="AX45">
        <v>419.16050000000001</v>
      </c>
      <c r="AY45">
        <v>292725.30219999998</v>
      </c>
      <c r="AZ45">
        <v>88931.042000000001</v>
      </c>
      <c r="BA45">
        <v>889737.0638</v>
      </c>
      <c r="BB45">
        <v>806318.25769999996</v>
      </c>
      <c r="BC45">
        <v>115581.2956</v>
      </c>
      <c r="BD45">
        <v>94291.279599999994</v>
      </c>
      <c r="BE45">
        <v>0</v>
      </c>
      <c r="BF45">
        <v>15697142.581900001</v>
      </c>
      <c r="BG45">
        <v>16547928.0385</v>
      </c>
      <c r="BH45">
        <v>1451144.8640999999</v>
      </c>
      <c r="BI45">
        <v>0</v>
      </c>
      <c r="BJ45">
        <v>0</v>
      </c>
      <c r="BK45">
        <v>293575.7414</v>
      </c>
      <c r="BL45">
        <v>18292648.644000001</v>
      </c>
      <c r="BM45">
        <v>33989791.2258</v>
      </c>
      <c r="BN45">
        <v>0</v>
      </c>
      <c r="BO45">
        <v>0</v>
      </c>
      <c r="BP45">
        <v>33989791.2258</v>
      </c>
      <c r="BQ45">
        <v>33989791.2258</v>
      </c>
      <c r="BS45" s="20">
        <f t="shared" si="0"/>
        <v>0.46181932915154422</v>
      </c>
      <c r="BT45" s="20">
        <f t="shared" si="1"/>
        <v>8.6371740105647046E-3</v>
      </c>
      <c r="BU45">
        <v>21031257.872200001</v>
      </c>
      <c r="BV45" s="20">
        <f t="shared" si="2"/>
        <v>0.61875219334198772</v>
      </c>
      <c r="BW45" s="41" t="str" cm="1">
        <f t="array" ref="BW45">_xlfn.IFS(BV45&gt;$BV$62,"Very High",BV45&gt;$BV$61,"High",BV45&gt;$BV$60,"Low",BV45&lt;=$BV$60,"Very Low")</f>
        <v>High</v>
      </c>
      <c r="BX45" t="s">
        <v>480</v>
      </c>
    </row>
    <row r="46" spans="1:76">
      <c r="A46" t="s">
        <v>46</v>
      </c>
      <c r="B46" t="s">
        <v>113</v>
      </c>
      <c r="C46">
        <v>22685.5949</v>
      </c>
      <c r="D46">
        <v>19375.784800000001</v>
      </c>
      <c r="E46">
        <v>44221.976600000002</v>
      </c>
      <c r="F46">
        <v>18613.6456</v>
      </c>
      <c r="G46">
        <v>47515.558900000004</v>
      </c>
      <c r="H46">
        <v>178659.3512</v>
      </c>
      <c r="I46">
        <v>1782.4069999999999</v>
      </c>
      <c r="J46">
        <v>15352.001099999999</v>
      </c>
      <c r="K46">
        <v>51116.552900000002</v>
      </c>
      <c r="L46">
        <v>97872.995299999995</v>
      </c>
      <c r="M46">
        <v>1002088.9814</v>
      </c>
      <c r="N46">
        <v>0</v>
      </c>
      <c r="O46">
        <v>409270.44020000001</v>
      </c>
      <c r="P46">
        <v>6076.1671999999999</v>
      </c>
      <c r="Q46">
        <v>463545.3394</v>
      </c>
      <c r="R46">
        <v>7.7999999999999996E-3</v>
      </c>
      <c r="S46">
        <v>8264.1165000000001</v>
      </c>
      <c r="T46">
        <v>19.372399999999999</v>
      </c>
      <c r="U46">
        <v>9378.2294000000002</v>
      </c>
      <c r="V46">
        <v>359006.3088</v>
      </c>
      <c r="W46">
        <v>85721.587899999999</v>
      </c>
      <c r="X46">
        <v>245703.03510000001</v>
      </c>
      <c r="Y46">
        <v>10322.465399999999</v>
      </c>
      <c r="Z46">
        <v>935.15350000000001</v>
      </c>
      <c r="AA46">
        <v>4270.5901000000003</v>
      </c>
      <c r="AB46">
        <v>185.21870000000001</v>
      </c>
      <c r="AC46">
        <v>4650.8453</v>
      </c>
      <c r="AD46">
        <v>2353.6587</v>
      </c>
      <c r="AE46">
        <v>14942.9467</v>
      </c>
      <c r="AF46">
        <v>51612.367899999997</v>
      </c>
      <c r="AG46">
        <v>453.9898</v>
      </c>
      <c r="AH46">
        <v>1310.5916999999999</v>
      </c>
      <c r="AI46">
        <v>621764.2879</v>
      </c>
      <c r="AJ46">
        <v>78216.087199999994</v>
      </c>
      <c r="AK46">
        <v>2340476.2790000001</v>
      </c>
      <c r="AL46">
        <v>16865.0082</v>
      </c>
      <c r="AM46">
        <v>42133.951000000001</v>
      </c>
      <c r="AN46">
        <v>21948.674500000001</v>
      </c>
      <c r="AO46">
        <v>6125.0892999999996</v>
      </c>
      <c r="AP46">
        <v>19753.991900000001</v>
      </c>
      <c r="AQ46">
        <v>8348.6196999999993</v>
      </c>
      <c r="AR46">
        <v>14627.349099999999</v>
      </c>
      <c r="AS46">
        <v>22116.946899999999</v>
      </c>
      <c r="AT46">
        <v>174926.21049999999</v>
      </c>
      <c r="AU46">
        <v>60228.746700000003</v>
      </c>
      <c r="AV46">
        <v>73770.556299999997</v>
      </c>
      <c r="AW46">
        <v>192517.97880000001</v>
      </c>
      <c r="AX46">
        <v>475.19729999999998</v>
      </c>
      <c r="AY46">
        <v>291777.30349999998</v>
      </c>
      <c r="AZ46">
        <v>21647.4408</v>
      </c>
      <c r="BA46">
        <v>24711.0049</v>
      </c>
      <c r="BB46">
        <v>38832.655500000001</v>
      </c>
      <c r="BC46">
        <v>19674.761200000001</v>
      </c>
      <c r="BD46">
        <v>34043.123200000002</v>
      </c>
      <c r="BE46">
        <v>0</v>
      </c>
      <c r="BF46">
        <v>7302288.5454000002</v>
      </c>
      <c r="BG46">
        <v>2475444.4298999999</v>
      </c>
      <c r="BH46">
        <v>102948.0542</v>
      </c>
      <c r="BI46">
        <v>0</v>
      </c>
      <c r="BJ46">
        <v>0</v>
      </c>
      <c r="BK46">
        <v>37923.471400000002</v>
      </c>
      <c r="BL46">
        <v>2616315.9555000002</v>
      </c>
      <c r="BM46">
        <v>9918604.5009000003</v>
      </c>
      <c r="BN46">
        <v>0</v>
      </c>
      <c r="BO46">
        <v>0</v>
      </c>
      <c r="BP46">
        <v>9918604.5009000003</v>
      </c>
      <c r="BQ46">
        <v>9918604.5009000003</v>
      </c>
      <c r="BS46" s="20">
        <f t="shared" si="0"/>
        <v>0.73622136508592517</v>
      </c>
      <c r="BT46" s="20">
        <f t="shared" si="1"/>
        <v>3.8234684522967803E-3</v>
      </c>
      <c r="BU46">
        <v>8257684.9891999997</v>
      </c>
      <c r="BV46" s="20">
        <f t="shared" si="2"/>
        <v>0.8325450408321764</v>
      </c>
      <c r="BW46" s="41" t="str" cm="1">
        <f t="array" ref="BW46">_xlfn.IFS(BV46&gt;$BV$62,"Very High",BV46&gt;$BV$61,"High",BV46&gt;$BV$60,"Low",BV46&lt;=$BV$60,"Very Low")</f>
        <v>Very High</v>
      </c>
      <c r="BX46" t="s">
        <v>480</v>
      </c>
    </row>
    <row r="47" spans="1:76">
      <c r="A47" t="s">
        <v>47</v>
      </c>
      <c r="B47" t="s">
        <v>114</v>
      </c>
      <c r="C47">
        <v>4366.4359999999997</v>
      </c>
      <c r="D47">
        <v>4043.3874999999998</v>
      </c>
      <c r="E47">
        <v>3004.6428999999998</v>
      </c>
      <c r="F47">
        <v>2857.8029000000001</v>
      </c>
      <c r="G47">
        <v>3153.8465000000001</v>
      </c>
      <c r="H47">
        <v>0</v>
      </c>
      <c r="I47">
        <v>0.93100000000000005</v>
      </c>
      <c r="J47">
        <v>4527.8344999999999</v>
      </c>
      <c r="K47">
        <v>11445.95</v>
      </c>
      <c r="L47">
        <v>128012.6896</v>
      </c>
      <c r="M47">
        <v>150568.5975</v>
      </c>
      <c r="N47">
        <v>0</v>
      </c>
      <c r="O47">
        <v>59307.607300000003</v>
      </c>
      <c r="P47">
        <v>6136.0240000000003</v>
      </c>
      <c r="Q47">
        <v>21084.535500000002</v>
      </c>
      <c r="R47">
        <v>0</v>
      </c>
      <c r="S47">
        <v>0</v>
      </c>
      <c r="T47">
        <v>7.2560000000000002</v>
      </c>
      <c r="U47">
        <v>4078.1666</v>
      </c>
      <c r="V47">
        <v>14714.6127</v>
      </c>
      <c r="W47">
        <v>17512.751100000001</v>
      </c>
      <c r="X47">
        <v>12588.5281</v>
      </c>
      <c r="Y47">
        <v>18.731400000000001</v>
      </c>
      <c r="Z47">
        <v>54.124499999999998</v>
      </c>
      <c r="AA47">
        <v>18.3157</v>
      </c>
      <c r="AB47">
        <v>12.400600000000001</v>
      </c>
      <c r="AC47">
        <v>3104.326</v>
      </c>
      <c r="AD47">
        <v>6.4690000000000003</v>
      </c>
      <c r="AE47">
        <v>747.03369999999995</v>
      </c>
      <c r="AF47">
        <v>265.17270000000002</v>
      </c>
      <c r="AG47">
        <v>14.3566</v>
      </c>
      <c r="AH47">
        <v>3.2677999999999998</v>
      </c>
      <c r="AI47">
        <v>198647.1923</v>
      </c>
      <c r="AJ47">
        <v>85415.293399999995</v>
      </c>
      <c r="AK47">
        <v>283977.77360000001</v>
      </c>
      <c r="AL47">
        <v>715.90449999999998</v>
      </c>
      <c r="AM47">
        <v>2962.1165000000001</v>
      </c>
      <c r="AN47">
        <v>12222.285900000001</v>
      </c>
      <c r="AO47">
        <v>18286.209599999998</v>
      </c>
      <c r="AP47">
        <v>47149.578200000004</v>
      </c>
      <c r="AQ47">
        <v>20177.837599999999</v>
      </c>
      <c r="AR47">
        <v>2187.0608000000002</v>
      </c>
      <c r="AS47">
        <v>14646.3133</v>
      </c>
      <c r="AT47">
        <v>59556.648000000001</v>
      </c>
      <c r="AU47">
        <v>61902.377999999997</v>
      </c>
      <c r="AV47">
        <v>51607.069199999998</v>
      </c>
      <c r="AW47">
        <v>28824.497899999998</v>
      </c>
      <c r="AX47">
        <v>379.84679999999997</v>
      </c>
      <c r="AY47">
        <v>41441.417600000001</v>
      </c>
      <c r="AZ47">
        <v>5835.51</v>
      </c>
      <c r="BA47">
        <v>50439.506800000003</v>
      </c>
      <c r="BB47">
        <v>10018.2399</v>
      </c>
      <c r="BC47">
        <v>18749.237099999998</v>
      </c>
      <c r="BD47">
        <v>3008.6632</v>
      </c>
      <c r="BE47">
        <v>0</v>
      </c>
      <c r="BF47">
        <v>1469806.3777999999</v>
      </c>
      <c r="BG47">
        <v>3520907.8306</v>
      </c>
      <c r="BH47">
        <v>0</v>
      </c>
      <c r="BI47">
        <v>0</v>
      </c>
      <c r="BJ47">
        <v>0</v>
      </c>
      <c r="BK47">
        <v>23390.845300000001</v>
      </c>
      <c r="BL47">
        <v>3544298.6759000001</v>
      </c>
      <c r="BM47">
        <v>5014105.0537</v>
      </c>
      <c r="BN47">
        <v>0</v>
      </c>
      <c r="BO47">
        <v>0</v>
      </c>
      <c r="BP47">
        <v>5014105.0537</v>
      </c>
      <c r="BQ47">
        <v>5014105.0537</v>
      </c>
      <c r="BS47" s="20">
        <f t="shared" si="0"/>
        <v>0.29313434043736336</v>
      </c>
      <c r="BT47" s="20">
        <f t="shared" si="1"/>
        <v>4.6650090194539241E-3</v>
      </c>
      <c r="BU47">
        <v>3359774.3964</v>
      </c>
      <c r="BV47" s="20">
        <f t="shared" si="2"/>
        <v>0.67006461979107534</v>
      </c>
      <c r="BW47" s="41" t="str" cm="1">
        <f t="array" ref="BW47">_xlfn.IFS(BV47&gt;$BV$62,"Very High",BV47&gt;$BV$61,"High",BV47&gt;$BV$60,"Low",BV47&lt;=$BV$60,"Very Low")</f>
        <v>High</v>
      </c>
      <c r="BX47" t="s">
        <v>476</v>
      </c>
    </row>
    <row r="48" spans="1:76">
      <c r="A48" t="s">
        <v>48</v>
      </c>
      <c r="B48" t="s">
        <v>115</v>
      </c>
      <c r="C48">
        <v>23805.298200000001</v>
      </c>
      <c r="D48">
        <v>35546.215400000001</v>
      </c>
      <c r="E48">
        <v>6309.7843999999996</v>
      </c>
      <c r="F48">
        <v>1296.2963999999999</v>
      </c>
      <c r="G48">
        <v>7682.8652000000002</v>
      </c>
      <c r="H48">
        <v>6908.8631999999998</v>
      </c>
      <c r="I48">
        <v>210.94470000000001</v>
      </c>
      <c r="J48">
        <v>5640.1139000000003</v>
      </c>
      <c r="K48">
        <v>5994.8549000000003</v>
      </c>
      <c r="L48">
        <v>15596.457</v>
      </c>
      <c r="M48">
        <v>123366.0539</v>
      </c>
      <c r="N48">
        <v>0</v>
      </c>
      <c r="O48">
        <v>3971.1217000000001</v>
      </c>
      <c r="P48">
        <v>216.02500000000001</v>
      </c>
      <c r="Q48">
        <v>38931.796399999999</v>
      </c>
      <c r="R48">
        <v>0</v>
      </c>
      <c r="S48">
        <v>2746.3002999999999</v>
      </c>
      <c r="T48">
        <v>15.8445</v>
      </c>
      <c r="U48">
        <v>2597.1388999999999</v>
      </c>
      <c r="V48">
        <v>91794.984700000001</v>
      </c>
      <c r="W48">
        <v>24559.4031</v>
      </c>
      <c r="X48">
        <v>32529.3272</v>
      </c>
      <c r="Y48">
        <v>953.95169999999996</v>
      </c>
      <c r="Z48">
        <v>78.346800000000002</v>
      </c>
      <c r="AA48">
        <v>2461.3597</v>
      </c>
      <c r="AB48">
        <v>30.3459</v>
      </c>
      <c r="AC48">
        <v>2535.7815999999998</v>
      </c>
      <c r="AD48">
        <v>2.4016999999999999</v>
      </c>
      <c r="AE48">
        <v>2427.1898000000001</v>
      </c>
      <c r="AF48">
        <v>24863.2392</v>
      </c>
      <c r="AG48">
        <v>0.36849999999999999</v>
      </c>
      <c r="AH48">
        <v>427.48809999999997</v>
      </c>
      <c r="AI48">
        <v>80496.820099999997</v>
      </c>
      <c r="AJ48">
        <v>116360.63340000001</v>
      </c>
      <c r="AK48">
        <v>655319.93079999997</v>
      </c>
      <c r="AL48">
        <v>12.429399999999999</v>
      </c>
      <c r="AM48">
        <v>18314.423200000001</v>
      </c>
      <c r="AN48">
        <v>3492.1734000000001</v>
      </c>
      <c r="AO48">
        <v>10.7128</v>
      </c>
      <c r="AP48">
        <v>8212.7459999999992</v>
      </c>
      <c r="AQ48">
        <v>5751.8617999999997</v>
      </c>
      <c r="AR48">
        <v>3563.6918000000001</v>
      </c>
      <c r="AS48">
        <v>17207.5478</v>
      </c>
      <c r="AT48">
        <v>62884.497100000001</v>
      </c>
      <c r="AU48">
        <v>5147.7371999999996</v>
      </c>
      <c r="AV48">
        <v>177790.05050000001</v>
      </c>
      <c r="AW48">
        <v>152475.3898</v>
      </c>
      <c r="AX48">
        <v>347.30220000000003</v>
      </c>
      <c r="AY48">
        <v>88991.268100000001</v>
      </c>
      <c r="AZ48">
        <v>13114.6423</v>
      </c>
      <c r="BA48">
        <v>33929.103199999998</v>
      </c>
      <c r="BB48">
        <v>33390.7425</v>
      </c>
      <c r="BC48">
        <v>22766.863600000001</v>
      </c>
      <c r="BD48">
        <v>16950.723300000001</v>
      </c>
      <c r="BE48">
        <v>0</v>
      </c>
      <c r="BF48">
        <v>1980031.4524999999</v>
      </c>
      <c r="BG48">
        <v>465198.45669999998</v>
      </c>
      <c r="BH48">
        <v>5.3323</v>
      </c>
      <c r="BI48">
        <v>0</v>
      </c>
      <c r="BJ48">
        <v>0</v>
      </c>
      <c r="BK48">
        <v>653.28800000000001</v>
      </c>
      <c r="BL48">
        <v>465857.07699999999</v>
      </c>
      <c r="BM48">
        <v>2445888.5295000002</v>
      </c>
      <c r="BN48">
        <v>0</v>
      </c>
      <c r="BO48">
        <v>0</v>
      </c>
      <c r="BP48">
        <v>2445888.5295000002</v>
      </c>
      <c r="BQ48">
        <v>2445888.5295000002</v>
      </c>
      <c r="BS48" s="20">
        <f t="shared" si="0"/>
        <v>0.80953462458273484</v>
      </c>
      <c r="BT48" s="20">
        <f t="shared" si="1"/>
        <v>2.6709639140159351E-4</v>
      </c>
      <c r="BU48">
        <v>1584157.4489</v>
      </c>
      <c r="BV48" s="20">
        <f t="shared" si="2"/>
        <v>0.64768178508275709</v>
      </c>
      <c r="BW48" s="41" t="str" cm="1">
        <f t="array" ref="BW48">_xlfn.IFS(BV48&gt;$BV$62,"Very High",BV48&gt;$BV$61,"High",BV48&gt;$BV$60,"Low",BV48&lt;=$BV$60,"Very Low")</f>
        <v>High</v>
      </c>
      <c r="BX48" t="s">
        <v>476</v>
      </c>
    </row>
    <row r="49" spans="1:76">
      <c r="A49" t="s">
        <v>49</v>
      </c>
      <c r="B49" t="s">
        <v>116</v>
      </c>
      <c r="C49">
        <v>73.364099999999993</v>
      </c>
      <c r="D49">
        <v>3.7090999999999998</v>
      </c>
      <c r="E49">
        <v>1387.2593999999999</v>
      </c>
      <c r="F49">
        <v>5984.8504000000003</v>
      </c>
      <c r="G49">
        <v>223.20859999999999</v>
      </c>
      <c r="H49">
        <v>52.835000000000001</v>
      </c>
      <c r="I49">
        <v>9.4000000000000004E-3</v>
      </c>
      <c r="J49">
        <v>5.5609000000000002</v>
      </c>
      <c r="K49">
        <v>25.706700000000001</v>
      </c>
      <c r="L49">
        <v>22.464700000000001</v>
      </c>
      <c r="M49">
        <v>341.84930000000003</v>
      </c>
      <c r="N49">
        <v>0</v>
      </c>
      <c r="O49">
        <v>2.1999999999999999E-2</v>
      </c>
      <c r="P49">
        <v>1.3687</v>
      </c>
      <c r="Q49">
        <v>102.137</v>
      </c>
      <c r="R49">
        <v>0</v>
      </c>
      <c r="S49">
        <v>15.6304</v>
      </c>
      <c r="T49">
        <v>9.4999999999999998E-3</v>
      </c>
      <c r="U49">
        <v>2.3748</v>
      </c>
      <c r="V49">
        <v>31.5108</v>
      </c>
      <c r="W49">
        <v>32.586599999999997</v>
      </c>
      <c r="X49">
        <v>34.395000000000003</v>
      </c>
      <c r="Y49">
        <v>2.1539000000000001</v>
      </c>
      <c r="Z49">
        <v>0.52239999999999998</v>
      </c>
      <c r="AA49">
        <v>3.1583000000000001</v>
      </c>
      <c r="AB49">
        <v>5.8299999999999998E-2</v>
      </c>
      <c r="AC49">
        <v>26.9773</v>
      </c>
      <c r="AD49">
        <v>6.6799999999999998E-2</v>
      </c>
      <c r="AE49">
        <v>0.63060000000000005</v>
      </c>
      <c r="AF49">
        <v>0.39950000000000002</v>
      </c>
      <c r="AG49">
        <v>0.05</v>
      </c>
      <c r="AH49">
        <v>1.0934999999999999</v>
      </c>
      <c r="AI49">
        <v>204.2345</v>
      </c>
      <c r="AJ49">
        <v>280.02760000000001</v>
      </c>
      <c r="AK49">
        <v>877.31039999999996</v>
      </c>
      <c r="AL49">
        <v>37.514200000000002</v>
      </c>
      <c r="AM49">
        <v>58.265700000000002</v>
      </c>
      <c r="AN49">
        <v>25.6938</v>
      </c>
      <c r="AO49">
        <v>50.266399999999997</v>
      </c>
      <c r="AP49">
        <v>118.2702</v>
      </c>
      <c r="AQ49">
        <v>49.593499999999999</v>
      </c>
      <c r="AR49">
        <v>7.3502000000000001</v>
      </c>
      <c r="AS49">
        <v>0.72089999999999999</v>
      </c>
      <c r="AT49">
        <v>479.46260000000001</v>
      </c>
      <c r="AU49">
        <v>62.273600000000002</v>
      </c>
      <c r="AV49">
        <v>636.6087</v>
      </c>
      <c r="AW49">
        <v>149.91759999999999</v>
      </c>
      <c r="AX49">
        <v>4.6797000000000004</v>
      </c>
      <c r="AY49">
        <v>66.171700000000001</v>
      </c>
      <c r="AZ49">
        <v>46.011699999999998</v>
      </c>
      <c r="BA49">
        <v>17.045200000000001</v>
      </c>
      <c r="BB49">
        <v>18.445699999999999</v>
      </c>
      <c r="BC49">
        <v>34.893500000000003</v>
      </c>
      <c r="BD49">
        <v>10.4962</v>
      </c>
      <c r="BE49">
        <v>0</v>
      </c>
      <c r="BF49">
        <v>11611.2168</v>
      </c>
      <c r="BG49">
        <v>4035.6725000000001</v>
      </c>
      <c r="BH49">
        <v>0</v>
      </c>
      <c r="BI49">
        <v>0</v>
      </c>
      <c r="BJ49">
        <v>0</v>
      </c>
      <c r="BK49">
        <v>0</v>
      </c>
      <c r="BL49">
        <v>4035.6725000000001</v>
      </c>
      <c r="BM49">
        <v>15646.8894</v>
      </c>
      <c r="BN49">
        <v>0</v>
      </c>
      <c r="BO49">
        <v>0</v>
      </c>
      <c r="BP49">
        <v>15646.8894</v>
      </c>
      <c r="BQ49">
        <v>15646.8894</v>
      </c>
      <c r="BS49" s="20">
        <f t="shared" si="0"/>
        <v>0.74207828170626677</v>
      </c>
      <c r="BT49" s="20">
        <f t="shared" si="1"/>
        <v>0</v>
      </c>
      <c r="BU49">
        <v>9744.3904999999995</v>
      </c>
      <c r="BV49" s="20">
        <f t="shared" si="2"/>
        <v>0.62276854209757493</v>
      </c>
      <c r="BW49" s="41" t="str" cm="1">
        <f t="array" ref="BW49">_xlfn.IFS(BV49&gt;$BV$62,"Very High",BV49&gt;$BV$61,"High",BV49&gt;$BV$60,"Low",BV49&lt;=$BV$60,"Very Low")</f>
        <v>High</v>
      </c>
      <c r="BX49" t="s">
        <v>476</v>
      </c>
    </row>
    <row r="50" spans="1:76">
      <c r="A50" t="s">
        <v>50</v>
      </c>
      <c r="B50" t="s">
        <v>117</v>
      </c>
      <c r="C50">
        <v>0</v>
      </c>
      <c r="D50">
        <v>0</v>
      </c>
      <c r="E50">
        <v>0</v>
      </c>
      <c r="F50">
        <v>0</v>
      </c>
      <c r="G50">
        <v>0</v>
      </c>
      <c r="H50">
        <v>0</v>
      </c>
      <c r="I50">
        <v>0</v>
      </c>
      <c r="J50">
        <v>0</v>
      </c>
      <c r="K50">
        <v>0</v>
      </c>
      <c r="L50">
        <v>20317.050299999999</v>
      </c>
      <c r="M50">
        <v>597193.60309999995</v>
      </c>
      <c r="N50">
        <v>0</v>
      </c>
      <c r="O50">
        <v>62263.908100000001</v>
      </c>
      <c r="P50">
        <v>7287.4062999999996</v>
      </c>
      <c r="Q50">
        <v>64255.565000000002</v>
      </c>
      <c r="R50">
        <v>0</v>
      </c>
      <c r="S50">
        <v>1565.2401</v>
      </c>
      <c r="T50">
        <v>12.047599999999999</v>
      </c>
      <c r="U50">
        <v>2547.6188000000002</v>
      </c>
      <c r="V50">
        <v>55314.488299999997</v>
      </c>
      <c r="W50">
        <v>17628.833600000002</v>
      </c>
      <c r="X50">
        <v>70944.826499999996</v>
      </c>
      <c r="Y50">
        <v>4578.0838999999996</v>
      </c>
      <c r="Z50">
        <v>299.52859999999998</v>
      </c>
      <c r="AA50">
        <v>4358.7137000000002</v>
      </c>
      <c r="AB50">
        <v>0</v>
      </c>
      <c r="AC50">
        <v>3351.3173999999999</v>
      </c>
      <c r="AD50">
        <v>2089.0628999999999</v>
      </c>
      <c r="AE50">
        <v>1551.7029</v>
      </c>
      <c r="AF50">
        <v>0</v>
      </c>
      <c r="AG50">
        <v>0</v>
      </c>
      <c r="AH50">
        <v>4040.2561999999998</v>
      </c>
      <c r="AI50">
        <v>226833.06299999999</v>
      </c>
      <c r="AJ50">
        <v>269862.96970000002</v>
      </c>
      <c r="AK50">
        <v>2434590.3650000002</v>
      </c>
      <c r="AL50">
        <v>42625.539400000001</v>
      </c>
      <c r="AM50">
        <v>24584.520799999998</v>
      </c>
      <c r="AN50">
        <v>3739.1118999999999</v>
      </c>
      <c r="AO50">
        <v>9228.4310999999998</v>
      </c>
      <c r="AP50">
        <v>29424.606800000001</v>
      </c>
      <c r="AQ50">
        <v>12264.6921</v>
      </c>
      <c r="AR50">
        <v>4037.7874999999999</v>
      </c>
      <c r="AS50">
        <v>25858.497899999998</v>
      </c>
      <c r="AT50">
        <v>225312.883</v>
      </c>
      <c r="AU50">
        <v>52435.0409</v>
      </c>
      <c r="AV50">
        <v>37151.471299999997</v>
      </c>
      <c r="AW50">
        <v>10052.090399999999</v>
      </c>
      <c r="AX50">
        <v>107.5731</v>
      </c>
      <c r="AY50">
        <v>46434.0412</v>
      </c>
      <c r="AZ50">
        <v>13242.7811</v>
      </c>
      <c r="BA50">
        <v>54338.195200000002</v>
      </c>
      <c r="BB50">
        <v>192149.89739999999</v>
      </c>
      <c r="BC50">
        <v>38939.535300000003</v>
      </c>
      <c r="BD50">
        <v>78577.313399999999</v>
      </c>
      <c r="BE50">
        <v>0</v>
      </c>
      <c r="BF50">
        <v>4751389.6610000003</v>
      </c>
      <c r="BG50">
        <v>20261579.1525</v>
      </c>
      <c r="BH50">
        <v>0</v>
      </c>
      <c r="BI50">
        <v>0</v>
      </c>
      <c r="BJ50">
        <v>0</v>
      </c>
      <c r="BK50">
        <v>109179.0353</v>
      </c>
      <c r="BL50">
        <v>20370758.187800001</v>
      </c>
      <c r="BM50">
        <v>25122147.8488</v>
      </c>
      <c r="BN50">
        <v>0</v>
      </c>
      <c r="BO50">
        <v>0</v>
      </c>
      <c r="BP50">
        <v>25122147.8488</v>
      </c>
      <c r="BQ50">
        <v>25122147.8488</v>
      </c>
      <c r="BS50" s="20">
        <f t="shared" si="0"/>
        <v>0.18913150617521576</v>
      </c>
      <c r="BT50" s="20">
        <f t="shared" si="1"/>
        <v>4.3459275837840084E-3</v>
      </c>
      <c r="BU50">
        <v>20580129.695999999</v>
      </c>
      <c r="BV50" s="20">
        <f t="shared" si="2"/>
        <v>0.81920263425975504</v>
      </c>
      <c r="BW50" s="41" t="str" cm="1">
        <f t="array" ref="BW50">_xlfn.IFS(BV50&gt;$BV$62,"Very High",BV50&gt;$BV$61,"High",BV50&gt;$BV$60,"Low",BV50&lt;=$BV$60,"Very Low")</f>
        <v>Very High</v>
      </c>
      <c r="BX50" t="s">
        <v>476</v>
      </c>
    </row>
    <row r="51" spans="1:76">
      <c r="A51" t="s">
        <v>51</v>
      </c>
      <c r="B51" t="s">
        <v>118</v>
      </c>
      <c r="C51">
        <v>5322.9498000000003</v>
      </c>
      <c r="D51">
        <v>2861.7950999999998</v>
      </c>
      <c r="E51">
        <v>77841.8655</v>
      </c>
      <c r="F51">
        <v>26813.078099999999</v>
      </c>
      <c r="G51">
        <v>229.3064</v>
      </c>
      <c r="H51">
        <v>31745.778399999999</v>
      </c>
      <c r="I51">
        <v>123.9923</v>
      </c>
      <c r="J51">
        <v>6537.7595000000001</v>
      </c>
      <c r="K51">
        <v>3895.6581000000001</v>
      </c>
      <c r="L51">
        <v>42030.85</v>
      </c>
      <c r="M51">
        <v>77653.770699999994</v>
      </c>
      <c r="N51">
        <v>0</v>
      </c>
      <c r="O51">
        <v>21385.1237</v>
      </c>
      <c r="P51">
        <v>5645.1021000000001</v>
      </c>
      <c r="Q51">
        <v>17671.790400000002</v>
      </c>
      <c r="R51">
        <v>7.7999999999999996E-3</v>
      </c>
      <c r="S51">
        <v>437.27120000000002</v>
      </c>
      <c r="T51">
        <v>2.4451999999999998</v>
      </c>
      <c r="U51">
        <v>1035.2762</v>
      </c>
      <c r="V51">
        <v>15272.8112</v>
      </c>
      <c r="W51">
        <v>4430.0012999999999</v>
      </c>
      <c r="X51">
        <v>10069.7914</v>
      </c>
      <c r="Y51">
        <v>1840.6597999999999</v>
      </c>
      <c r="Z51">
        <v>49.3626</v>
      </c>
      <c r="AA51">
        <v>772.37369999999999</v>
      </c>
      <c r="AB51">
        <v>8.6486000000000001</v>
      </c>
      <c r="AC51">
        <v>1371.2560000000001</v>
      </c>
      <c r="AD51">
        <v>349.40280000000001</v>
      </c>
      <c r="AE51">
        <v>350.42779999999999</v>
      </c>
      <c r="AF51">
        <v>12123.4663</v>
      </c>
      <c r="AG51">
        <v>56.035400000000003</v>
      </c>
      <c r="AH51">
        <v>661.17409999999995</v>
      </c>
      <c r="AI51">
        <v>111381.49370000001</v>
      </c>
      <c r="AJ51">
        <v>23691.841100000001</v>
      </c>
      <c r="AK51">
        <v>117343.4023</v>
      </c>
      <c r="AL51">
        <v>4415.2996000000003</v>
      </c>
      <c r="AM51">
        <v>22071.712100000001</v>
      </c>
      <c r="AN51">
        <v>4606.2602999999999</v>
      </c>
      <c r="AO51">
        <v>2673.0765000000001</v>
      </c>
      <c r="AP51">
        <v>37555.516600000003</v>
      </c>
      <c r="AQ51">
        <v>5157.8091999999997</v>
      </c>
      <c r="AR51">
        <v>1319.4119000000001</v>
      </c>
      <c r="AS51">
        <v>4781.1408000000001</v>
      </c>
      <c r="AT51">
        <v>34911.393499999998</v>
      </c>
      <c r="AU51">
        <v>33517.059200000003</v>
      </c>
      <c r="AV51">
        <v>14365.825999999999</v>
      </c>
      <c r="AW51">
        <v>4626.4795999999997</v>
      </c>
      <c r="AX51">
        <v>24.55</v>
      </c>
      <c r="AY51">
        <v>22120.464</v>
      </c>
      <c r="AZ51">
        <v>3169.3126000000002</v>
      </c>
      <c r="BA51">
        <v>71480.527400000006</v>
      </c>
      <c r="BB51">
        <v>31752.156999999999</v>
      </c>
      <c r="BC51">
        <v>2472.2265000000002</v>
      </c>
      <c r="BD51">
        <v>3483.4838</v>
      </c>
      <c r="BE51">
        <v>0</v>
      </c>
      <c r="BF51">
        <v>925509.67489999998</v>
      </c>
      <c r="BG51">
        <v>252593.11749999999</v>
      </c>
      <c r="BH51">
        <v>54993.633699999998</v>
      </c>
      <c r="BI51">
        <v>0</v>
      </c>
      <c r="BJ51">
        <v>0</v>
      </c>
      <c r="BK51">
        <v>54148.341</v>
      </c>
      <c r="BL51">
        <v>361735.09220000001</v>
      </c>
      <c r="BM51">
        <v>1287244.7671000001</v>
      </c>
      <c r="BN51">
        <v>0</v>
      </c>
      <c r="BO51">
        <v>0</v>
      </c>
      <c r="BP51">
        <v>1287244.7671000001</v>
      </c>
      <c r="BQ51">
        <v>1287244.7671000001</v>
      </c>
      <c r="BS51" s="20">
        <f t="shared" si="0"/>
        <v>0.71898499691325712</v>
      </c>
      <c r="BT51" s="20">
        <f t="shared" si="1"/>
        <v>4.2065302873197437E-2</v>
      </c>
      <c r="BU51">
        <v>726780.17440000002</v>
      </c>
      <c r="BV51" s="20">
        <f t="shared" si="2"/>
        <v>0.56460138194023812</v>
      </c>
      <c r="BW51" s="41" t="str" cm="1">
        <f t="array" ref="BW51">_xlfn.IFS(BV51&gt;$BV$62,"Very High",BV51&gt;$BV$61,"High",BV51&gt;$BV$60,"Low",BV51&lt;=$BV$60,"Very Low")</f>
        <v>Low</v>
      </c>
      <c r="BX51" t="s">
        <v>476</v>
      </c>
    </row>
    <row r="52" spans="1:76">
      <c r="A52" t="s">
        <v>52</v>
      </c>
      <c r="B52" t="s">
        <v>119</v>
      </c>
      <c r="C52">
        <v>0</v>
      </c>
      <c r="D52">
        <v>0</v>
      </c>
      <c r="E52">
        <v>0</v>
      </c>
      <c r="F52">
        <v>0</v>
      </c>
      <c r="G52">
        <v>3279.4668999999999</v>
      </c>
      <c r="H52">
        <v>0</v>
      </c>
      <c r="I52">
        <v>0</v>
      </c>
      <c r="J52">
        <v>0</v>
      </c>
      <c r="K52">
        <v>0</v>
      </c>
      <c r="L52">
        <v>123420.1278</v>
      </c>
      <c r="M52">
        <v>545236.65390000003</v>
      </c>
      <c r="N52">
        <v>0</v>
      </c>
      <c r="O52">
        <v>0</v>
      </c>
      <c r="P52">
        <v>15660.6157</v>
      </c>
      <c r="Q52">
        <v>50006.758300000001</v>
      </c>
      <c r="R52">
        <v>0</v>
      </c>
      <c r="S52">
        <v>2212.6403</v>
      </c>
      <c r="T52">
        <v>0</v>
      </c>
      <c r="U52">
        <v>0</v>
      </c>
      <c r="V52">
        <v>88978.211200000005</v>
      </c>
      <c r="W52">
        <v>34183.124499999998</v>
      </c>
      <c r="X52">
        <v>105286.38159999999</v>
      </c>
      <c r="Y52">
        <v>0</v>
      </c>
      <c r="Z52">
        <v>0</v>
      </c>
      <c r="AA52">
        <v>0</v>
      </c>
      <c r="AB52">
        <v>0</v>
      </c>
      <c r="AC52">
        <v>7744.6628000000001</v>
      </c>
      <c r="AD52">
        <v>0</v>
      </c>
      <c r="AE52">
        <v>0</v>
      </c>
      <c r="AF52">
        <v>7037.9942000000001</v>
      </c>
      <c r="AG52">
        <v>0.66310000000000002</v>
      </c>
      <c r="AH52">
        <v>22861.434000000001</v>
      </c>
      <c r="AI52">
        <v>778108.15529999998</v>
      </c>
      <c r="AJ52">
        <v>1858.405</v>
      </c>
      <c r="AK52">
        <v>13238.4262</v>
      </c>
      <c r="AL52">
        <v>707876.42610000004</v>
      </c>
      <c r="AM52">
        <v>20974.1086</v>
      </c>
      <c r="AN52">
        <v>7838.3167000000003</v>
      </c>
      <c r="AO52">
        <v>2805.0771</v>
      </c>
      <c r="AP52">
        <v>22540.889500000001</v>
      </c>
      <c r="AQ52">
        <v>309.63560000000001</v>
      </c>
      <c r="AR52">
        <v>4697.5663000000004</v>
      </c>
      <c r="AS52">
        <v>76160.189199999993</v>
      </c>
      <c r="AT52">
        <v>841385.21499999997</v>
      </c>
      <c r="AU52">
        <v>25422.153200000001</v>
      </c>
      <c r="AV52">
        <v>27186.7281</v>
      </c>
      <c r="AW52">
        <v>8838.3747000000003</v>
      </c>
      <c r="AX52">
        <v>13.244400000000001</v>
      </c>
      <c r="AY52">
        <v>225490.47930000001</v>
      </c>
      <c r="AZ52">
        <v>9427.4660999999996</v>
      </c>
      <c r="BA52">
        <v>88113.052899999995</v>
      </c>
      <c r="BB52">
        <v>36002.580800000003</v>
      </c>
      <c r="BC52">
        <v>17435.850299999998</v>
      </c>
      <c r="BD52">
        <v>573.09270000000004</v>
      </c>
      <c r="BE52">
        <v>0</v>
      </c>
      <c r="BF52">
        <v>3922204.1674000002</v>
      </c>
      <c r="BG52">
        <v>32188.4686</v>
      </c>
      <c r="BH52">
        <v>23051668.422800001</v>
      </c>
      <c r="BI52">
        <v>0</v>
      </c>
      <c r="BJ52">
        <v>0</v>
      </c>
      <c r="BK52">
        <v>8816.2191999999995</v>
      </c>
      <c r="BL52">
        <v>23092673.1105</v>
      </c>
      <c r="BM52">
        <v>27014877.277899999</v>
      </c>
      <c r="BN52">
        <v>0</v>
      </c>
      <c r="BO52">
        <v>0</v>
      </c>
      <c r="BP52">
        <v>27014877.277899999</v>
      </c>
      <c r="BQ52">
        <v>27014877.277899999</v>
      </c>
      <c r="BS52" s="20">
        <f t="shared" si="0"/>
        <v>0.14518682158177446</v>
      </c>
      <c r="BT52" s="20">
        <f t="shared" si="1"/>
        <v>3.2634681658214542E-4</v>
      </c>
      <c r="BU52">
        <v>16676072.775800001</v>
      </c>
      <c r="BV52" s="20">
        <f t="shared" si="2"/>
        <v>0.61729219067902852</v>
      </c>
      <c r="BW52" s="41" t="str" cm="1">
        <f t="array" ref="BW52">_xlfn.IFS(BV52&gt;$BV$62,"Very High",BV52&gt;$BV$61,"High",BV52&gt;$BV$60,"Low",BV52&lt;=$BV$60,"Very Low")</f>
        <v>High</v>
      </c>
      <c r="BX52" t="s">
        <v>476</v>
      </c>
    </row>
    <row r="53" spans="1:76">
      <c r="A53" t="s">
        <v>53</v>
      </c>
      <c r="B53" t="s">
        <v>120</v>
      </c>
      <c r="C53">
        <v>116.88160000000001</v>
      </c>
      <c r="D53">
        <v>72.541200000000003</v>
      </c>
      <c r="E53">
        <v>0</v>
      </c>
      <c r="F53">
        <v>0</v>
      </c>
      <c r="G53">
        <v>8.1664999999999992</v>
      </c>
      <c r="H53">
        <v>240.28620000000001</v>
      </c>
      <c r="I53">
        <v>22.7197</v>
      </c>
      <c r="J53">
        <v>39.877899999999997</v>
      </c>
      <c r="K53">
        <v>89.261099999999999</v>
      </c>
      <c r="L53">
        <v>501.73770000000002</v>
      </c>
      <c r="M53">
        <v>13725.759</v>
      </c>
      <c r="N53">
        <v>0</v>
      </c>
      <c r="O53">
        <v>428.8168</v>
      </c>
      <c r="P53">
        <v>221.22980000000001</v>
      </c>
      <c r="Q53">
        <v>5197.4413000000004</v>
      </c>
      <c r="R53">
        <v>1.72E-2</v>
      </c>
      <c r="S53">
        <v>103.3844</v>
      </c>
      <c r="T53">
        <v>0.2407</v>
      </c>
      <c r="U53">
        <v>104.75020000000001</v>
      </c>
      <c r="V53">
        <v>4607.4376000000002</v>
      </c>
      <c r="W53">
        <v>1804.7103</v>
      </c>
      <c r="X53">
        <v>2050.5778</v>
      </c>
      <c r="Y53">
        <v>396.07850000000002</v>
      </c>
      <c r="Z53">
        <v>18.7532</v>
      </c>
      <c r="AA53">
        <v>100.6823</v>
      </c>
      <c r="AB53">
        <v>3.4679000000000002</v>
      </c>
      <c r="AC53">
        <v>139.86340000000001</v>
      </c>
      <c r="AD53">
        <v>15.5114</v>
      </c>
      <c r="AE53">
        <v>36.6098</v>
      </c>
      <c r="AF53">
        <v>359.20690000000002</v>
      </c>
      <c r="AG53">
        <v>1.7935000000000001</v>
      </c>
      <c r="AH53">
        <v>88.354200000000006</v>
      </c>
      <c r="AI53">
        <v>33249.477800000001</v>
      </c>
      <c r="AJ53">
        <v>745.92219999999998</v>
      </c>
      <c r="AK53">
        <v>35356.058199999999</v>
      </c>
      <c r="AL53">
        <v>3121.9863</v>
      </c>
      <c r="AM53">
        <v>1388.328</v>
      </c>
      <c r="AN53">
        <v>40.685400000000001</v>
      </c>
      <c r="AO53">
        <v>147.2242</v>
      </c>
      <c r="AP53">
        <v>1941.5029999999999</v>
      </c>
      <c r="AQ53">
        <v>683.30880000000002</v>
      </c>
      <c r="AR53">
        <v>636.08860000000004</v>
      </c>
      <c r="AS53">
        <v>826.15710000000001</v>
      </c>
      <c r="AT53">
        <v>9562.9393</v>
      </c>
      <c r="AU53">
        <v>63348.885300000002</v>
      </c>
      <c r="AV53">
        <v>5312.3909999999996</v>
      </c>
      <c r="AW53">
        <v>1230.288</v>
      </c>
      <c r="AX53">
        <v>7.3118999999999996</v>
      </c>
      <c r="AY53">
        <v>106.6127</v>
      </c>
      <c r="AZ53">
        <v>261.19740000000002</v>
      </c>
      <c r="BA53">
        <v>10951.1818</v>
      </c>
      <c r="BB53">
        <v>46343.369400000003</v>
      </c>
      <c r="BC53">
        <v>4879.6499999999996</v>
      </c>
      <c r="BD53">
        <v>6574.0052999999998</v>
      </c>
      <c r="BE53">
        <v>0</v>
      </c>
      <c r="BF53">
        <v>257210.73019999999</v>
      </c>
      <c r="BG53">
        <v>11640478.9629</v>
      </c>
      <c r="BH53">
        <v>7963057.2690000003</v>
      </c>
      <c r="BI53">
        <v>0</v>
      </c>
      <c r="BJ53">
        <v>0</v>
      </c>
      <c r="BK53">
        <v>10576.141900000001</v>
      </c>
      <c r="BL53">
        <v>19614112.373799998</v>
      </c>
      <c r="BM53">
        <v>19871323.103999998</v>
      </c>
      <c r="BN53">
        <v>0</v>
      </c>
      <c r="BO53">
        <v>0</v>
      </c>
      <c r="BP53">
        <v>19871323.103999998</v>
      </c>
      <c r="BQ53">
        <v>19871323.103999998</v>
      </c>
      <c r="BS53" s="20">
        <f t="shared" si="0"/>
        <v>1.2943815006874139E-2</v>
      </c>
      <c r="BT53" s="20">
        <f t="shared" si="1"/>
        <v>5.3223138915551508E-4</v>
      </c>
      <c r="BU53">
        <v>13568093.8621</v>
      </c>
      <c r="BV53" s="20">
        <f t="shared" si="2"/>
        <v>0.68279770758540026</v>
      </c>
      <c r="BW53" s="41" t="str" cm="1">
        <f t="array" ref="BW53">_xlfn.IFS(BV53&gt;$BV$62,"Very High",BV53&gt;$BV$61,"High",BV53&gt;$BV$60,"Low",BV53&lt;=$BV$60,"Very Low")</f>
        <v>Very High</v>
      </c>
      <c r="BX53" t="s">
        <v>476</v>
      </c>
    </row>
    <row r="54" spans="1:76">
      <c r="A54" t="s">
        <v>54</v>
      </c>
      <c r="B54" t="s">
        <v>121</v>
      </c>
      <c r="C54">
        <v>14538.672</v>
      </c>
      <c r="D54">
        <v>6292.6229000000003</v>
      </c>
      <c r="E54">
        <v>14898.528899999999</v>
      </c>
      <c r="F54">
        <v>33165.850299999998</v>
      </c>
      <c r="G54">
        <v>327.14449999999999</v>
      </c>
      <c r="H54">
        <v>4103.6481999999996</v>
      </c>
      <c r="I54">
        <v>119.8639</v>
      </c>
      <c r="J54">
        <v>42.2622</v>
      </c>
      <c r="K54">
        <v>414.58</v>
      </c>
      <c r="L54">
        <v>5615.3819999999996</v>
      </c>
      <c r="M54">
        <v>14056.3989</v>
      </c>
      <c r="N54">
        <v>0</v>
      </c>
      <c r="O54">
        <v>44348.723700000002</v>
      </c>
      <c r="P54">
        <v>336.19459999999998</v>
      </c>
      <c r="Q54">
        <v>10427.4547</v>
      </c>
      <c r="R54">
        <v>0</v>
      </c>
      <c r="S54">
        <v>1378.0598</v>
      </c>
      <c r="T54">
        <v>3.6886000000000001</v>
      </c>
      <c r="U54">
        <v>1553.0512000000001</v>
      </c>
      <c r="V54">
        <v>46830.3197</v>
      </c>
      <c r="W54">
        <v>63752.671499999997</v>
      </c>
      <c r="X54">
        <v>124078.1228</v>
      </c>
      <c r="Y54">
        <v>2216.0992000000001</v>
      </c>
      <c r="Z54">
        <v>310.17989999999998</v>
      </c>
      <c r="AA54">
        <v>1251.7918</v>
      </c>
      <c r="AB54">
        <v>3.1625999999999999</v>
      </c>
      <c r="AC54">
        <v>509.5806</v>
      </c>
      <c r="AD54">
        <v>310.75310000000002</v>
      </c>
      <c r="AE54">
        <v>681.80560000000003</v>
      </c>
      <c r="AF54">
        <v>178.00309999999999</v>
      </c>
      <c r="AG54">
        <v>0.34820000000000001</v>
      </c>
      <c r="AH54">
        <v>1521.289</v>
      </c>
      <c r="AI54">
        <v>50147.534599999999</v>
      </c>
      <c r="AJ54">
        <v>7228.9026999999996</v>
      </c>
      <c r="AK54">
        <v>41143.9355</v>
      </c>
      <c r="AL54">
        <v>754.46320000000003</v>
      </c>
      <c r="AM54">
        <v>498.6866</v>
      </c>
      <c r="AN54">
        <v>810.34760000000006</v>
      </c>
      <c r="AO54">
        <v>1505.9658999999999</v>
      </c>
      <c r="AP54">
        <v>1466.1792</v>
      </c>
      <c r="AQ54">
        <v>1814.7483</v>
      </c>
      <c r="AR54">
        <v>268.30549999999999</v>
      </c>
      <c r="AS54">
        <v>395.84859999999998</v>
      </c>
      <c r="AT54">
        <v>1214.5387000000001</v>
      </c>
      <c r="AU54">
        <v>6446.5574999999999</v>
      </c>
      <c r="AV54">
        <v>7978.8257999999996</v>
      </c>
      <c r="AW54">
        <v>267.14150000000001</v>
      </c>
      <c r="AX54">
        <v>7.3692000000000002</v>
      </c>
      <c r="AY54">
        <v>1489.2103999999999</v>
      </c>
      <c r="AZ54">
        <v>573.96469999999999</v>
      </c>
      <c r="BA54">
        <v>2560.9344999999998</v>
      </c>
      <c r="BB54">
        <v>14877.578299999999</v>
      </c>
      <c r="BC54">
        <v>42191.689899999998</v>
      </c>
      <c r="BD54">
        <v>16866.333699999999</v>
      </c>
      <c r="BE54">
        <v>0</v>
      </c>
      <c r="BF54">
        <v>593775.31539999996</v>
      </c>
      <c r="BG54">
        <v>4829679.3021</v>
      </c>
      <c r="BH54">
        <v>2619953.5759000001</v>
      </c>
      <c r="BI54">
        <v>0</v>
      </c>
      <c r="BJ54">
        <v>0</v>
      </c>
      <c r="BK54">
        <v>45281.173000000003</v>
      </c>
      <c r="BL54">
        <v>7494914.051</v>
      </c>
      <c r="BM54">
        <v>8088689.3663999997</v>
      </c>
      <c r="BN54">
        <v>0</v>
      </c>
      <c r="BO54">
        <v>0</v>
      </c>
      <c r="BP54">
        <v>8088689.3663999997</v>
      </c>
      <c r="BQ54">
        <v>8088689.3663999997</v>
      </c>
      <c r="BS54" s="20">
        <f t="shared" si="0"/>
        <v>7.3408099693692302E-2</v>
      </c>
      <c r="BT54" s="20">
        <f t="shared" si="1"/>
        <v>5.598085295263738E-3</v>
      </c>
      <c r="BU54">
        <v>4065505.7091999999</v>
      </c>
      <c r="BV54" s="20">
        <f t="shared" si="2"/>
        <v>0.50261612543657586</v>
      </c>
      <c r="BW54" s="41" t="str" cm="1">
        <f t="array" ref="BW54">_xlfn.IFS(BV54&gt;$BV$62,"Very High",BV54&gt;$BV$61,"High",BV54&gt;$BV$60,"Low",BV54&lt;=$BV$60,"Very Low")</f>
        <v>Low</v>
      </c>
      <c r="BX54" t="s">
        <v>482</v>
      </c>
    </row>
    <row r="55" spans="1:76">
      <c r="A55" t="s">
        <v>55</v>
      </c>
      <c r="B55" t="s">
        <v>122</v>
      </c>
      <c r="C55">
        <v>40088.227400000003</v>
      </c>
      <c r="D55">
        <v>35716.491800000003</v>
      </c>
      <c r="E55">
        <v>3017.7428</v>
      </c>
      <c r="F55">
        <v>6665.5460000000003</v>
      </c>
      <c r="G55">
        <v>2377.8645999999999</v>
      </c>
      <c r="H55">
        <v>734093.69440000004</v>
      </c>
      <c r="I55">
        <v>680.1069</v>
      </c>
      <c r="J55">
        <v>5511.9318999999996</v>
      </c>
      <c r="K55">
        <v>3840.5237999999999</v>
      </c>
      <c r="L55">
        <v>14053.9933</v>
      </c>
      <c r="M55">
        <v>50995.530100000004</v>
      </c>
      <c r="N55">
        <v>0</v>
      </c>
      <c r="O55">
        <v>5977.7512999999999</v>
      </c>
      <c r="P55">
        <v>5010.0559999999996</v>
      </c>
      <c r="Q55">
        <v>505977.44270000001</v>
      </c>
      <c r="R55">
        <v>7.2499999999999995E-2</v>
      </c>
      <c r="S55">
        <v>1472.6682000000001</v>
      </c>
      <c r="T55">
        <v>2.9876999999999998</v>
      </c>
      <c r="U55">
        <v>929.40520000000004</v>
      </c>
      <c r="V55">
        <v>40065.006300000001</v>
      </c>
      <c r="W55">
        <v>67812.184999999998</v>
      </c>
      <c r="X55">
        <v>95827.6348</v>
      </c>
      <c r="Y55">
        <v>4597.2700000000004</v>
      </c>
      <c r="Z55">
        <v>3433.5196999999998</v>
      </c>
      <c r="AA55">
        <v>900.80510000000004</v>
      </c>
      <c r="AB55">
        <v>11.323399999999999</v>
      </c>
      <c r="AC55">
        <v>1396.0478000000001</v>
      </c>
      <c r="AD55">
        <v>327.30739999999997</v>
      </c>
      <c r="AE55">
        <v>622.80920000000003</v>
      </c>
      <c r="AF55">
        <v>679.22919999999999</v>
      </c>
      <c r="AG55">
        <v>8.6791999999999998</v>
      </c>
      <c r="AH55">
        <v>44842.5092</v>
      </c>
      <c r="AI55">
        <v>189733.48490000001</v>
      </c>
      <c r="AJ55">
        <v>60023.948499999999</v>
      </c>
      <c r="AK55">
        <v>250762.886</v>
      </c>
      <c r="AL55">
        <v>2746.2705999999998</v>
      </c>
      <c r="AM55">
        <v>17155.3593</v>
      </c>
      <c r="AN55">
        <v>7796.3356000000003</v>
      </c>
      <c r="AO55">
        <v>2677.7696999999998</v>
      </c>
      <c r="AP55">
        <v>29151.713199999998</v>
      </c>
      <c r="AQ55">
        <v>5897.4480999999996</v>
      </c>
      <c r="AR55">
        <v>11759.1132</v>
      </c>
      <c r="AS55">
        <v>161519.1887</v>
      </c>
      <c r="AT55">
        <v>30704.572700000001</v>
      </c>
      <c r="AU55">
        <v>4029.5354000000002</v>
      </c>
      <c r="AV55">
        <v>1752.232</v>
      </c>
      <c r="AW55">
        <v>880.56290000000001</v>
      </c>
      <c r="AX55">
        <v>11.949299999999999</v>
      </c>
      <c r="AY55">
        <v>8683.2108000000007</v>
      </c>
      <c r="AZ55">
        <v>4562.0108</v>
      </c>
      <c r="BA55">
        <v>117322.9682</v>
      </c>
      <c r="BB55">
        <v>88832.0285</v>
      </c>
      <c r="BC55">
        <v>60986.913800000002</v>
      </c>
      <c r="BD55">
        <v>185430.88639999999</v>
      </c>
      <c r="BE55">
        <v>0</v>
      </c>
      <c r="BF55">
        <v>2919356.7516999999</v>
      </c>
      <c r="BG55">
        <v>2810786.4580999999</v>
      </c>
      <c r="BH55">
        <v>987856.07819999999</v>
      </c>
      <c r="BI55">
        <v>0</v>
      </c>
      <c r="BJ55">
        <v>0</v>
      </c>
      <c r="BK55">
        <v>90497.489499999996</v>
      </c>
      <c r="BL55">
        <v>3889140.0258999998</v>
      </c>
      <c r="BM55">
        <v>6808496.7775999997</v>
      </c>
      <c r="BN55">
        <v>0</v>
      </c>
      <c r="BO55">
        <v>0</v>
      </c>
      <c r="BP55">
        <v>6808496.7775999997</v>
      </c>
      <c r="BQ55">
        <v>6808496.7775999997</v>
      </c>
      <c r="BS55" s="20">
        <f t="shared" si="0"/>
        <v>0.42878139581481528</v>
      </c>
      <c r="BT55" s="20">
        <f t="shared" si="1"/>
        <v>1.3291845829719321E-2</v>
      </c>
      <c r="BU55">
        <v>4426895.7226999998</v>
      </c>
      <c r="BV55" s="20">
        <f t="shared" si="2"/>
        <v>0.65020163294554478</v>
      </c>
      <c r="BW55" s="41" t="str" cm="1">
        <f t="array" ref="BW55">_xlfn.IFS(BV55&gt;$BV$62,"Very High",BV55&gt;$BV$61,"High",BV55&gt;$BV$60,"Low",BV55&lt;=$BV$60,"Very Low")</f>
        <v>High</v>
      </c>
      <c r="BX55" t="s">
        <v>476</v>
      </c>
    </row>
    <row r="56" spans="1:76">
      <c r="A56" t="s">
        <v>56</v>
      </c>
      <c r="B56" t="s">
        <v>123</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S56" s="20">
        <f t="shared" si="0"/>
        <v>0</v>
      </c>
      <c r="BT56" s="20">
        <f t="shared" si="1"/>
        <v>0</v>
      </c>
      <c r="BU56">
        <v>0</v>
      </c>
      <c r="BV56" s="20">
        <f t="shared" si="2"/>
        <v>0</v>
      </c>
      <c r="BW56" s="41" t="str" cm="1">
        <f t="array" ref="BW56">_xlfn.IFS(BV56&gt;$BV$62,"Very High",BV56&gt;$BV$61,"High",BV56&gt;$BV$60,"Low",BV56&lt;=$BV$60,"Very Low")</f>
        <v>Very Low</v>
      </c>
      <c r="BX56" t="s">
        <v>476</v>
      </c>
    </row>
    <row r="57" spans="1:76">
      <c r="A57" t="s">
        <v>124</v>
      </c>
      <c r="B57" t="s">
        <v>125</v>
      </c>
      <c r="C57">
        <v>3415493.2823999999</v>
      </c>
      <c r="D57">
        <v>1284743.8334999999</v>
      </c>
      <c r="E57">
        <v>3820435.2379000001</v>
      </c>
      <c r="F57">
        <v>6316869.5522999996</v>
      </c>
      <c r="G57">
        <v>1725651.0484</v>
      </c>
      <c r="H57">
        <v>3895638.5573</v>
      </c>
      <c r="I57">
        <v>550434.4595</v>
      </c>
      <c r="J57">
        <v>895926.95669999998</v>
      </c>
      <c r="K57">
        <v>1641762.5379000001</v>
      </c>
      <c r="L57">
        <v>6665457.2768000001</v>
      </c>
      <c r="M57">
        <v>44257127.945299998</v>
      </c>
      <c r="N57">
        <v>0</v>
      </c>
      <c r="O57">
        <v>9791175.8632999994</v>
      </c>
      <c r="P57">
        <v>7252095.6436000001</v>
      </c>
      <c r="Q57">
        <v>96382523.310100004</v>
      </c>
      <c r="R57">
        <v>50.360700000000001</v>
      </c>
      <c r="S57">
        <v>313116.58179999999</v>
      </c>
      <c r="T57">
        <v>1264.3429000000001</v>
      </c>
      <c r="U57">
        <v>1074640.372</v>
      </c>
      <c r="V57">
        <v>10959771.671499999</v>
      </c>
      <c r="W57">
        <v>10180969.323000001</v>
      </c>
      <c r="X57">
        <v>23211309.2181</v>
      </c>
      <c r="Y57">
        <v>1870932.4217999999</v>
      </c>
      <c r="Z57">
        <v>68812.682799999995</v>
      </c>
      <c r="AA57">
        <v>454726.91</v>
      </c>
      <c r="AB57">
        <v>7008.3792000000003</v>
      </c>
      <c r="AC57">
        <v>419825.02519999997</v>
      </c>
      <c r="AD57">
        <v>130983.67939999999</v>
      </c>
      <c r="AE57">
        <v>252407.92509999999</v>
      </c>
      <c r="AF57">
        <v>5115921.6097999997</v>
      </c>
      <c r="AG57">
        <v>50163.623099999997</v>
      </c>
      <c r="AH57">
        <v>357390.13990000001</v>
      </c>
      <c r="AI57">
        <v>54734639.509099998</v>
      </c>
      <c r="AJ57">
        <v>2930004.0728000002</v>
      </c>
      <c r="AK57">
        <v>29965714.165100001</v>
      </c>
      <c r="AL57">
        <v>1805420.9291999999</v>
      </c>
      <c r="AM57">
        <v>4690563.4773000004</v>
      </c>
      <c r="AN57">
        <v>801544.92610000004</v>
      </c>
      <c r="AO57">
        <v>569719.77009999997</v>
      </c>
      <c r="AP57">
        <v>4548711.1632000003</v>
      </c>
      <c r="AQ57">
        <v>784188.43370000005</v>
      </c>
      <c r="AR57">
        <v>787474.66839999997</v>
      </c>
      <c r="AS57">
        <v>14813130.329299999</v>
      </c>
      <c r="AT57">
        <v>8764045.4883999992</v>
      </c>
      <c r="AU57">
        <v>984488.00950000004</v>
      </c>
      <c r="AV57">
        <v>1145602.1953</v>
      </c>
      <c r="AW57">
        <v>577473.25009999995</v>
      </c>
      <c r="AX57">
        <v>3859.5358000000001</v>
      </c>
      <c r="AY57">
        <v>3691875.5153000001</v>
      </c>
      <c r="AZ57">
        <v>361822.06410000002</v>
      </c>
      <c r="BA57">
        <v>7687397.9534999998</v>
      </c>
      <c r="BB57">
        <v>4399730.1260000002</v>
      </c>
      <c r="BC57">
        <v>3155962.7829999998</v>
      </c>
      <c r="BD57">
        <v>1760285.6673999999</v>
      </c>
      <c r="BE57">
        <v>0</v>
      </c>
      <c r="BF57">
        <v>391328283.80379999</v>
      </c>
      <c r="BG57">
        <v>263961685.4488</v>
      </c>
      <c r="BH57">
        <v>38864455.576399997</v>
      </c>
      <c r="BI57">
        <v>170241031.755</v>
      </c>
      <c r="BJ57">
        <v>-2235762.7722</v>
      </c>
      <c r="BK57">
        <v>266023359.33140001</v>
      </c>
      <c r="BL57">
        <v>736854769.33940005</v>
      </c>
      <c r="BM57">
        <v>1128183053.1433001</v>
      </c>
      <c r="BN57">
        <v>0</v>
      </c>
      <c r="BO57">
        <v>0</v>
      </c>
      <c r="BP57">
        <v>1128183053.1433001</v>
      </c>
      <c r="BQ57">
        <v>1128183053.1433001</v>
      </c>
    </row>
    <row r="58" spans="1:76">
      <c r="A58" t="s">
        <v>126</v>
      </c>
      <c r="B58" t="s">
        <v>127</v>
      </c>
      <c r="C58">
        <v>791206.12710000004</v>
      </c>
      <c r="D58">
        <v>375015.64140000002</v>
      </c>
      <c r="E58">
        <v>10486.257</v>
      </c>
      <c r="F58">
        <v>1047653.9088</v>
      </c>
      <c r="G58">
        <v>30889.6011</v>
      </c>
      <c r="H58">
        <v>1247792.6479</v>
      </c>
      <c r="I58">
        <v>81133.536200000002</v>
      </c>
      <c r="J58">
        <v>244472.74969999999</v>
      </c>
      <c r="K58">
        <v>482112.46159999998</v>
      </c>
      <c r="L58">
        <v>4388044.3206000002</v>
      </c>
      <c r="M58">
        <v>16249141.377699999</v>
      </c>
      <c r="N58">
        <v>0</v>
      </c>
      <c r="O58">
        <v>3856568.4367999998</v>
      </c>
      <c r="P58">
        <v>4506950.5707999999</v>
      </c>
      <c r="Q58">
        <v>20140362.4144</v>
      </c>
      <c r="R58">
        <v>628.96010000000001</v>
      </c>
      <c r="S58">
        <v>240573.4332</v>
      </c>
      <c r="T58">
        <v>591.99329999999998</v>
      </c>
      <c r="U58">
        <v>481090.10560000001</v>
      </c>
      <c r="V58">
        <v>4100412.1686</v>
      </c>
      <c r="W58">
        <v>4865736.1929000001</v>
      </c>
      <c r="X58">
        <v>7485108.9106000001</v>
      </c>
      <c r="Y58">
        <v>242106.943</v>
      </c>
      <c r="Z58">
        <v>95536.518400000001</v>
      </c>
      <c r="AA58">
        <v>619960.15090000001</v>
      </c>
      <c r="AB58">
        <v>25619.018199999999</v>
      </c>
      <c r="AC58">
        <v>685557.64809999999</v>
      </c>
      <c r="AD58">
        <v>108923.46769999999</v>
      </c>
      <c r="AE58">
        <v>230582.68059999999</v>
      </c>
      <c r="AF58">
        <v>223639.74110000001</v>
      </c>
      <c r="AG58">
        <v>2175.8820000000001</v>
      </c>
      <c r="AH58">
        <v>85678.691300000006</v>
      </c>
      <c r="AI58">
        <v>47641645.090700001</v>
      </c>
      <c r="AJ58">
        <v>1776608.463</v>
      </c>
      <c r="AK58">
        <v>11740011.6963</v>
      </c>
      <c r="AL58">
        <v>284577.11170000001</v>
      </c>
      <c r="AM58">
        <v>1473237.0907000001</v>
      </c>
      <c r="AN58">
        <v>209371.5202</v>
      </c>
      <c r="AO58">
        <v>191470.60879999999</v>
      </c>
      <c r="AP58">
        <v>1844824.3949</v>
      </c>
      <c r="AQ58">
        <v>290366.8406</v>
      </c>
      <c r="AR58">
        <v>185816.5214</v>
      </c>
      <c r="AS58">
        <v>3101724.1464999998</v>
      </c>
      <c r="AT58">
        <v>4194487.8651999999</v>
      </c>
      <c r="AU58">
        <v>676431.50219999999</v>
      </c>
      <c r="AV58">
        <v>508728.46189999999</v>
      </c>
      <c r="AW58">
        <v>284257.83049999998</v>
      </c>
      <c r="AX58">
        <v>2042.9630999999999</v>
      </c>
      <c r="AY58">
        <v>850142.63749999995</v>
      </c>
      <c r="AZ58">
        <v>198642.5287</v>
      </c>
      <c r="BA58">
        <v>2651406.5485999999</v>
      </c>
      <c r="BB58">
        <v>1903499.1158</v>
      </c>
      <c r="BC58">
        <v>867220.87419999996</v>
      </c>
      <c r="BD58">
        <v>621315.38749999995</v>
      </c>
      <c r="BE58">
        <v>0</v>
      </c>
      <c r="BF58">
        <v>154443581.75659999</v>
      </c>
      <c r="BG58">
        <v>129651979.9839</v>
      </c>
      <c r="BH58">
        <v>1431388.618</v>
      </c>
      <c r="BI58">
        <v>21622264.6347</v>
      </c>
      <c r="BJ58">
        <v>0</v>
      </c>
      <c r="BK58">
        <v>0</v>
      </c>
      <c r="BL58">
        <v>152705633.23660001</v>
      </c>
      <c r="BM58">
        <v>307149214.9932</v>
      </c>
      <c r="BN58">
        <v>307149214.9932</v>
      </c>
      <c r="BO58">
        <v>0</v>
      </c>
      <c r="BP58">
        <v>0</v>
      </c>
      <c r="BQ58">
        <v>307149214.9932</v>
      </c>
      <c r="BU58" t="s">
        <v>462</v>
      </c>
      <c r="BV58" s="40">
        <f>MEDIAN(BV2:BV56)</f>
        <v>0.57658079303339727</v>
      </c>
    </row>
    <row r="59" spans="1:76">
      <c r="A59" t="s">
        <v>128</v>
      </c>
      <c r="B59" t="s">
        <v>129</v>
      </c>
      <c r="C59">
        <v>5832812.2215</v>
      </c>
      <c r="D59">
        <v>1851198.6029000001</v>
      </c>
      <c r="E59">
        <v>3860684.1609</v>
      </c>
      <c r="F59">
        <v>6957374.1471999995</v>
      </c>
      <c r="G59">
        <v>1323432.7904999999</v>
      </c>
      <c r="H59">
        <v>4019857.3130000001</v>
      </c>
      <c r="I59">
        <v>729301.55610000005</v>
      </c>
      <c r="J59">
        <v>3272004.53</v>
      </c>
      <c r="K59">
        <v>6038698.3016999997</v>
      </c>
      <c r="L59">
        <v>5889766.3620999996</v>
      </c>
      <c r="M59">
        <v>8563767.6464000009</v>
      </c>
      <c r="N59">
        <v>0</v>
      </c>
      <c r="O59">
        <v>11920660.8772</v>
      </c>
      <c r="P59">
        <v>3237441.3827</v>
      </c>
      <c r="Q59">
        <v>16172780.6306</v>
      </c>
      <c r="R59">
        <v>127.6953</v>
      </c>
      <c r="S59">
        <v>87834.296199999997</v>
      </c>
      <c r="T59">
        <v>759.41070000000002</v>
      </c>
      <c r="U59">
        <v>401808.36589999998</v>
      </c>
      <c r="V59">
        <v>3723700.7823999999</v>
      </c>
      <c r="W59">
        <v>1935170.2035000001</v>
      </c>
      <c r="X59">
        <v>3850793.6867999998</v>
      </c>
      <c r="Y59">
        <v>771312.50069999998</v>
      </c>
      <c r="Z59">
        <v>13273.1659</v>
      </c>
      <c r="AA59">
        <v>271293.01059999998</v>
      </c>
      <c r="AB59">
        <v>7056.9826999999996</v>
      </c>
      <c r="AC59">
        <v>45080.605600000003</v>
      </c>
      <c r="AD59">
        <v>80306.659199999995</v>
      </c>
      <c r="AE59">
        <v>139591.25210000001</v>
      </c>
      <c r="AF59">
        <v>333821.80579999997</v>
      </c>
      <c r="AG59">
        <v>18359.856899999999</v>
      </c>
      <c r="AH59">
        <v>176337.21919999999</v>
      </c>
      <c r="AI59">
        <v>29817693.947999999</v>
      </c>
      <c r="AJ59">
        <v>4895800.6276000002</v>
      </c>
      <c r="AK59">
        <v>35240855.512900002</v>
      </c>
      <c r="AL59">
        <v>1517369.3655000001</v>
      </c>
      <c r="AM59">
        <v>1480223.5692</v>
      </c>
      <c r="AN59">
        <v>120405.67690000001</v>
      </c>
      <c r="AO59">
        <v>212984.25229999999</v>
      </c>
      <c r="AP59">
        <v>1550942.4323</v>
      </c>
      <c r="AQ59">
        <v>545820.52709999995</v>
      </c>
      <c r="AR59">
        <v>497994.94280000002</v>
      </c>
      <c r="AS59">
        <v>5956839.8307999996</v>
      </c>
      <c r="AT59">
        <v>5876975.6886</v>
      </c>
      <c r="AU59">
        <v>3874819.1044999999</v>
      </c>
      <c r="AV59">
        <v>1349774.2844</v>
      </c>
      <c r="AW59">
        <v>799985.19200000004</v>
      </c>
      <c r="AX59">
        <v>4062.7105999999999</v>
      </c>
      <c r="AY59">
        <v>1604043.2242000001</v>
      </c>
      <c r="AZ59">
        <v>351607.95189999999</v>
      </c>
      <c r="BA59">
        <v>11241529.325300001</v>
      </c>
      <c r="BB59">
        <v>9986107.5293000005</v>
      </c>
      <c r="BC59">
        <v>2123614.1239</v>
      </c>
      <c r="BD59">
        <v>2206519.1124</v>
      </c>
      <c r="BE59">
        <v>0</v>
      </c>
      <c r="BF59">
        <v>212782376.95480001</v>
      </c>
      <c r="BG59">
        <v>0</v>
      </c>
      <c r="BH59">
        <v>0</v>
      </c>
      <c r="BI59">
        <v>0</v>
      </c>
      <c r="BJ59">
        <v>0</v>
      </c>
      <c r="BK59">
        <v>0</v>
      </c>
      <c r="BL59">
        <v>0</v>
      </c>
      <c r="BM59">
        <v>0</v>
      </c>
      <c r="BN59">
        <v>0</v>
      </c>
      <c r="BO59">
        <v>0</v>
      </c>
      <c r="BP59">
        <v>0</v>
      </c>
      <c r="BQ59">
        <v>0</v>
      </c>
      <c r="BU59" t="s">
        <v>463</v>
      </c>
      <c r="BV59" s="40">
        <f>MIN(BV2:BV56)</f>
        <v>0</v>
      </c>
    </row>
    <row r="60" spans="1:76">
      <c r="A60" t="s">
        <v>130</v>
      </c>
      <c r="B60" t="s">
        <v>131</v>
      </c>
      <c r="C60">
        <v>8301724.9440000001</v>
      </c>
      <c r="D60">
        <v>3417177.9692000002</v>
      </c>
      <c r="E60">
        <v>4430146.7937000003</v>
      </c>
      <c r="F60">
        <v>8639149.2372999992</v>
      </c>
      <c r="G60">
        <v>1747335.6294</v>
      </c>
      <c r="H60">
        <v>3939592.9492000001</v>
      </c>
      <c r="I60">
        <v>711635.0159</v>
      </c>
      <c r="J60">
        <v>5009982.0840999996</v>
      </c>
      <c r="K60">
        <v>9651785.6285999995</v>
      </c>
      <c r="L60">
        <v>24288683.654899999</v>
      </c>
      <c r="M60">
        <v>37866401.157600001</v>
      </c>
      <c r="N60">
        <v>0</v>
      </c>
      <c r="O60">
        <v>17589720.648499999</v>
      </c>
      <c r="P60">
        <v>17052949.360399999</v>
      </c>
      <c r="Q60">
        <v>38725196.115900002</v>
      </c>
      <c r="R60">
        <v>346.85660000000001</v>
      </c>
      <c r="S60">
        <v>92742.361499999999</v>
      </c>
      <c r="T60">
        <v>374.91030000000001</v>
      </c>
      <c r="U60">
        <v>577686.98899999994</v>
      </c>
      <c r="V60">
        <v>3739406.3220000002</v>
      </c>
      <c r="W60">
        <v>5599336.3553999998</v>
      </c>
      <c r="X60">
        <v>7163823.6705999998</v>
      </c>
      <c r="Y60">
        <v>753166.35349999997</v>
      </c>
      <c r="Z60">
        <v>33451.696300000003</v>
      </c>
      <c r="AA60">
        <v>263247.80479999998</v>
      </c>
      <c r="AB60">
        <v>7349.3407999999999</v>
      </c>
      <c r="AC60">
        <v>40161.504500000003</v>
      </c>
      <c r="AD60">
        <v>77779.569099999993</v>
      </c>
      <c r="AE60">
        <v>133284.67249999999</v>
      </c>
      <c r="AF60">
        <v>1135677.8935</v>
      </c>
      <c r="AG60">
        <v>105185.3051</v>
      </c>
      <c r="AH60">
        <v>407606.63939999999</v>
      </c>
      <c r="AI60">
        <v>33304679.000999998</v>
      </c>
      <c r="AJ60">
        <v>5590404.9118999997</v>
      </c>
      <c r="AK60">
        <v>45486995.973899998</v>
      </c>
      <c r="AL60">
        <v>494158.2966</v>
      </c>
      <c r="AM60">
        <v>4685255.1460999995</v>
      </c>
      <c r="AN60">
        <v>312533.00510000001</v>
      </c>
      <c r="AO60">
        <v>357200.85739999998</v>
      </c>
      <c r="AP60">
        <v>2174799.4092000001</v>
      </c>
      <c r="AQ60">
        <v>908284.61289999995</v>
      </c>
      <c r="AR60">
        <v>951701.14760000003</v>
      </c>
      <c r="AS60">
        <v>5436132.9966000002</v>
      </c>
      <c r="AT60">
        <v>14522959.911699999</v>
      </c>
      <c r="AU60">
        <v>4362542.7120000003</v>
      </c>
      <c r="AV60">
        <v>1999175.6161</v>
      </c>
      <c r="AW60">
        <v>775295.45689999999</v>
      </c>
      <c r="AX60">
        <v>5629.8589000000002</v>
      </c>
      <c r="AY60">
        <v>17983268.1043</v>
      </c>
      <c r="AZ60">
        <v>365503.24160000001</v>
      </c>
      <c r="BA60">
        <v>5434543.4505000003</v>
      </c>
      <c r="BB60">
        <v>3558443.6789000002</v>
      </c>
      <c r="BC60">
        <v>1904269.0607</v>
      </c>
      <c r="BD60">
        <v>2086452.5508000001</v>
      </c>
      <c r="BE60">
        <v>0</v>
      </c>
      <c r="BF60">
        <v>354202338.43440002</v>
      </c>
      <c r="BG60">
        <v>0</v>
      </c>
      <c r="BH60">
        <v>0</v>
      </c>
      <c r="BI60">
        <v>0</v>
      </c>
      <c r="BJ60">
        <v>0</v>
      </c>
      <c r="BK60">
        <v>0</v>
      </c>
      <c r="BL60">
        <v>0</v>
      </c>
      <c r="BM60">
        <v>0</v>
      </c>
      <c r="BN60">
        <v>0</v>
      </c>
      <c r="BO60">
        <v>0</v>
      </c>
      <c r="BP60">
        <v>0</v>
      </c>
      <c r="BQ60">
        <v>0</v>
      </c>
      <c r="BU60" t="s">
        <v>464</v>
      </c>
      <c r="BV60" s="20">
        <f>_xlfn.QUARTILE.INC(BV2:BV56,1)</f>
        <v>0.3824167955616864</v>
      </c>
    </row>
    <row r="61" spans="1:76">
      <c r="A61" t="s">
        <v>132</v>
      </c>
      <c r="B61" t="s">
        <v>133</v>
      </c>
      <c r="C61">
        <v>287184.91129999998</v>
      </c>
      <c r="D61">
        <v>49973.142</v>
      </c>
      <c r="E61">
        <v>131454.4246</v>
      </c>
      <c r="F61">
        <v>710029.08669999999</v>
      </c>
      <c r="G61">
        <v>21141.433199999999</v>
      </c>
      <c r="H61">
        <v>36137.845000000001</v>
      </c>
      <c r="I61">
        <v>8472.7813000000006</v>
      </c>
      <c r="J61">
        <v>70381.682100000005</v>
      </c>
      <c r="K61">
        <v>79836.203599999993</v>
      </c>
      <c r="L61">
        <v>246984.55720000001</v>
      </c>
      <c r="M61">
        <v>482279.76010000001</v>
      </c>
      <c r="N61">
        <v>0</v>
      </c>
      <c r="O61">
        <v>560630.61360000004</v>
      </c>
      <c r="P61">
        <v>-295803.01630000002</v>
      </c>
      <c r="Q61">
        <v>3729208.8248000001</v>
      </c>
      <c r="R61">
        <v>669.69090000000006</v>
      </c>
      <c r="S61">
        <v>19649.662100000001</v>
      </c>
      <c r="T61">
        <v>109.5067</v>
      </c>
      <c r="U61">
        <v>25374.595499999999</v>
      </c>
      <c r="V61">
        <v>607497.67989999999</v>
      </c>
      <c r="W61">
        <v>438577.72989999998</v>
      </c>
      <c r="X61">
        <v>1273793.6972000001</v>
      </c>
      <c r="Y61">
        <v>64363.323499999999</v>
      </c>
      <c r="Z61">
        <v>7901.5949000000001</v>
      </c>
      <c r="AA61">
        <v>104114.1109</v>
      </c>
      <c r="AB61">
        <v>5078.9987000000001</v>
      </c>
      <c r="AC61">
        <v>12457.123600000001</v>
      </c>
      <c r="AD61">
        <v>19384.312099999999</v>
      </c>
      <c r="AE61">
        <v>32607.684700000002</v>
      </c>
      <c r="AF61">
        <v>-713391.10479999997</v>
      </c>
      <c r="AG61">
        <v>264.91019999999997</v>
      </c>
      <c r="AH61">
        <v>21769.1427</v>
      </c>
      <c r="AI61">
        <v>4085600.3679</v>
      </c>
      <c r="AJ61">
        <v>166336.02540000001</v>
      </c>
      <c r="AK61">
        <v>426445.12239999999</v>
      </c>
      <c r="AL61">
        <v>-512190.24400000001</v>
      </c>
      <c r="AM61">
        <v>74359.511299999998</v>
      </c>
      <c r="AN61">
        <v>-14735.86</v>
      </c>
      <c r="AO61">
        <v>8585.6602000000003</v>
      </c>
      <c r="AP61">
        <v>149766.51149999999</v>
      </c>
      <c r="AQ61">
        <v>9144.3348000000005</v>
      </c>
      <c r="AR61">
        <v>114274.2414</v>
      </c>
      <c r="AS61">
        <v>1011776.4666</v>
      </c>
      <c r="AT61">
        <v>631322.27190000005</v>
      </c>
      <c r="AU61">
        <v>20323.172699999999</v>
      </c>
      <c r="AV61">
        <v>10824.495999999999</v>
      </c>
      <c r="AW61">
        <v>8876.7999</v>
      </c>
      <c r="AX61">
        <v>51.820900000000002</v>
      </c>
      <c r="AY61">
        <v>992818.3676</v>
      </c>
      <c r="AZ61">
        <v>9668.9809000000005</v>
      </c>
      <c r="BA61">
        <v>0</v>
      </c>
      <c r="BB61">
        <v>23542.653900000001</v>
      </c>
      <c r="BC61">
        <v>37622.524599999997</v>
      </c>
      <c r="BD61">
        <v>133924.0594</v>
      </c>
      <c r="BE61">
        <v>0</v>
      </c>
      <c r="BF61">
        <v>15426472.193600001</v>
      </c>
      <c r="BG61">
        <v>0</v>
      </c>
      <c r="BH61">
        <v>0</v>
      </c>
      <c r="BI61">
        <v>0</v>
      </c>
      <c r="BJ61">
        <v>0</v>
      </c>
      <c r="BK61">
        <v>0</v>
      </c>
      <c r="BL61">
        <v>0</v>
      </c>
      <c r="BM61">
        <v>0</v>
      </c>
      <c r="BN61">
        <v>0</v>
      </c>
      <c r="BO61">
        <v>0</v>
      </c>
      <c r="BP61">
        <v>0</v>
      </c>
      <c r="BQ61">
        <v>0</v>
      </c>
      <c r="BU61" t="s">
        <v>465</v>
      </c>
      <c r="BV61" s="20">
        <f>_xlfn.QUARTILE.INC(BV2:BV56,2)</f>
        <v>0.57658079303339727</v>
      </c>
    </row>
    <row r="62" spans="1:76">
      <c r="A62" t="s">
        <v>134</v>
      </c>
      <c r="B62" t="s">
        <v>135</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U62" t="s">
        <v>466</v>
      </c>
      <c r="BV62" s="20">
        <f>_xlfn.QUARTILE.INC(BV2:BV56,3)</f>
        <v>0.67643116368823786</v>
      </c>
    </row>
    <row r="63" spans="1:76">
      <c r="A63" t="s">
        <v>136</v>
      </c>
      <c r="B63" t="s">
        <v>137</v>
      </c>
      <c r="C63">
        <v>14421722.0768</v>
      </c>
      <c r="D63">
        <v>5318349.7141000004</v>
      </c>
      <c r="E63">
        <v>8422285.3792000003</v>
      </c>
      <c r="F63">
        <v>16306552.4712</v>
      </c>
      <c r="G63">
        <v>3091909.8530999999</v>
      </c>
      <c r="H63">
        <v>7995588.1072000004</v>
      </c>
      <c r="I63">
        <v>1449409.3533000001</v>
      </c>
      <c r="J63">
        <v>8352368.2961999997</v>
      </c>
      <c r="K63">
        <v>15770320.1338</v>
      </c>
      <c r="L63">
        <v>30425434.574200001</v>
      </c>
      <c r="M63">
        <v>46912448.564000003</v>
      </c>
      <c r="N63">
        <v>0</v>
      </c>
      <c r="O63">
        <v>30071012.1393</v>
      </c>
      <c r="P63">
        <v>19994587.726799998</v>
      </c>
      <c r="Q63">
        <v>58627185.5713</v>
      </c>
      <c r="R63">
        <v>1144.2429</v>
      </c>
      <c r="S63">
        <v>200226.3199</v>
      </c>
      <c r="T63">
        <v>1243.8277</v>
      </c>
      <c r="U63">
        <v>1004869.9504</v>
      </c>
      <c r="V63">
        <v>8070604.7843000004</v>
      </c>
      <c r="W63">
        <v>7973084.2888000002</v>
      </c>
      <c r="X63">
        <v>12288411.0547</v>
      </c>
      <c r="Y63">
        <v>1588842.1776999999</v>
      </c>
      <c r="Z63">
        <v>54626.4571</v>
      </c>
      <c r="AA63">
        <v>638654.9264</v>
      </c>
      <c r="AB63">
        <v>19485.322199999999</v>
      </c>
      <c r="AC63">
        <v>97699.233800000002</v>
      </c>
      <c r="AD63">
        <v>177470.5404</v>
      </c>
      <c r="AE63">
        <v>305483.60940000002</v>
      </c>
      <c r="AF63">
        <v>756108.59450000001</v>
      </c>
      <c r="AG63">
        <v>123810.0722</v>
      </c>
      <c r="AH63">
        <v>605713.00120000006</v>
      </c>
      <c r="AI63">
        <v>67207973.317000002</v>
      </c>
      <c r="AJ63">
        <v>10652541.5649</v>
      </c>
      <c r="AK63">
        <v>81154296.609300002</v>
      </c>
      <c r="AL63">
        <v>1499337.4180999999</v>
      </c>
      <c r="AM63">
        <v>6239838.2265999997</v>
      </c>
      <c r="AN63">
        <v>418202.82199999999</v>
      </c>
      <c r="AO63">
        <v>578770.76989999996</v>
      </c>
      <c r="AP63">
        <v>3875508.3530000001</v>
      </c>
      <c r="AQ63">
        <v>1463249.4748</v>
      </c>
      <c r="AR63">
        <v>1563970.3318</v>
      </c>
      <c r="AS63">
        <v>12404749.294</v>
      </c>
      <c r="AT63">
        <v>21031257.872200001</v>
      </c>
      <c r="AU63">
        <v>8257684.9891999997</v>
      </c>
      <c r="AV63">
        <v>3359774.3964</v>
      </c>
      <c r="AW63">
        <v>1584157.4489</v>
      </c>
      <c r="AX63">
        <v>9744.3904999999995</v>
      </c>
      <c r="AY63">
        <v>20580129.695999999</v>
      </c>
      <c r="AZ63">
        <v>726780.17440000002</v>
      </c>
      <c r="BA63">
        <v>16676072.775800001</v>
      </c>
      <c r="BB63">
        <v>13568093.8621</v>
      </c>
      <c r="BC63">
        <v>4065505.7091999999</v>
      </c>
      <c r="BD63">
        <v>4426895.7226999998</v>
      </c>
      <c r="BE63">
        <v>0</v>
      </c>
      <c r="BF63">
        <v>582411187.58280003</v>
      </c>
      <c r="BG63">
        <v>0</v>
      </c>
      <c r="BH63">
        <v>0</v>
      </c>
      <c r="BI63">
        <v>0</v>
      </c>
      <c r="BJ63">
        <v>0</v>
      </c>
      <c r="BK63">
        <v>0</v>
      </c>
      <c r="BL63">
        <v>0</v>
      </c>
      <c r="BM63">
        <v>0</v>
      </c>
      <c r="BN63">
        <v>0</v>
      </c>
      <c r="BO63">
        <v>0</v>
      </c>
      <c r="BP63">
        <v>0</v>
      </c>
      <c r="BQ63">
        <v>0</v>
      </c>
      <c r="BU63" t="s">
        <v>467</v>
      </c>
      <c r="BV63" s="40">
        <f>MAX(BV2:BV56)</f>
        <v>0.88130927467379638</v>
      </c>
    </row>
    <row r="64" spans="1:76">
      <c r="A64" t="s">
        <v>138</v>
      </c>
      <c r="B64" t="s">
        <v>139</v>
      </c>
      <c r="C64">
        <v>18628421.486299999</v>
      </c>
      <c r="D64">
        <v>6978109.1889000004</v>
      </c>
      <c r="E64">
        <v>12253206.8741</v>
      </c>
      <c r="F64">
        <v>23671075.9322</v>
      </c>
      <c r="G64">
        <v>4848450.5026000002</v>
      </c>
      <c r="H64">
        <v>13139019.3124</v>
      </c>
      <c r="I64">
        <v>2080977.3489999999</v>
      </c>
      <c r="J64">
        <v>9492768.0025999993</v>
      </c>
      <c r="K64">
        <v>17894195.133299999</v>
      </c>
      <c r="L64">
        <v>41478936.171599999</v>
      </c>
      <c r="M64">
        <v>107418717.8871</v>
      </c>
      <c r="N64">
        <v>0</v>
      </c>
      <c r="O64">
        <v>43718756.439400002</v>
      </c>
      <c r="P64">
        <v>31753633.941199999</v>
      </c>
      <c r="Q64">
        <v>175150071.2958</v>
      </c>
      <c r="R64">
        <v>1823.5636999999999</v>
      </c>
      <c r="S64">
        <v>753916.33479999995</v>
      </c>
      <c r="T64">
        <v>3100.1637999999998</v>
      </c>
      <c r="U64">
        <v>2560600.4279999998</v>
      </c>
      <c r="V64">
        <v>23130788.624400001</v>
      </c>
      <c r="W64">
        <v>23019789.804699998</v>
      </c>
      <c r="X64">
        <v>42984829.183399998</v>
      </c>
      <c r="Y64">
        <v>3701881.5425</v>
      </c>
      <c r="Z64">
        <v>218975.65839999999</v>
      </c>
      <c r="AA64">
        <v>1713341.9872000001</v>
      </c>
      <c r="AB64">
        <v>52112.719599999997</v>
      </c>
      <c r="AC64">
        <v>1203081.9069999999</v>
      </c>
      <c r="AD64">
        <v>417377.6875</v>
      </c>
      <c r="AE64">
        <v>788474.21499999997</v>
      </c>
      <c r="AF64">
        <v>6095669.9453999996</v>
      </c>
      <c r="AG64">
        <v>176149.5772</v>
      </c>
      <c r="AH64">
        <v>1048781.8324</v>
      </c>
      <c r="AI64">
        <v>169584257.91670001</v>
      </c>
      <c r="AJ64">
        <v>15359154.1007</v>
      </c>
      <c r="AK64">
        <v>122860022.4707</v>
      </c>
      <c r="AL64">
        <v>3589335.4589999998</v>
      </c>
      <c r="AM64">
        <v>12403638.7947</v>
      </c>
      <c r="AN64">
        <v>1429119.2682</v>
      </c>
      <c r="AO64">
        <v>1339961.1488000001</v>
      </c>
      <c r="AP64">
        <v>10269043.9111</v>
      </c>
      <c r="AQ64">
        <v>2537804.7491000001</v>
      </c>
      <c r="AR64">
        <v>2537261.5216000001</v>
      </c>
      <c r="AS64">
        <v>30319603.7698</v>
      </c>
      <c r="AT64">
        <v>33989791.2258</v>
      </c>
      <c r="AU64">
        <v>9918604.5009000003</v>
      </c>
      <c r="AV64">
        <v>5014105.0537</v>
      </c>
      <c r="AW64">
        <v>2445888.5295000002</v>
      </c>
      <c r="AX64">
        <v>15646.8894</v>
      </c>
      <c r="AY64">
        <v>25122147.8488</v>
      </c>
      <c r="AZ64">
        <v>1287244.7671000001</v>
      </c>
      <c r="BA64">
        <v>27014877.277899999</v>
      </c>
      <c r="BB64">
        <v>19871323.103999998</v>
      </c>
      <c r="BC64">
        <v>8088689.3663999997</v>
      </c>
      <c r="BD64">
        <v>6808496.7775999997</v>
      </c>
      <c r="BE64">
        <v>0</v>
      </c>
      <c r="BF64">
        <v>1128183053.1433001</v>
      </c>
    </row>
  </sheetData>
  <mergeCells count="2">
    <mergeCell ref="BZ1:CA1"/>
    <mergeCell ref="CB1:CD1"/>
  </mergeCells>
  <conditionalFormatting sqref="BT2:BT56">
    <cfRule type="colorScale" priority="4">
      <colorScale>
        <cfvo type="min"/>
        <cfvo type="max"/>
        <color rgb="FFFCFCFF"/>
        <color rgb="FFF8696B"/>
      </colorScale>
    </cfRule>
  </conditionalFormatting>
  <conditionalFormatting sqref="BW2:BW56">
    <cfRule type="cellIs" dxfId="2" priority="1" operator="equal">
      <formula>"LOW"</formula>
    </cfRule>
    <cfRule type="cellIs" dxfId="1" priority="5" operator="equal">
      <formula>"very low"</formula>
    </cfRule>
  </conditionalFormatting>
  <conditionalFormatting sqref="BX2:BX56">
    <cfRule type="cellIs" dxfId="0" priority="2" operator="equal">
      <formula>"K1 (BL Tinggi, FL Tinggi)"</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8CE1E-1794-4236-86BC-AA630B4A6D97}">
  <sheetPr>
    <tabColor rgb="FFFFFF00"/>
  </sheetPr>
  <dimension ref="A1:I56"/>
  <sheetViews>
    <sheetView topLeftCell="A12" zoomScale="48" workbookViewId="0">
      <selection sqref="A1:B56"/>
    </sheetView>
  </sheetViews>
  <sheetFormatPr defaultRowHeight="14.5"/>
  <cols>
    <col min="1" max="1" width="8.36328125" bestFit="1" customWidth="1"/>
    <col min="2" max="2" width="87.08984375" bestFit="1" customWidth="1"/>
    <col min="3" max="3" width="11" hidden="1" customWidth="1"/>
    <col min="4" max="4" width="31" hidden="1" customWidth="1"/>
    <col min="5" max="5" width="58.90625" hidden="1" customWidth="1"/>
    <col min="6" max="6" width="11.36328125" bestFit="1" customWidth="1"/>
    <col min="7" max="7" width="13.54296875" bestFit="1" customWidth="1"/>
    <col min="8" max="8" width="17.6328125" bestFit="1" customWidth="1"/>
    <col min="9" max="9" width="11.54296875" style="4" bestFit="1" customWidth="1"/>
  </cols>
  <sheetData>
    <row r="1" spans="1:9" s="1" customFormat="1">
      <c r="A1" t="s">
        <v>263</v>
      </c>
      <c r="B1" t="s">
        <v>264</v>
      </c>
      <c r="C1" s="1" t="s">
        <v>265</v>
      </c>
      <c r="D1" s="1" t="s">
        <v>266</v>
      </c>
      <c r="E1" s="1" t="s">
        <v>267</v>
      </c>
      <c r="F1" t="s">
        <v>314</v>
      </c>
      <c r="G1" t="s">
        <v>315</v>
      </c>
      <c r="H1" t="s">
        <v>316</v>
      </c>
      <c r="I1" s="4" t="s">
        <v>317</v>
      </c>
    </row>
    <row r="2" spans="1:9">
      <c r="A2">
        <v>1</v>
      </c>
      <c r="B2" t="s">
        <v>69</v>
      </c>
      <c r="C2" t="s">
        <v>368</v>
      </c>
      <c r="D2" t="s">
        <v>369</v>
      </c>
      <c r="E2" t="s">
        <v>269</v>
      </c>
      <c r="F2">
        <v>1</v>
      </c>
      <c r="G2">
        <v>0</v>
      </c>
      <c r="H2">
        <v>0</v>
      </c>
      <c r="I2" s="4">
        <v>301420</v>
      </c>
    </row>
    <row r="3" spans="1:9">
      <c r="A3">
        <v>2</v>
      </c>
      <c r="B3" t="s">
        <v>70</v>
      </c>
      <c r="C3" t="s">
        <v>370</v>
      </c>
      <c r="D3" t="s">
        <v>270</v>
      </c>
      <c r="E3" t="s">
        <v>269</v>
      </c>
      <c r="F3">
        <v>1</v>
      </c>
      <c r="G3">
        <v>0</v>
      </c>
      <c r="H3">
        <v>0</v>
      </c>
      <c r="I3" s="4">
        <v>106345</v>
      </c>
    </row>
    <row r="4" spans="1:9">
      <c r="A4">
        <v>3</v>
      </c>
      <c r="B4" t="s">
        <v>71</v>
      </c>
      <c r="C4" t="s">
        <v>271</v>
      </c>
      <c r="D4" t="s">
        <v>71</v>
      </c>
      <c r="E4" t="s">
        <v>269</v>
      </c>
      <c r="F4">
        <v>1</v>
      </c>
      <c r="G4">
        <v>0</v>
      </c>
      <c r="H4">
        <v>0</v>
      </c>
      <c r="I4" s="4">
        <v>208167</v>
      </c>
    </row>
    <row r="5" spans="1:9">
      <c r="A5">
        <v>4</v>
      </c>
      <c r="B5" t="s">
        <v>72</v>
      </c>
      <c r="C5" t="s">
        <v>272</v>
      </c>
      <c r="D5" t="s">
        <v>371</v>
      </c>
      <c r="E5" t="s">
        <v>269</v>
      </c>
      <c r="F5">
        <v>1</v>
      </c>
      <c r="G5">
        <v>0</v>
      </c>
      <c r="H5">
        <v>0</v>
      </c>
      <c r="I5" s="4">
        <v>375145</v>
      </c>
    </row>
    <row r="6" spans="1:9">
      <c r="A6">
        <v>5</v>
      </c>
      <c r="B6" t="s">
        <v>73</v>
      </c>
      <c r="C6" t="s">
        <v>273</v>
      </c>
      <c r="D6" t="s">
        <v>372</v>
      </c>
      <c r="E6" t="s">
        <v>269</v>
      </c>
      <c r="F6">
        <v>1</v>
      </c>
      <c r="G6">
        <v>0</v>
      </c>
      <c r="H6">
        <v>0</v>
      </c>
      <c r="I6" s="4">
        <v>71359</v>
      </c>
    </row>
    <row r="7" spans="1:9">
      <c r="A7">
        <v>6</v>
      </c>
      <c r="B7" t="s">
        <v>74</v>
      </c>
      <c r="C7" t="s">
        <v>274</v>
      </c>
      <c r="D7" t="s">
        <v>74</v>
      </c>
      <c r="E7" t="s">
        <v>269</v>
      </c>
      <c r="F7">
        <v>1</v>
      </c>
      <c r="G7">
        <v>0</v>
      </c>
      <c r="H7">
        <v>0</v>
      </c>
      <c r="I7" s="4">
        <v>211536</v>
      </c>
    </row>
    <row r="8" spans="1:9">
      <c r="A8">
        <v>7</v>
      </c>
      <c r="B8" t="s">
        <v>75</v>
      </c>
      <c r="C8" t="s">
        <v>275</v>
      </c>
      <c r="D8" t="s">
        <v>373</v>
      </c>
      <c r="E8" t="s">
        <v>269</v>
      </c>
      <c r="F8">
        <v>0</v>
      </c>
      <c r="G8">
        <v>1</v>
      </c>
      <c r="H8" s="21">
        <v>2.2891362553301596E-3</v>
      </c>
      <c r="I8" s="4">
        <v>45609</v>
      </c>
    </row>
    <row r="9" spans="1:9">
      <c r="A9">
        <v>8</v>
      </c>
      <c r="B9" t="s">
        <v>76</v>
      </c>
      <c r="C9" t="s">
        <v>276</v>
      </c>
      <c r="D9" t="s">
        <v>374</v>
      </c>
      <c r="E9" t="s">
        <v>269</v>
      </c>
      <c r="F9">
        <v>1</v>
      </c>
      <c r="G9">
        <v>0</v>
      </c>
      <c r="H9">
        <v>0</v>
      </c>
      <c r="I9" s="4">
        <v>196766</v>
      </c>
    </row>
    <row r="10" spans="1:9">
      <c r="A10">
        <v>9</v>
      </c>
      <c r="B10" t="s">
        <v>77</v>
      </c>
      <c r="C10" t="s">
        <v>375</v>
      </c>
      <c r="D10" t="s">
        <v>77</v>
      </c>
      <c r="E10" t="s">
        <v>269</v>
      </c>
      <c r="F10">
        <v>1</v>
      </c>
      <c r="G10">
        <v>0</v>
      </c>
      <c r="H10">
        <v>0</v>
      </c>
      <c r="I10" s="4">
        <v>365350</v>
      </c>
    </row>
    <row r="11" spans="1:9">
      <c r="A11">
        <v>10</v>
      </c>
      <c r="B11" t="s">
        <v>78</v>
      </c>
      <c r="C11" t="s">
        <v>277</v>
      </c>
      <c r="D11" t="s">
        <v>376</v>
      </c>
      <c r="E11" t="s">
        <v>278</v>
      </c>
      <c r="F11">
        <v>0</v>
      </c>
      <c r="G11">
        <v>1</v>
      </c>
      <c r="H11" s="3">
        <v>-1.18E-2</v>
      </c>
      <c r="I11" s="4">
        <v>50788</v>
      </c>
    </row>
    <row r="12" spans="1:9">
      <c r="A12">
        <v>11</v>
      </c>
      <c r="B12" t="s">
        <v>79</v>
      </c>
      <c r="C12" t="s">
        <v>279</v>
      </c>
      <c r="D12" t="s">
        <v>377</v>
      </c>
      <c r="E12" t="s">
        <v>278</v>
      </c>
      <c r="F12">
        <v>0</v>
      </c>
      <c r="G12">
        <v>1</v>
      </c>
      <c r="H12" s="3">
        <v>0.13589999999999999</v>
      </c>
      <c r="I12" s="4">
        <v>31620</v>
      </c>
    </row>
    <row r="13" spans="1:9">
      <c r="A13">
        <v>12</v>
      </c>
      <c r="B13" t="s">
        <v>80</v>
      </c>
      <c r="C13" t="s">
        <v>378</v>
      </c>
      <c r="D13" t="s">
        <v>379</v>
      </c>
      <c r="E13" t="s">
        <v>278</v>
      </c>
      <c r="F13">
        <v>0</v>
      </c>
      <c r="G13">
        <v>1</v>
      </c>
      <c r="H13" s="3">
        <v>0</v>
      </c>
      <c r="I13" s="4">
        <v>0</v>
      </c>
    </row>
    <row r="14" spans="1:9">
      <c r="A14">
        <v>13</v>
      </c>
      <c r="B14" t="s">
        <v>81</v>
      </c>
      <c r="C14" t="s">
        <v>280</v>
      </c>
      <c r="D14" t="s">
        <v>380</v>
      </c>
      <c r="E14" t="s">
        <v>278</v>
      </c>
      <c r="F14">
        <v>0</v>
      </c>
      <c r="G14">
        <v>1</v>
      </c>
      <c r="H14" s="3">
        <v>2.5399999999999999E-2</v>
      </c>
      <c r="I14" s="4">
        <v>119112</v>
      </c>
    </row>
    <row r="15" spans="1:9">
      <c r="A15">
        <v>14</v>
      </c>
      <c r="B15" t="s">
        <v>82</v>
      </c>
      <c r="C15" t="s">
        <v>281</v>
      </c>
      <c r="D15" t="s">
        <v>381</v>
      </c>
      <c r="E15" t="s">
        <v>282</v>
      </c>
      <c r="F15">
        <v>0</v>
      </c>
      <c r="G15">
        <v>1</v>
      </c>
      <c r="H15" s="3">
        <v>2.7199999999999998E-2</v>
      </c>
      <c r="I15" s="4">
        <v>32076</v>
      </c>
    </row>
    <row r="16" spans="1:9">
      <c r="A16">
        <v>15</v>
      </c>
      <c r="B16" t="s">
        <v>83</v>
      </c>
      <c r="C16" t="s">
        <v>283</v>
      </c>
      <c r="D16" t="s">
        <v>382</v>
      </c>
      <c r="E16" t="s">
        <v>282</v>
      </c>
      <c r="F16">
        <v>0</v>
      </c>
      <c r="G16">
        <v>1</v>
      </c>
      <c r="H16" s="3">
        <v>5.28E-2</v>
      </c>
      <c r="I16" s="4">
        <v>181781</v>
      </c>
    </row>
    <row r="17" spans="1:9">
      <c r="A17">
        <v>16</v>
      </c>
      <c r="B17" t="s">
        <v>84</v>
      </c>
      <c r="C17" t="s">
        <v>284</v>
      </c>
      <c r="D17" t="s">
        <v>383</v>
      </c>
      <c r="E17" t="s">
        <v>282</v>
      </c>
      <c r="F17">
        <v>0</v>
      </c>
      <c r="G17">
        <v>1</v>
      </c>
      <c r="H17" s="3">
        <v>-2.6700000000000002E-2</v>
      </c>
      <c r="I17" s="4">
        <v>2</v>
      </c>
    </row>
    <row r="18" spans="1:9">
      <c r="A18">
        <v>17</v>
      </c>
      <c r="B18" t="s">
        <v>85</v>
      </c>
      <c r="C18" t="s">
        <v>285</v>
      </c>
      <c r="D18" t="s">
        <v>384</v>
      </c>
      <c r="E18" t="s">
        <v>282</v>
      </c>
      <c r="F18">
        <v>0</v>
      </c>
      <c r="G18">
        <v>1</v>
      </c>
      <c r="H18" s="3">
        <v>2.1999999999999999E-2</v>
      </c>
      <c r="I18" s="4">
        <v>895</v>
      </c>
    </row>
    <row r="19" spans="1:9">
      <c r="A19">
        <v>18</v>
      </c>
      <c r="B19" t="s">
        <v>86</v>
      </c>
      <c r="C19" t="s">
        <v>385</v>
      </c>
      <c r="D19" t="s">
        <v>386</v>
      </c>
      <c r="E19" t="s">
        <v>282</v>
      </c>
      <c r="F19">
        <v>0</v>
      </c>
      <c r="G19">
        <v>1</v>
      </c>
      <c r="H19" s="3">
        <v>5.5999999999999999E-3</v>
      </c>
      <c r="I19" s="4">
        <v>8</v>
      </c>
    </row>
    <row r="20" spans="1:9">
      <c r="A20">
        <v>19</v>
      </c>
      <c r="B20" t="s">
        <v>87</v>
      </c>
      <c r="C20" t="s">
        <v>387</v>
      </c>
      <c r="D20" t="s">
        <v>388</v>
      </c>
      <c r="E20" t="s">
        <v>282</v>
      </c>
      <c r="F20">
        <v>0</v>
      </c>
      <c r="G20">
        <v>1</v>
      </c>
      <c r="H20" s="3">
        <v>2.0500000000000001E-2</v>
      </c>
      <c r="I20" s="4">
        <v>4111</v>
      </c>
    </row>
    <row r="21" spans="1:9">
      <c r="A21">
        <v>20</v>
      </c>
      <c r="B21" t="s">
        <v>88</v>
      </c>
      <c r="C21" t="s">
        <v>286</v>
      </c>
      <c r="D21" t="s">
        <v>389</v>
      </c>
      <c r="E21" t="s">
        <v>282</v>
      </c>
      <c r="F21">
        <v>0</v>
      </c>
      <c r="G21">
        <v>1</v>
      </c>
      <c r="H21" s="3">
        <v>4.8899999999999999E-2</v>
      </c>
      <c r="I21" s="4">
        <v>33226</v>
      </c>
    </row>
    <row r="22" spans="1:9">
      <c r="A22">
        <v>21</v>
      </c>
      <c r="B22" t="s">
        <v>89</v>
      </c>
      <c r="C22" t="s">
        <v>287</v>
      </c>
      <c r="D22" t="s">
        <v>390</v>
      </c>
      <c r="E22" t="s">
        <v>282</v>
      </c>
      <c r="F22">
        <v>0</v>
      </c>
      <c r="G22">
        <v>1</v>
      </c>
      <c r="H22" s="3">
        <v>4.7E-2</v>
      </c>
      <c r="I22" s="4">
        <v>17467</v>
      </c>
    </row>
    <row r="23" spans="1:9">
      <c r="A23">
        <v>22</v>
      </c>
      <c r="B23" t="s">
        <v>90</v>
      </c>
      <c r="C23" t="s">
        <v>391</v>
      </c>
      <c r="D23" t="s">
        <v>392</v>
      </c>
      <c r="E23" t="s">
        <v>282</v>
      </c>
      <c r="F23">
        <v>0</v>
      </c>
      <c r="G23">
        <v>1</v>
      </c>
      <c r="H23" s="3">
        <v>2.18E-2</v>
      </c>
      <c r="I23" s="4">
        <v>39168</v>
      </c>
    </row>
    <row r="24" spans="1:9">
      <c r="A24">
        <v>23</v>
      </c>
      <c r="B24" t="s">
        <v>91</v>
      </c>
      <c r="C24" t="s">
        <v>288</v>
      </c>
      <c r="D24" t="s">
        <v>393</v>
      </c>
      <c r="E24" t="s">
        <v>282</v>
      </c>
      <c r="F24">
        <v>0</v>
      </c>
      <c r="G24">
        <v>1</v>
      </c>
      <c r="H24" s="3">
        <v>1.8800000000000001E-2</v>
      </c>
      <c r="I24" s="4">
        <v>7961</v>
      </c>
    </row>
    <row r="25" spans="1:9">
      <c r="A25">
        <v>24</v>
      </c>
      <c r="B25" t="s">
        <v>92</v>
      </c>
      <c r="C25" t="s">
        <v>289</v>
      </c>
      <c r="D25" t="s">
        <v>394</v>
      </c>
      <c r="E25" t="s">
        <v>282</v>
      </c>
      <c r="F25">
        <v>0</v>
      </c>
      <c r="G25">
        <v>1</v>
      </c>
      <c r="H25" s="3">
        <v>-5.7000000000000002E-3</v>
      </c>
      <c r="I25" s="4">
        <v>155</v>
      </c>
    </row>
    <row r="26" spans="1:9">
      <c r="A26">
        <v>25</v>
      </c>
      <c r="B26" t="s">
        <v>93</v>
      </c>
      <c r="C26" t="s">
        <v>290</v>
      </c>
      <c r="D26" t="s">
        <v>395</v>
      </c>
      <c r="E26" t="s">
        <v>282</v>
      </c>
      <c r="F26">
        <v>0</v>
      </c>
      <c r="G26">
        <v>1</v>
      </c>
      <c r="H26" s="3">
        <v>-4.0000000000000001E-3</v>
      </c>
      <c r="I26" s="4">
        <v>3136</v>
      </c>
    </row>
    <row r="27" spans="1:9">
      <c r="A27">
        <v>26</v>
      </c>
      <c r="B27" t="s">
        <v>94</v>
      </c>
      <c r="C27" t="s">
        <v>396</v>
      </c>
      <c r="D27" t="s">
        <v>397</v>
      </c>
      <c r="E27" t="s">
        <v>282</v>
      </c>
      <c r="F27">
        <v>0</v>
      </c>
      <c r="G27">
        <v>1</v>
      </c>
      <c r="H27" s="3">
        <v>1.06E-2</v>
      </c>
      <c r="I27" s="4">
        <v>76</v>
      </c>
    </row>
    <row r="28" spans="1:9">
      <c r="A28">
        <v>27</v>
      </c>
      <c r="B28" t="s">
        <v>95</v>
      </c>
      <c r="C28" t="s">
        <v>291</v>
      </c>
      <c r="D28" t="s">
        <v>398</v>
      </c>
      <c r="E28" t="s">
        <v>282</v>
      </c>
      <c r="F28">
        <v>0</v>
      </c>
      <c r="G28">
        <v>1</v>
      </c>
      <c r="H28" s="3">
        <v>1.01E-2</v>
      </c>
      <c r="I28" s="4">
        <v>486</v>
      </c>
    </row>
    <row r="29" spans="1:9">
      <c r="A29">
        <v>28</v>
      </c>
      <c r="B29" t="s">
        <v>96</v>
      </c>
      <c r="C29" t="s">
        <v>292</v>
      </c>
      <c r="D29" t="s">
        <v>399</v>
      </c>
      <c r="E29" t="s">
        <v>282</v>
      </c>
      <c r="F29">
        <v>0</v>
      </c>
      <c r="G29">
        <v>1</v>
      </c>
      <c r="H29" s="3">
        <v>5.7000000000000002E-3</v>
      </c>
      <c r="I29" s="4">
        <v>885</v>
      </c>
    </row>
    <row r="30" spans="1:9">
      <c r="A30">
        <v>29</v>
      </c>
      <c r="B30" t="s">
        <v>97</v>
      </c>
      <c r="C30" t="s">
        <v>400</v>
      </c>
      <c r="D30" t="s">
        <v>401</v>
      </c>
      <c r="E30" t="s">
        <v>282</v>
      </c>
      <c r="F30">
        <v>0</v>
      </c>
      <c r="G30">
        <v>1</v>
      </c>
      <c r="H30" s="3">
        <v>-5.8999999999999999E-3</v>
      </c>
      <c r="I30" s="4">
        <v>1629</v>
      </c>
    </row>
    <row r="31" spans="1:9">
      <c r="A31">
        <v>30</v>
      </c>
      <c r="B31" t="s">
        <v>98</v>
      </c>
      <c r="C31" t="s">
        <v>402</v>
      </c>
      <c r="D31" t="s">
        <v>98</v>
      </c>
      <c r="E31" t="s">
        <v>293</v>
      </c>
      <c r="F31">
        <v>0</v>
      </c>
      <c r="G31">
        <v>1</v>
      </c>
      <c r="H31" s="3">
        <v>4.8300000000000003E-2</v>
      </c>
      <c r="I31" s="4">
        <v>4840</v>
      </c>
    </row>
    <row r="32" spans="1:9">
      <c r="A32">
        <v>31</v>
      </c>
      <c r="B32" t="s">
        <v>99</v>
      </c>
      <c r="C32" t="s">
        <v>294</v>
      </c>
      <c r="D32" t="s">
        <v>403</v>
      </c>
      <c r="E32" t="s">
        <v>293</v>
      </c>
      <c r="F32">
        <v>0</v>
      </c>
      <c r="G32">
        <v>1</v>
      </c>
      <c r="H32" s="3">
        <v>0.1095</v>
      </c>
      <c r="I32" s="4">
        <v>204</v>
      </c>
    </row>
    <row r="33" spans="1:9">
      <c r="A33">
        <v>32</v>
      </c>
      <c r="B33" t="s">
        <v>100</v>
      </c>
      <c r="C33" t="s">
        <v>404</v>
      </c>
      <c r="D33" t="s">
        <v>405</v>
      </c>
      <c r="E33" t="s">
        <v>406</v>
      </c>
      <c r="F33">
        <v>0</v>
      </c>
      <c r="G33">
        <v>1</v>
      </c>
      <c r="H33" s="3">
        <v>2.0000000000000001E-4</v>
      </c>
      <c r="I33" s="4">
        <v>3234</v>
      </c>
    </row>
    <row r="34" spans="1:9">
      <c r="A34">
        <v>33</v>
      </c>
      <c r="B34" t="s">
        <v>101</v>
      </c>
      <c r="C34" t="s">
        <v>295</v>
      </c>
      <c r="D34" t="s">
        <v>101</v>
      </c>
      <c r="E34" t="s">
        <v>101</v>
      </c>
      <c r="F34">
        <v>0</v>
      </c>
      <c r="G34">
        <v>1</v>
      </c>
      <c r="H34" s="3">
        <v>3.3399999999999999E-2</v>
      </c>
      <c r="I34" s="4">
        <v>464275</v>
      </c>
    </row>
    <row r="35" spans="1:9">
      <c r="A35">
        <v>34</v>
      </c>
      <c r="B35" t="s">
        <v>102</v>
      </c>
      <c r="C35" t="s">
        <v>407</v>
      </c>
      <c r="D35" t="s">
        <v>408</v>
      </c>
      <c r="E35" t="s">
        <v>297</v>
      </c>
      <c r="F35">
        <v>0</v>
      </c>
      <c r="G35">
        <v>1</v>
      </c>
      <c r="H35" s="3">
        <v>3.1300000000000001E-2</v>
      </c>
      <c r="I35" s="4">
        <v>76982</v>
      </c>
    </row>
    <row r="36" spans="1:9">
      <c r="A36">
        <v>35</v>
      </c>
      <c r="B36" t="s">
        <v>103</v>
      </c>
      <c r="C36" t="s">
        <v>298</v>
      </c>
      <c r="D36" t="s">
        <v>409</v>
      </c>
      <c r="E36" t="s">
        <v>297</v>
      </c>
      <c r="F36">
        <v>0</v>
      </c>
      <c r="G36">
        <v>1</v>
      </c>
      <c r="H36" s="3">
        <v>8.8400000000000006E-2</v>
      </c>
      <c r="I36" s="4">
        <v>423327</v>
      </c>
    </row>
    <row r="37" spans="1:9">
      <c r="A37">
        <v>36</v>
      </c>
      <c r="B37" t="s">
        <v>104</v>
      </c>
      <c r="C37" t="s">
        <v>299</v>
      </c>
      <c r="D37" t="s">
        <v>410</v>
      </c>
      <c r="E37" t="s">
        <v>300</v>
      </c>
      <c r="F37">
        <v>0</v>
      </c>
      <c r="G37">
        <v>1</v>
      </c>
      <c r="H37" s="3">
        <v>0.16880000000000001</v>
      </c>
      <c r="I37" s="4">
        <v>12892</v>
      </c>
    </row>
    <row r="38" spans="1:9">
      <c r="A38">
        <v>37</v>
      </c>
      <c r="B38" t="s">
        <v>105</v>
      </c>
      <c r="C38" t="s">
        <v>301</v>
      </c>
      <c r="D38" t="s">
        <v>411</v>
      </c>
      <c r="E38" t="s">
        <v>300</v>
      </c>
      <c r="F38">
        <v>0</v>
      </c>
      <c r="G38">
        <v>1</v>
      </c>
      <c r="H38" s="3">
        <v>2.53E-2</v>
      </c>
      <c r="I38" s="4">
        <v>24022</v>
      </c>
    </row>
    <row r="39" spans="1:9">
      <c r="A39">
        <v>38</v>
      </c>
      <c r="B39" t="s">
        <v>106</v>
      </c>
      <c r="C39" t="s">
        <v>302</v>
      </c>
      <c r="D39" t="s">
        <v>412</v>
      </c>
      <c r="E39" t="s">
        <v>300</v>
      </c>
      <c r="F39">
        <v>0</v>
      </c>
      <c r="G39">
        <v>1</v>
      </c>
      <c r="H39" s="3">
        <v>1.0999999999999999E-2</v>
      </c>
      <c r="I39" s="4">
        <v>2092</v>
      </c>
    </row>
    <row r="40" spans="1:9">
      <c r="A40">
        <v>39</v>
      </c>
      <c r="B40" t="s">
        <v>107</v>
      </c>
      <c r="C40" t="s">
        <v>413</v>
      </c>
      <c r="D40" t="s">
        <v>414</v>
      </c>
      <c r="E40" t="s">
        <v>300</v>
      </c>
      <c r="F40">
        <v>0</v>
      </c>
      <c r="G40">
        <v>1</v>
      </c>
      <c r="H40" s="3">
        <v>3.4500000000000003E-2</v>
      </c>
      <c r="I40" s="4">
        <v>3335</v>
      </c>
    </row>
    <row r="41" spans="1:9">
      <c r="A41">
        <v>40</v>
      </c>
      <c r="B41" t="s">
        <v>108</v>
      </c>
      <c r="C41" t="s">
        <v>303</v>
      </c>
      <c r="D41" t="s">
        <v>415</v>
      </c>
      <c r="E41" t="s">
        <v>300</v>
      </c>
      <c r="F41">
        <v>0</v>
      </c>
      <c r="G41">
        <v>1</v>
      </c>
      <c r="H41" s="3">
        <v>9.8799999999999999E-2</v>
      </c>
      <c r="I41" s="4">
        <v>18227</v>
      </c>
    </row>
    <row r="42" spans="1:9">
      <c r="A42">
        <v>41</v>
      </c>
      <c r="B42" t="s">
        <v>109</v>
      </c>
      <c r="C42" t="s">
        <v>416</v>
      </c>
      <c r="D42" t="s">
        <v>417</v>
      </c>
      <c r="E42" t="s">
        <v>300</v>
      </c>
      <c r="F42">
        <v>0</v>
      </c>
      <c r="G42">
        <v>1</v>
      </c>
      <c r="H42" s="3">
        <v>6.5100000000000005E-2</v>
      </c>
      <c r="I42" s="4">
        <v>7305</v>
      </c>
    </row>
    <row r="43" spans="1:9">
      <c r="A43">
        <v>42</v>
      </c>
      <c r="B43" t="s">
        <v>110</v>
      </c>
      <c r="C43" t="s">
        <v>418</v>
      </c>
      <c r="D43" t="s">
        <v>419</v>
      </c>
      <c r="E43" t="s">
        <v>304</v>
      </c>
      <c r="F43">
        <v>0</v>
      </c>
      <c r="G43">
        <v>1</v>
      </c>
      <c r="H43" s="3">
        <v>0.1036</v>
      </c>
      <c r="I43" s="4">
        <v>5612</v>
      </c>
    </row>
    <row r="44" spans="1:9">
      <c r="A44">
        <v>43</v>
      </c>
      <c r="B44" t="s">
        <v>111</v>
      </c>
      <c r="C44" t="s">
        <v>296</v>
      </c>
      <c r="D44" t="s">
        <v>420</v>
      </c>
      <c r="E44" t="s">
        <v>304</v>
      </c>
      <c r="F44">
        <v>0</v>
      </c>
      <c r="G44">
        <v>1</v>
      </c>
      <c r="H44" s="3">
        <v>0.10249999999999999</v>
      </c>
      <c r="I44" s="4">
        <v>67186</v>
      </c>
    </row>
    <row r="45" spans="1:9">
      <c r="A45">
        <v>44</v>
      </c>
      <c r="B45" t="s">
        <v>112</v>
      </c>
      <c r="C45" t="s">
        <v>421</v>
      </c>
      <c r="D45" t="s">
        <v>422</v>
      </c>
      <c r="E45" t="s">
        <v>305</v>
      </c>
      <c r="F45">
        <v>0</v>
      </c>
      <c r="G45">
        <v>1</v>
      </c>
      <c r="H45" s="3">
        <v>7.0900000000000005E-2</v>
      </c>
      <c r="I45" s="4">
        <v>76503</v>
      </c>
    </row>
    <row r="46" spans="1:9">
      <c r="A46">
        <v>45</v>
      </c>
      <c r="B46" t="s">
        <v>113</v>
      </c>
      <c r="C46" t="s">
        <v>306</v>
      </c>
      <c r="D46" t="s">
        <v>423</v>
      </c>
      <c r="E46" t="s">
        <v>307</v>
      </c>
      <c r="F46">
        <v>0</v>
      </c>
      <c r="G46">
        <v>1</v>
      </c>
      <c r="H46" s="3">
        <v>4.7300000000000002E-2</v>
      </c>
      <c r="I46" s="4">
        <v>56514</v>
      </c>
    </row>
    <row r="47" spans="1:9">
      <c r="A47">
        <v>46</v>
      </c>
      <c r="B47" t="s">
        <v>114</v>
      </c>
      <c r="C47" t="s">
        <v>308</v>
      </c>
      <c r="D47" t="s">
        <v>424</v>
      </c>
      <c r="E47" t="s">
        <v>307</v>
      </c>
      <c r="F47">
        <v>0</v>
      </c>
      <c r="G47">
        <v>1</v>
      </c>
      <c r="H47" s="3">
        <v>1.6E-2</v>
      </c>
      <c r="I47" s="4">
        <v>22869</v>
      </c>
    </row>
    <row r="48" spans="1:9">
      <c r="A48">
        <v>47</v>
      </c>
      <c r="B48" t="s">
        <v>115</v>
      </c>
      <c r="C48" t="s">
        <v>309</v>
      </c>
      <c r="D48" t="s">
        <v>425</v>
      </c>
      <c r="E48" t="s">
        <v>307</v>
      </c>
      <c r="F48">
        <v>0</v>
      </c>
      <c r="G48">
        <v>1</v>
      </c>
      <c r="H48" s="3">
        <v>5.8400000000000001E-2</v>
      </c>
      <c r="I48" s="4">
        <v>11050</v>
      </c>
    </row>
    <row r="49" spans="1:9">
      <c r="A49">
        <v>48</v>
      </c>
      <c r="B49" t="s">
        <v>116</v>
      </c>
      <c r="C49" t="s">
        <v>426</v>
      </c>
      <c r="D49" t="s">
        <v>427</v>
      </c>
      <c r="E49" t="s">
        <v>307</v>
      </c>
      <c r="F49">
        <v>0</v>
      </c>
      <c r="G49">
        <v>1</v>
      </c>
      <c r="H49" s="3">
        <v>3.9E-2</v>
      </c>
      <c r="I49" s="4">
        <v>62</v>
      </c>
    </row>
    <row r="50" spans="1:9">
      <c r="A50">
        <v>49</v>
      </c>
      <c r="B50" t="s">
        <v>117</v>
      </c>
      <c r="C50" t="s">
        <v>310</v>
      </c>
      <c r="D50" t="s">
        <v>428</v>
      </c>
      <c r="E50" t="s">
        <v>429</v>
      </c>
      <c r="F50">
        <v>0</v>
      </c>
      <c r="G50">
        <v>1</v>
      </c>
      <c r="H50" s="3">
        <v>6.25E-2</v>
      </c>
      <c r="I50" s="4">
        <v>21718</v>
      </c>
    </row>
    <row r="51" spans="1:9">
      <c r="A51">
        <v>50</v>
      </c>
      <c r="B51" t="s">
        <v>118</v>
      </c>
      <c r="C51" t="s">
        <v>430</v>
      </c>
      <c r="D51" t="s">
        <v>431</v>
      </c>
      <c r="E51" t="s">
        <v>118</v>
      </c>
      <c r="F51">
        <v>0</v>
      </c>
      <c r="G51">
        <v>1</v>
      </c>
      <c r="H51" s="3">
        <v>3.3700000000000001E-2</v>
      </c>
      <c r="I51" s="4">
        <v>5467</v>
      </c>
    </row>
    <row r="52" spans="1:9">
      <c r="A52">
        <v>51</v>
      </c>
      <c r="B52" t="s">
        <v>119</v>
      </c>
      <c r="C52" t="s">
        <v>432</v>
      </c>
      <c r="D52" t="s">
        <v>433</v>
      </c>
      <c r="E52" t="s">
        <v>434</v>
      </c>
      <c r="F52">
        <v>0</v>
      </c>
      <c r="G52">
        <v>1</v>
      </c>
      <c r="H52" s="3">
        <v>4.8099999999999997E-2</v>
      </c>
      <c r="I52" s="4">
        <v>163082</v>
      </c>
    </row>
    <row r="53" spans="1:9">
      <c r="A53">
        <v>52</v>
      </c>
      <c r="B53" t="s">
        <v>120</v>
      </c>
      <c r="C53" t="s">
        <v>435</v>
      </c>
      <c r="D53" t="s">
        <v>436</v>
      </c>
      <c r="E53" t="s">
        <v>120</v>
      </c>
      <c r="F53">
        <v>0</v>
      </c>
      <c r="G53">
        <v>1</v>
      </c>
      <c r="H53" s="3">
        <v>4.4200000000000003E-2</v>
      </c>
      <c r="I53" s="4">
        <v>147611</v>
      </c>
    </row>
    <row r="54" spans="1:9">
      <c r="A54">
        <v>53</v>
      </c>
      <c r="B54" t="s">
        <v>121</v>
      </c>
      <c r="C54" t="s">
        <v>437</v>
      </c>
      <c r="D54" t="s">
        <v>438</v>
      </c>
      <c r="E54" t="s">
        <v>121</v>
      </c>
      <c r="F54">
        <v>0</v>
      </c>
      <c r="G54">
        <v>1</v>
      </c>
      <c r="H54" s="3">
        <v>4.58E-2</v>
      </c>
      <c r="I54" s="4">
        <v>31163</v>
      </c>
    </row>
    <row r="55" spans="1:9">
      <c r="A55">
        <v>54</v>
      </c>
      <c r="B55" t="s">
        <v>122</v>
      </c>
      <c r="C55" t="s">
        <v>311</v>
      </c>
      <c r="D55" t="s">
        <v>313</v>
      </c>
      <c r="E55" t="s">
        <v>312</v>
      </c>
      <c r="F55">
        <v>0</v>
      </c>
      <c r="G55">
        <v>1</v>
      </c>
      <c r="H55" s="3">
        <v>2.63E-2</v>
      </c>
      <c r="I55" s="4">
        <v>35532</v>
      </c>
    </row>
    <row r="56" spans="1:9">
      <c r="A56">
        <v>55</v>
      </c>
      <c r="B56" t="s">
        <v>123</v>
      </c>
      <c r="C56" t="s">
        <v>439</v>
      </c>
      <c r="D56" t="s">
        <v>440</v>
      </c>
      <c r="E56" t="s">
        <v>312</v>
      </c>
      <c r="F56">
        <v>0</v>
      </c>
      <c r="G56">
        <v>1</v>
      </c>
      <c r="H56" s="3">
        <v>0</v>
      </c>
      <c r="I56" s="4">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F889A-B6E3-4C1E-9BC7-327F4DC31974}">
  <sheetPr>
    <tabColor rgb="FFFFFF00"/>
  </sheetPr>
  <dimension ref="A1:L31"/>
  <sheetViews>
    <sheetView workbookViewId="0">
      <selection activeCell="A31" sqref="A31:E31"/>
    </sheetView>
  </sheetViews>
  <sheetFormatPr defaultRowHeight="14.5"/>
  <cols>
    <col min="2" max="2" width="43.08984375" customWidth="1"/>
    <col min="3" max="11" width="16.08984375" customWidth="1"/>
    <col min="12" max="12" width="4.90625" bestFit="1" customWidth="1"/>
  </cols>
  <sheetData>
    <row r="1" spans="1:12" s="22" customFormat="1" ht="43.5">
      <c r="A1" s="26" t="s">
        <v>362</v>
      </c>
      <c r="B1" s="26" t="s">
        <v>363</v>
      </c>
      <c r="C1" s="27" t="s">
        <v>268</v>
      </c>
      <c r="D1" s="27" t="s">
        <v>441</v>
      </c>
      <c r="E1" s="27" t="s">
        <v>71</v>
      </c>
      <c r="F1" s="27" t="s">
        <v>72</v>
      </c>
      <c r="G1" s="27" t="s">
        <v>73</v>
      </c>
      <c r="H1" s="27" t="s">
        <v>74</v>
      </c>
      <c r="I1" s="27" t="s">
        <v>442</v>
      </c>
      <c r="J1" s="27" t="s">
        <v>77</v>
      </c>
      <c r="K1" s="27" t="s">
        <v>445</v>
      </c>
      <c r="L1" s="28" t="s">
        <v>444</v>
      </c>
    </row>
    <row r="2" spans="1:12">
      <c r="A2" s="24">
        <v>1</v>
      </c>
      <c r="B2" s="24" t="s">
        <v>335</v>
      </c>
      <c r="C2" s="24"/>
      <c r="D2" s="24"/>
      <c r="E2" s="24"/>
      <c r="F2" s="24"/>
      <c r="G2" s="24"/>
      <c r="H2" s="24"/>
      <c r="I2" s="24"/>
      <c r="J2" s="24"/>
      <c r="K2" s="24"/>
      <c r="L2" s="24"/>
    </row>
    <row r="3" spans="1:12">
      <c r="A3" s="24">
        <v>2</v>
      </c>
      <c r="B3" s="24" t="s">
        <v>336</v>
      </c>
      <c r="C3" s="24"/>
      <c r="D3" s="24"/>
      <c r="E3" s="24"/>
      <c r="F3" s="24"/>
      <c r="G3" s="24"/>
      <c r="H3" s="24"/>
      <c r="I3" s="24"/>
      <c r="J3" s="24"/>
      <c r="K3" s="24"/>
      <c r="L3" s="24"/>
    </row>
    <row r="4" spans="1:12">
      <c r="A4" s="24">
        <v>3</v>
      </c>
      <c r="B4" s="24" t="s">
        <v>337</v>
      </c>
      <c r="C4" s="24"/>
      <c r="D4" s="24"/>
      <c r="E4" s="24"/>
      <c r="F4" s="24"/>
      <c r="G4" s="24"/>
      <c r="H4" s="24"/>
      <c r="I4" s="24"/>
      <c r="J4" s="24"/>
      <c r="K4" s="24"/>
      <c r="L4" s="24"/>
    </row>
    <row r="5" spans="1:12">
      <c r="A5" s="24">
        <v>4</v>
      </c>
      <c r="B5" s="24" t="s">
        <v>338</v>
      </c>
      <c r="C5" s="24"/>
      <c r="D5" s="24"/>
      <c r="E5" s="24"/>
      <c r="F5" s="24"/>
      <c r="G5" s="24"/>
      <c r="H5" s="24"/>
      <c r="I5" s="24"/>
      <c r="J5" s="24"/>
      <c r="K5" s="24"/>
      <c r="L5" s="24"/>
    </row>
    <row r="6" spans="1:12">
      <c r="A6" s="24">
        <v>5</v>
      </c>
      <c r="B6" s="24" t="s">
        <v>339</v>
      </c>
      <c r="C6" s="24"/>
      <c r="D6" s="24"/>
      <c r="E6" s="24"/>
      <c r="F6" s="24"/>
      <c r="G6" s="24"/>
      <c r="H6" s="24"/>
      <c r="I6" s="24"/>
      <c r="J6" s="24"/>
      <c r="K6" s="24"/>
      <c r="L6" s="24"/>
    </row>
    <row r="7" spans="1:12">
      <c r="A7" s="24">
        <v>6</v>
      </c>
      <c r="B7" s="24" t="s">
        <v>340</v>
      </c>
      <c r="C7" s="24"/>
      <c r="D7" s="24"/>
      <c r="E7" s="24"/>
      <c r="F7" s="24"/>
      <c r="G7" s="24"/>
      <c r="H7" s="24"/>
      <c r="I7" s="24"/>
      <c r="J7" s="24"/>
      <c r="K7" s="24"/>
      <c r="L7" s="24"/>
    </row>
    <row r="8" spans="1:12">
      <c r="A8" s="24">
        <v>7</v>
      </c>
      <c r="B8" s="24" t="s">
        <v>341</v>
      </c>
      <c r="C8" s="24"/>
      <c r="D8" s="24"/>
      <c r="E8" s="24"/>
      <c r="F8" s="24"/>
      <c r="G8" s="24"/>
      <c r="H8" s="24"/>
      <c r="I8" s="24"/>
      <c r="J8" s="24"/>
      <c r="K8" s="24"/>
      <c r="L8" s="24"/>
    </row>
    <row r="9" spans="1:12">
      <c r="A9" s="24">
        <v>8</v>
      </c>
      <c r="B9" s="24" t="s">
        <v>342</v>
      </c>
      <c r="C9" s="24"/>
      <c r="D9" s="24"/>
      <c r="E9" s="24"/>
      <c r="F9" s="24"/>
      <c r="G9" s="24"/>
      <c r="H9" s="24"/>
      <c r="I9" s="24"/>
      <c r="J9" s="24"/>
      <c r="K9" s="24"/>
      <c r="L9" s="24"/>
    </row>
    <row r="10" spans="1:12">
      <c r="A10" s="24">
        <v>9</v>
      </c>
      <c r="B10" s="24" t="s">
        <v>343</v>
      </c>
      <c r="C10" s="24"/>
      <c r="D10" s="24"/>
      <c r="E10" s="24"/>
      <c r="F10" s="24"/>
      <c r="G10" s="24"/>
      <c r="H10" s="24"/>
      <c r="I10" s="24"/>
      <c r="J10" s="24"/>
      <c r="K10" s="24"/>
      <c r="L10" s="24"/>
    </row>
    <row r="11" spans="1:12">
      <c r="A11" s="24">
        <v>10</v>
      </c>
      <c r="B11" s="24" t="s">
        <v>344</v>
      </c>
      <c r="C11" s="24"/>
      <c r="D11" s="24"/>
      <c r="E11" s="24"/>
      <c r="F11" s="24"/>
      <c r="G11" s="24"/>
      <c r="H11" s="24"/>
      <c r="I11" s="24"/>
      <c r="J11" s="24"/>
      <c r="K11" s="24"/>
      <c r="L11" s="24"/>
    </row>
    <row r="12" spans="1:12">
      <c r="A12" s="24">
        <v>11</v>
      </c>
      <c r="B12" s="24" t="s">
        <v>345</v>
      </c>
      <c r="C12" s="25">
        <v>0.05</v>
      </c>
      <c r="D12" s="24"/>
      <c r="E12" s="25">
        <v>0.5</v>
      </c>
      <c r="F12" s="24"/>
      <c r="G12" s="25">
        <v>0.1</v>
      </c>
      <c r="H12" s="24"/>
      <c r="I12" s="24"/>
      <c r="J12" s="24"/>
      <c r="K12" s="25">
        <v>0.35</v>
      </c>
      <c r="L12" s="24">
        <f>SUM(C12:K12)</f>
        <v>1</v>
      </c>
    </row>
    <row r="13" spans="1:12">
      <c r="A13" s="24">
        <v>12</v>
      </c>
      <c r="B13" s="24" t="s">
        <v>346</v>
      </c>
      <c r="C13" s="24"/>
      <c r="D13" s="24"/>
      <c r="E13" s="24"/>
      <c r="F13" s="24"/>
      <c r="G13" s="24"/>
      <c r="H13" s="24"/>
      <c r="I13" s="24"/>
      <c r="J13" s="24"/>
      <c r="K13" s="24"/>
      <c r="L13" s="24"/>
    </row>
    <row r="14" spans="1:12">
      <c r="A14" s="24">
        <v>13</v>
      </c>
      <c r="B14" s="24" t="s">
        <v>347</v>
      </c>
      <c r="C14" s="24"/>
      <c r="D14" s="24"/>
      <c r="E14" s="24"/>
      <c r="F14" s="24"/>
      <c r="G14" s="24"/>
      <c r="H14" s="24"/>
      <c r="I14" s="24"/>
      <c r="J14" s="24"/>
      <c r="K14" s="24"/>
      <c r="L14" s="24"/>
    </row>
    <row r="15" spans="1:12">
      <c r="A15" s="24">
        <v>14</v>
      </c>
      <c r="B15" s="24" t="s">
        <v>348</v>
      </c>
      <c r="C15" s="24"/>
      <c r="D15" s="24"/>
      <c r="E15" s="24"/>
      <c r="F15" s="24"/>
      <c r="G15" s="24"/>
      <c r="H15" s="24"/>
      <c r="I15" s="24"/>
      <c r="J15" s="24"/>
      <c r="K15" s="24"/>
      <c r="L15" s="24"/>
    </row>
    <row r="16" spans="1:12">
      <c r="A16" s="24">
        <v>15</v>
      </c>
      <c r="B16" s="24" t="s">
        <v>349</v>
      </c>
      <c r="C16" s="24"/>
      <c r="D16" s="24"/>
      <c r="E16" s="24"/>
      <c r="F16" s="24"/>
      <c r="G16" s="24"/>
      <c r="H16" s="24"/>
      <c r="I16" s="24"/>
      <c r="J16" s="24"/>
      <c r="K16" s="24"/>
      <c r="L16" s="24"/>
    </row>
    <row r="17" spans="1:12">
      <c r="A17" s="24">
        <v>16</v>
      </c>
      <c r="B17" s="24" t="s">
        <v>350</v>
      </c>
      <c r="C17" s="24"/>
      <c r="D17" s="24"/>
      <c r="E17" s="24"/>
      <c r="F17" s="24"/>
      <c r="G17" s="24"/>
      <c r="H17" s="24"/>
      <c r="I17" s="24"/>
      <c r="J17" s="24"/>
      <c r="K17" s="24"/>
      <c r="L17" s="24"/>
    </row>
    <row r="18" spans="1:12">
      <c r="A18" s="24">
        <v>17</v>
      </c>
      <c r="B18" s="24" t="s">
        <v>351</v>
      </c>
      <c r="C18" s="24"/>
      <c r="D18" s="24"/>
      <c r="E18" s="24"/>
      <c r="F18" s="24"/>
      <c r="G18" s="24"/>
      <c r="H18" s="24"/>
      <c r="I18" s="24"/>
      <c r="J18" s="24"/>
      <c r="K18" s="24"/>
      <c r="L18" s="24"/>
    </row>
    <row r="19" spans="1:12">
      <c r="A19" s="24">
        <v>18</v>
      </c>
      <c r="B19" s="24" t="s">
        <v>352</v>
      </c>
      <c r="C19" s="24"/>
      <c r="D19" s="24"/>
      <c r="E19" s="24"/>
      <c r="F19" s="24"/>
      <c r="G19" s="24"/>
      <c r="H19" s="24"/>
      <c r="I19" s="24"/>
      <c r="J19" s="24"/>
      <c r="K19" s="24"/>
      <c r="L19" s="24"/>
    </row>
    <row r="20" spans="1:12">
      <c r="A20" s="24">
        <v>19</v>
      </c>
      <c r="B20" s="24" t="s">
        <v>353</v>
      </c>
      <c r="C20" s="24"/>
      <c r="D20" s="24"/>
      <c r="E20" s="24"/>
      <c r="F20" s="24"/>
      <c r="G20" s="24"/>
      <c r="H20" s="24"/>
      <c r="I20" s="24"/>
      <c r="J20" s="24"/>
      <c r="K20" s="24"/>
      <c r="L20" s="24"/>
    </row>
    <row r="21" spans="1:12">
      <c r="A21" s="24">
        <v>20</v>
      </c>
      <c r="B21" s="24" t="s">
        <v>354</v>
      </c>
      <c r="C21" s="24"/>
      <c r="D21" s="24"/>
      <c r="E21" s="24"/>
      <c r="F21" s="24"/>
      <c r="G21" s="24"/>
      <c r="H21" s="24"/>
      <c r="I21" s="24"/>
      <c r="J21" s="24"/>
      <c r="K21" s="24"/>
      <c r="L21" s="24"/>
    </row>
    <row r="22" spans="1:12">
      <c r="A22" s="24">
        <v>21</v>
      </c>
      <c r="B22" s="24" t="s">
        <v>355</v>
      </c>
      <c r="C22" s="24"/>
      <c r="D22" s="24"/>
      <c r="E22" s="24"/>
      <c r="F22" s="24"/>
      <c r="G22" s="24"/>
      <c r="H22" s="24"/>
      <c r="I22" s="24"/>
      <c r="J22" s="24"/>
      <c r="K22" s="24"/>
      <c r="L22" s="24"/>
    </row>
    <row r="23" spans="1:12">
      <c r="A23" s="24">
        <v>22</v>
      </c>
      <c r="B23" s="24" t="s">
        <v>356</v>
      </c>
      <c r="C23" s="24"/>
      <c r="D23" s="24"/>
      <c r="E23" s="24"/>
      <c r="F23" s="24"/>
      <c r="G23" s="24"/>
      <c r="H23" s="24"/>
      <c r="I23" s="24"/>
      <c r="J23" s="24"/>
      <c r="K23" s="24"/>
      <c r="L23" s="24"/>
    </row>
    <row r="24" spans="1:12">
      <c r="A24" s="24">
        <v>23</v>
      </c>
      <c r="B24" s="24" t="s">
        <v>357</v>
      </c>
      <c r="C24" s="24"/>
      <c r="D24" s="24"/>
      <c r="E24" s="24"/>
      <c r="F24" s="24"/>
      <c r="G24" s="24"/>
      <c r="H24" s="24"/>
      <c r="I24" s="24"/>
      <c r="J24" s="24"/>
      <c r="K24" s="24"/>
      <c r="L24" s="24"/>
    </row>
    <row r="25" spans="1:12">
      <c r="A25" s="24">
        <v>24</v>
      </c>
      <c r="B25" s="24" t="s">
        <v>358</v>
      </c>
      <c r="C25" s="24"/>
      <c r="D25" s="24"/>
      <c r="E25" s="24"/>
      <c r="F25" s="24"/>
      <c r="G25" s="24"/>
      <c r="H25" s="24"/>
      <c r="I25" s="24"/>
      <c r="J25" s="24"/>
      <c r="K25" s="24"/>
      <c r="L25" s="24"/>
    </row>
    <row r="26" spans="1:12">
      <c r="A26" s="24">
        <v>25</v>
      </c>
      <c r="B26" s="24" t="s">
        <v>359</v>
      </c>
      <c r="C26" s="24"/>
      <c r="D26" s="24"/>
      <c r="E26" s="24"/>
      <c r="F26" s="24"/>
      <c r="G26" s="24"/>
      <c r="H26" s="24"/>
      <c r="I26" s="24"/>
      <c r="J26" s="24"/>
      <c r="K26" s="24"/>
      <c r="L26" s="24"/>
    </row>
    <row r="27" spans="1:12">
      <c r="A27" s="24">
        <v>26</v>
      </c>
      <c r="B27" s="24" t="s">
        <v>360</v>
      </c>
      <c r="C27" s="24"/>
      <c r="D27" s="24"/>
      <c r="E27" s="24"/>
      <c r="F27" s="24"/>
      <c r="G27" s="24"/>
      <c r="H27" s="24"/>
      <c r="I27" s="24"/>
      <c r="J27" s="24"/>
      <c r="K27" s="24"/>
      <c r="L27" s="24"/>
    </row>
    <row r="28" spans="1:12">
      <c r="A28" s="24">
        <v>27</v>
      </c>
      <c r="B28" s="24" t="s">
        <v>361</v>
      </c>
      <c r="C28" s="24"/>
      <c r="D28" s="24"/>
      <c r="E28" s="24"/>
      <c r="F28" s="24"/>
      <c r="G28" s="24"/>
      <c r="H28" s="24"/>
      <c r="I28" s="24"/>
      <c r="J28" s="24"/>
      <c r="K28" s="24"/>
      <c r="L28" s="24"/>
    </row>
    <row r="29" spans="1:12">
      <c r="A29" s="24"/>
      <c r="B29" s="24"/>
      <c r="C29" s="24"/>
      <c r="D29" s="24"/>
      <c r="E29" s="24"/>
      <c r="F29" s="24"/>
      <c r="G29" s="24"/>
      <c r="H29" s="24"/>
      <c r="I29" s="24"/>
      <c r="J29" s="24"/>
      <c r="K29" s="24"/>
      <c r="L29" s="24"/>
    </row>
    <row r="30" spans="1:12">
      <c r="A30" s="23" t="s">
        <v>443</v>
      </c>
      <c r="B30" s="23"/>
      <c r="C30" s="23"/>
      <c r="D30" s="23"/>
      <c r="E30" s="23"/>
    </row>
    <row r="31" spans="1:12" ht="286.5" customHeight="1">
      <c r="A31" s="46" t="s">
        <v>446</v>
      </c>
      <c r="B31" s="46"/>
      <c r="C31" s="46"/>
      <c r="D31" s="46"/>
      <c r="E31" s="46"/>
    </row>
  </sheetData>
  <mergeCells count="1">
    <mergeCell ref="A31:E3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4AB82-9C6F-461A-AAAC-ED42FE2D8842}">
  <sheetPr>
    <tabColor rgb="FFFFFF00"/>
  </sheetPr>
  <dimension ref="A1:AF60"/>
  <sheetViews>
    <sheetView topLeftCell="C34" workbookViewId="0">
      <selection activeCell="A33" sqref="A33:W60"/>
    </sheetView>
  </sheetViews>
  <sheetFormatPr defaultRowHeight="14.5"/>
  <cols>
    <col min="2" max="2" width="30.81640625" bestFit="1" customWidth="1"/>
    <col min="28" max="32" width="12.90625" bestFit="1" customWidth="1"/>
  </cols>
  <sheetData>
    <row r="1" spans="1:32">
      <c r="A1" t="s">
        <v>362</v>
      </c>
      <c r="B1" t="s">
        <v>363</v>
      </c>
      <c r="C1">
        <v>2025</v>
      </c>
      <c r="D1">
        <v>2030</v>
      </c>
      <c r="E1">
        <v>2035</v>
      </c>
      <c r="F1">
        <v>2040</v>
      </c>
      <c r="G1">
        <v>2045</v>
      </c>
      <c r="H1" s="5" t="s">
        <v>364</v>
      </c>
      <c r="I1" s="6" t="s">
        <v>365</v>
      </c>
      <c r="J1" s="7" t="s">
        <v>366</v>
      </c>
      <c r="K1" s="8" t="s">
        <v>367</v>
      </c>
      <c r="L1" s="13">
        <v>2025</v>
      </c>
      <c r="M1" s="5">
        <v>2026</v>
      </c>
      <c r="N1" s="5">
        <v>2027</v>
      </c>
      <c r="O1" s="5">
        <v>2028</v>
      </c>
      <c r="P1" s="5">
        <v>2029</v>
      </c>
      <c r="Q1" s="5">
        <v>2030</v>
      </c>
      <c r="R1" s="14">
        <v>2031</v>
      </c>
      <c r="S1" s="14">
        <v>2032</v>
      </c>
      <c r="T1" s="14">
        <v>2033</v>
      </c>
      <c r="U1" s="14">
        <v>2034</v>
      </c>
      <c r="V1" s="14">
        <v>2035</v>
      </c>
      <c r="W1" s="15">
        <v>2036</v>
      </c>
      <c r="X1" s="15">
        <v>2037</v>
      </c>
      <c r="Y1" s="15">
        <v>2038</v>
      </c>
      <c r="Z1" s="15">
        <v>2039</v>
      </c>
      <c r="AA1" s="15">
        <v>2040</v>
      </c>
      <c r="AB1" s="16">
        <v>2041</v>
      </c>
      <c r="AC1" s="16">
        <v>2042</v>
      </c>
      <c r="AD1" s="16">
        <v>2043</v>
      </c>
      <c r="AE1" s="16">
        <v>2044</v>
      </c>
      <c r="AF1" s="16">
        <v>2045</v>
      </c>
    </row>
    <row r="2" spans="1:32">
      <c r="A2">
        <v>1</v>
      </c>
      <c r="B2" t="s">
        <v>335</v>
      </c>
      <c r="C2">
        <v>281147</v>
      </c>
      <c r="D2">
        <v>248530</v>
      </c>
      <c r="E2">
        <v>234183</v>
      </c>
      <c r="F2">
        <v>226435</v>
      </c>
      <c r="G2">
        <v>221810</v>
      </c>
      <c r="H2" s="9">
        <f>((D2/C2)^(1/5))-1</f>
        <v>-2.4361177844621107E-2</v>
      </c>
      <c r="I2" s="10">
        <f t="shared" ref="H2:J28" si="0">((E2/D2)^(1/5))-1</f>
        <v>-1.1821708291462674E-2</v>
      </c>
      <c r="J2" s="11">
        <f t="shared" si="0"/>
        <v>-6.7063976603292108E-3</v>
      </c>
      <c r="K2" s="12">
        <f>((G2/F2)^(1/5))-1</f>
        <v>-4.1188478734577316E-3</v>
      </c>
      <c r="L2" s="17">
        <f>C2</f>
        <v>281147</v>
      </c>
      <c r="M2" s="18">
        <f>C2*(1+H2)</f>
        <v>274297.9279325183</v>
      </c>
      <c r="N2" s="18">
        <f>M2*(1+$H2)</f>
        <v>267615.70732774318</v>
      </c>
      <c r="O2" s="18">
        <f t="shared" ref="N2:Q26" si="1">N2*(1+$H2)</f>
        <v>261096.27348751796</v>
      </c>
      <c r="P2" s="18">
        <f t="shared" si="1"/>
        <v>254735.6607345207</v>
      </c>
      <c r="Q2" s="18">
        <f t="shared" si="1"/>
        <v>248529.99999999997</v>
      </c>
      <c r="R2" s="14">
        <f>D2*(1+I2)</f>
        <v>245591.95083832278</v>
      </c>
      <c r="S2" s="14">
        <f t="shared" ref="S2:V26" si="2">R2*(1+$I2)</f>
        <v>242688.63443678088</v>
      </c>
      <c r="T2" s="14">
        <f>S2*(1+$I2)</f>
        <v>239819.64019481585</v>
      </c>
      <c r="U2" s="14">
        <f>T2*(1+$I2)</f>
        <v>236984.56236586921</v>
      </c>
      <c r="V2" s="14">
        <f>U2*(1+$I2)</f>
        <v>234182.99999999997</v>
      </c>
      <c r="W2" s="15">
        <f t="shared" ref="W2:W28" si="3">E2*(1+J2)</f>
        <v>232612.47567671112</v>
      </c>
      <c r="X2" s="15">
        <f t="shared" ref="X2:AA26" si="4">W2*(1+$J2)</f>
        <v>231052.48391406945</v>
      </c>
      <c r="Y2" s="15">
        <f t="shared" si="4"/>
        <v>229502.95407653489</v>
      </c>
      <c r="Z2" s="15">
        <f t="shared" si="4"/>
        <v>227963.81600227737</v>
      </c>
      <c r="AA2" s="15">
        <f t="shared" si="4"/>
        <v>226434.99999999997</v>
      </c>
      <c r="AB2" s="19">
        <f t="shared" ref="AB2:AB28" si="5">F2*(1+K2)</f>
        <v>225502.34868177361</v>
      </c>
      <c r="AC2" s="19">
        <f t="shared" ref="AC2:AF26" si="6">AB2*(1+$K2)</f>
        <v>224573.53881244597</v>
      </c>
      <c r="AD2" s="19">
        <f t="shared" si="6"/>
        <v>223648.55456967346</v>
      </c>
      <c r="AE2" s="19">
        <f t="shared" si="6"/>
        <v>222727.38019628226</v>
      </c>
      <c r="AF2" s="19">
        <f t="shared" si="6"/>
        <v>221810</v>
      </c>
    </row>
    <row r="3" spans="1:32">
      <c r="A3">
        <v>2</v>
      </c>
      <c r="B3" t="s">
        <v>336</v>
      </c>
      <c r="C3">
        <v>268650</v>
      </c>
      <c r="D3">
        <v>262724</v>
      </c>
      <c r="E3">
        <v>254254</v>
      </c>
      <c r="F3">
        <v>243165</v>
      </c>
      <c r="G3">
        <v>231391</v>
      </c>
      <c r="H3" s="9">
        <f t="shared" si="0"/>
        <v>-4.4511373318474323E-3</v>
      </c>
      <c r="I3" s="10">
        <f t="shared" si="0"/>
        <v>-6.5326258413830329E-3</v>
      </c>
      <c r="J3" s="11">
        <f t="shared" si="0"/>
        <v>-8.879054712249479E-3</v>
      </c>
      <c r="K3" s="12">
        <f>((G3/F3)^(1/5))-1</f>
        <v>-9.8771582643129019E-3</v>
      </c>
      <c r="L3" s="17">
        <f t="shared" ref="L3:L28" si="7">C3</f>
        <v>268650</v>
      </c>
      <c r="M3" s="18">
        <f t="shared" ref="M3:M28" si="8">C3*(1+H3)</f>
        <v>267454.20195579919</v>
      </c>
      <c r="N3" s="18">
        <f t="shared" si="1"/>
        <v>266263.72657291428</v>
      </c>
      <c r="O3" s="18">
        <f t="shared" si="1"/>
        <v>265078.55015944876</v>
      </c>
      <c r="P3" s="18">
        <f t="shared" si="1"/>
        <v>263898.64912896202</v>
      </c>
      <c r="Q3" s="18">
        <f t="shared" si="1"/>
        <v>262724</v>
      </c>
      <c r="R3" s="14">
        <f t="shared" ref="R3:R28" si="9">D3*(1+I3)</f>
        <v>261007.72240844849</v>
      </c>
      <c r="S3" s="14">
        <f t="shared" si="2"/>
        <v>259302.65661624254</v>
      </c>
      <c r="T3" s="14">
        <f t="shared" si="2"/>
        <v>257608.72938089201</v>
      </c>
      <c r="U3" s="14">
        <f t="shared" si="2"/>
        <v>255925.86793837254</v>
      </c>
      <c r="V3" s="14">
        <f t="shared" si="2"/>
        <v>254253.99999999994</v>
      </c>
      <c r="W3" s="15">
        <f t="shared" si="3"/>
        <v>251996.46482319172</v>
      </c>
      <c r="X3" s="15">
        <f t="shared" si="4"/>
        <v>249758.97442473314</v>
      </c>
      <c r="Y3" s="15">
        <f t="shared" si="4"/>
        <v>247541.35082594061</v>
      </c>
      <c r="Z3" s="15">
        <f t="shared" si="4"/>
        <v>245343.41762841295</v>
      </c>
      <c r="AA3" s="15">
        <f t="shared" si="4"/>
        <v>243165</v>
      </c>
      <c r="AB3" s="19">
        <f t="shared" si="5"/>
        <v>240763.22081065836</v>
      </c>
      <c r="AC3" s="19">
        <f t="shared" si="6"/>
        <v>238385.16437448576</v>
      </c>
      <c r="AD3" s="19">
        <f t="shared" si="6"/>
        <v>236030.59637809472</v>
      </c>
      <c r="AE3" s="19">
        <f t="shared" si="6"/>
        <v>233699.28482244813</v>
      </c>
      <c r="AF3" s="19">
        <f t="shared" si="6"/>
        <v>231391.00000000006</v>
      </c>
    </row>
    <row r="4" spans="1:32">
      <c r="A4">
        <v>3</v>
      </c>
      <c r="B4" t="s">
        <v>337</v>
      </c>
      <c r="C4">
        <v>182483</v>
      </c>
      <c r="D4">
        <v>203346</v>
      </c>
      <c r="E4">
        <v>221991</v>
      </c>
      <c r="F4">
        <v>234159</v>
      </c>
      <c r="G4">
        <v>244359</v>
      </c>
      <c r="H4" s="9">
        <f t="shared" si="0"/>
        <v>2.1886458987240065E-2</v>
      </c>
      <c r="I4" s="10">
        <f t="shared" si="0"/>
        <v>1.7700403577207258E-2</v>
      </c>
      <c r="J4" s="11">
        <f t="shared" si="0"/>
        <v>1.0729862742638208E-2</v>
      </c>
      <c r="K4" s="12">
        <f t="shared" ref="K4:K28" si="10">((G4/F4)^(1/5))-1</f>
        <v>8.5640804313684704E-3</v>
      </c>
      <c r="L4" s="17">
        <f t="shared" si="7"/>
        <v>182483</v>
      </c>
      <c r="M4" s="18">
        <f t="shared" si="8"/>
        <v>186476.90669536853</v>
      </c>
      <c r="N4" s="18">
        <f t="shared" si="1"/>
        <v>190558.22586582409</v>
      </c>
      <c r="O4" s="18">
        <f t="shared" si="1"/>
        <v>194728.87066091769</v>
      </c>
      <c r="P4" s="18">
        <f t="shared" si="1"/>
        <v>198990.79610226944</v>
      </c>
      <c r="Q4" s="18">
        <f t="shared" si="1"/>
        <v>203346</v>
      </c>
      <c r="R4" s="14">
        <f t="shared" si="9"/>
        <v>206945.3062658108</v>
      </c>
      <c r="S4" s="14">
        <f t="shared" si="2"/>
        <v>210608.3217051244</v>
      </c>
      <c r="T4" s="14">
        <f t="shared" si="2"/>
        <v>214336.1739960234</v>
      </c>
      <c r="U4" s="14">
        <f t="shared" si="2"/>
        <v>218130.01077694751</v>
      </c>
      <c r="V4" s="14">
        <f t="shared" si="2"/>
        <v>221991.00000000006</v>
      </c>
      <c r="W4" s="15">
        <f t="shared" si="3"/>
        <v>224372.932960101</v>
      </c>
      <c r="X4" s="15">
        <f t="shared" si="4"/>
        <v>226780.42373392606</v>
      </c>
      <c r="Y4" s="15">
        <f t="shared" si="4"/>
        <v>229213.74655330842</v>
      </c>
      <c r="Z4" s="15">
        <f t="shared" si="4"/>
        <v>231673.17859255127</v>
      </c>
      <c r="AA4" s="15">
        <f t="shared" si="4"/>
        <v>234159.00000000006</v>
      </c>
      <c r="AB4" s="19">
        <f t="shared" si="5"/>
        <v>236164.35650972882</v>
      </c>
      <c r="AC4" s="19">
        <f t="shared" si="6"/>
        <v>238186.88705390051</v>
      </c>
      <c r="AD4" s="19">
        <f t="shared" si="6"/>
        <v>240226.73871232741</v>
      </c>
      <c r="AE4" s="19">
        <f t="shared" si="6"/>
        <v>242284.05982442512</v>
      </c>
      <c r="AF4" s="19">
        <f t="shared" si="6"/>
        <v>244358.99999999997</v>
      </c>
    </row>
    <row r="5" spans="1:32">
      <c r="A5">
        <v>4</v>
      </c>
      <c r="B5" t="s">
        <v>338</v>
      </c>
      <c r="C5">
        <v>34376</v>
      </c>
      <c r="D5">
        <v>32885</v>
      </c>
      <c r="E5">
        <v>31890</v>
      </c>
      <c r="F5">
        <v>31143</v>
      </c>
      <c r="G5">
        <v>30486</v>
      </c>
      <c r="H5" s="9">
        <f t="shared" si="0"/>
        <v>-8.8291956402519745E-3</v>
      </c>
      <c r="I5" s="10">
        <f t="shared" si="0"/>
        <v>-6.1259882946758104E-3</v>
      </c>
      <c r="J5" s="11">
        <f t="shared" si="0"/>
        <v>-4.7293771382734828E-3</v>
      </c>
      <c r="K5" s="12">
        <f t="shared" si="10"/>
        <v>-4.2553082171093992E-3</v>
      </c>
      <c r="L5" s="17">
        <f t="shared" si="7"/>
        <v>34376</v>
      </c>
      <c r="M5" s="18">
        <f t="shared" si="8"/>
        <v>34072.487570670695</v>
      </c>
      <c r="N5" s="18">
        <f t="shared" si="1"/>
        <v>33771.654911959187</v>
      </c>
      <c r="O5" s="18">
        <f t="shared" si="1"/>
        <v>33473.47836364642</v>
      </c>
      <c r="P5" s="18">
        <f t="shared" si="1"/>
        <v>33177.934474414047</v>
      </c>
      <c r="Q5" s="18">
        <f t="shared" si="1"/>
        <v>32884.999999999985</v>
      </c>
      <c r="R5" s="14">
        <f t="shared" si="9"/>
        <v>32683.546874929587</v>
      </c>
      <c r="S5" s="14">
        <f t="shared" si="2"/>
        <v>32483.327849345282</v>
      </c>
      <c r="T5" s="14">
        <f t="shared" si="2"/>
        <v>32284.335363168077</v>
      </c>
      <c r="U5" s="14">
        <f t="shared" si="2"/>
        <v>32086.561902631922</v>
      </c>
      <c r="V5" s="14">
        <f t="shared" si="2"/>
        <v>31890.000000000007</v>
      </c>
      <c r="W5" s="15">
        <f t="shared" si="3"/>
        <v>31739.180163060457</v>
      </c>
      <c r="X5" s="15">
        <f t="shared" si="4"/>
        <v>31589.073610009735</v>
      </c>
      <c r="Y5" s="15">
        <f t="shared" si="4"/>
        <v>31439.676967459316</v>
      </c>
      <c r="Z5" s="15">
        <f t="shared" si="4"/>
        <v>31290.986877974712</v>
      </c>
      <c r="AA5" s="15">
        <f t="shared" si="4"/>
        <v>31143.000000000004</v>
      </c>
      <c r="AB5" s="19">
        <f t="shared" si="5"/>
        <v>31010.476936194562</v>
      </c>
      <c r="AC5" s="19">
        <f t="shared" si="6"/>
        <v>30878.517798871493</v>
      </c>
      <c r="AD5" s="19">
        <f t="shared" si="6"/>
        <v>30747.120188349796</v>
      </c>
      <c r="AE5" s="19">
        <f t="shared" si="6"/>
        <v>30616.281715159861</v>
      </c>
      <c r="AF5" s="19">
        <f t="shared" si="6"/>
        <v>30486.000000000004</v>
      </c>
    </row>
    <row r="6" spans="1:32">
      <c r="A6">
        <v>5</v>
      </c>
      <c r="B6" t="s">
        <v>339</v>
      </c>
      <c r="C6">
        <v>436939</v>
      </c>
      <c r="D6">
        <v>434757</v>
      </c>
      <c r="E6">
        <v>432589</v>
      </c>
      <c r="F6">
        <v>430441</v>
      </c>
      <c r="G6">
        <v>428303</v>
      </c>
      <c r="H6" s="9">
        <f t="shared" si="0"/>
        <v>-1.0007674857109849E-3</v>
      </c>
      <c r="I6" s="10">
        <f t="shared" si="0"/>
        <v>-9.9933408547070446E-4</v>
      </c>
      <c r="J6" s="11">
        <f t="shared" si="0"/>
        <v>-9.9506879342192711E-4</v>
      </c>
      <c r="K6" s="12">
        <f t="shared" si="10"/>
        <v>-9.9537938110794144E-4</v>
      </c>
      <c r="L6" s="17">
        <f t="shared" si="7"/>
        <v>436939</v>
      </c>
      <c r="M6" s="18">
        <f t="shared" si="8"/>
        <v>436501.72565556091</v>
      </c>
      <c r="N6" s="18">
        <f t="shared" si="1"/>
        <v>436064.88892106811</v>
      </c>
      <c r="O6" s="18">
        <f t="shared" si="1"/>
        <v>435628.48935857572</v>
      </c>
      <c r="P6" s="18">
        <f t="shared" si="1"/>
        <v>435192.52653057629</v>
      </c>
      <c r="Q6" s="18">
        <f t="shared" si="1"/>
        <v>434757.00000000006</v>
      </c>
      <c r="R6" s="14">
        <f t="shared" si="9"/>
        <v>434322.53251100302</v>
      </c>
      <c r="S6" s="14">
        <f t="shared" si="2"/>
        <v>433888.4992001768</v>
      </c>
      <c r="T6" s="14">
        <f t="shared" si="2"/>
        <v>433454.89963363233</v>
      </c>
      <c r="U6" s="14">
        <f t="shared" si="2"/>
        <v>433021.73337791418</v>
      </c>
      <c r="V6" s="14">
        <f t="shared" si="2"/>
        <v>432589</v>
      </c>
      <c r="W6" s="15">
        <f t="shared" si="3"/>
        <v>432158.54418572242</v>
      </c>
      <c r="X6" s="15">
        <f t="shared" si="4"/>
        <v>431728.51670459256</v>
      </c>
      <c r="Y6" s="15">
        <f t="shared" si="4"/>
        <v>431298.91713038948</v>
      </c>
      <c r="Z6" s="15">
        <f t="shared" si="4"/>
        <v>430869.74503731634</v>
      </c>
      <c r="AA6" s="15">
        <f t="shared" si="4"/>
        <v>430441.00000000006</v>
      </c>
      <c r="AB6" s="19">
        <f t="shared" si="5"/>
        <v>430012.54790381651</v>
      </c>
      <c r="AC6" s="19">
        <f t="shared" si="6"/>
        <v>429584.52228001534</v>
      </c>
      <c r="AD6" s="19">
        <f t="shared" si="6"/>
        <v>429156.92270409473</v>
      </c>
      <c r="AE6" s="19">
        <f t="shared" si="6"/>
        <v>428729.74875197536</v>
      </c>
      <c r="AF6" s="19">
        <f t="shared" si="6"/>
        <v>428303.00000000006</v>
      </c>
    </row>
    <row r="7" spans="1:32">
      <c r="A7">
        <v>6</v>
      </c>
      <c r="B7" t="s">
        <v>340</v>
      </c>
      <c r="C7">
        <v>99848</v>
      </c>
      <c r="D7">
        <v>100046</v>
      </c>
      <c r="E7">
        <v>98372</v>
      </c>
      <c r="F7">
        <v>96947</v>
      </c>
      <c r="G7">
        <v>95654</v>
      </c>
      <c r="H7" s="9">
        <f t="shared" si="0"/>
        <v>3.9628862247198526E-4</v>
      </c>
      <c r="I7" s="10">
        <f t="shared" si="0"/>
        <v>-3.3690857512371775E-3</v>
      </c>
      <c r="J7" s="11">
        <f t="shared" si="0"/>
        <v>-2.9141004016057792E-3</v>
      </c>
      <c r="K7" s="12">
        <f t="shared" si="10"/>
        <v>-2.6817822360369892E-3</v>
      </c>
      <c r="L7" s="17">
        <f t="shared" si="7"/>
        <v>99848</v>
      </c>
      <c r="M7" s="18">
        <f t="shared" si="8"/>
        <v>99887.568626376582</v>
      </c>
      <c r="N7" s="18">
        <f t="shared" si="1"/>
        <v>99927.1529333496</v>
      </c>
      <c r="O7" s="18">
        <f t="shared" si="1"/>
        <v>99966.7529271331</v>
      </c>
      <c r="P7" s="18">
        <f t="shared" si="1"/>
        <v>100006.36861394359</v>
      </c>
      <c r="Q7" s="18">
        <f t="shared" si="1"/>
        <v>100046.00000000003</v>
      </c>
      <c r="R7" s="14">
        <f t="shared" si="9"/>
        <v>99708.936446931722</v>
      </c>
      <c r="S7" s="14">
        <f t="shared" si="2"/>
        <v>99373.008489877349</v>
      </c>
      <c r="T7" s="14">
        <f t="shared" si="2"/>
        <v>99038.212302916538</v>
      </c>
      <c r="U7" s="14">
        <f t="shared" si="2"/>
        <v>98704.544073018784</v>
      </c>
      <c r="V7" s="14">
        <f t="shared" si="2"/>
        <v>98372.000000000015</v>
      </c>
      <c r="W7" s="15">
        <f t="shared" si="3"/>
        <v>98085.334115293241</v>
      </c>
      <c r="X7" s="15">
        <f t="shared" si="4"/>
        <v>97799.503603756224</v>
      </c>
      <c r="Y7" s="15">
        <f t="shared" si="4"/>
        <v>97514.506031027675</v>
      </c>
      <c r="Z7" s="15">
        <f t="shared" si="4"/>
        <v>97230.338969840275</v>
      </c>
      <c r="AA7" s="15">
        <f t="shared" si="4"/>
        <v>96947</v>
      </c>
      <c r="AB7" s="19">
        <f t="shared" si="5"/>
        <v>96687.009257562924</v>
      </c>
      <c r="AC7" s="19">
        <f t="shared" si="6"/>
        <v>96427.715753680444</v>
      </c>
      <c r="AD7" s="19">
        <f t="shared" si="6"/>
        <v>96169.117618510601</v>
      </c>
      <c r="AE7" s="19">
        <f t="shared" si="6"/>
        <v>95911.212987225925</v>
      </c>
      <c r="AF7" s="19">
        <f t="shared" si="6"/>
        <v>95654.000000000029</v>
      </c>
    </row>
    <row r="8" spans="1:32">
      <c r="A8">
        <v>7</v>
      </c>
      <c r="B8" t="s">
        <v>341</v>
      </c>
      <c r="C8">
        <v>109515</v>
      </c>
      <c r="D8">
        <v>93939</v>
      </c>
      <c r="E8">
        <v>85489</v>
      </c>
      <c r="F8">
        <v>78874</v>
      </c>
      <c r="G8">
        <v>73381</v>
      </c>
      <c r="H8" s="9">
        <f t="shared" si="0"/>
        <v>-3.021722721362019E-2</v>
      </c>
      <c r="I8" s="10">
        <f t="shared" si="0"/>
        <v>-1.8675004774651338E-2</v>
      </c>
      <c r="J8" s="11">
        <f t="shared" si="0"/>
        <v>-1.5978186555091534E-2</v>
      </c>
      <c r="K8" s="12">
        <f t="shared" si="10"/>
        <v>-1.4333600838889349E-2</v>
      </c>
      <c r="L8" s="17">
        <f t="shared" si="7"/>
        <v>109515</v>
      </c>
      <c r="M8" s="18">
        <f t="shared" si="8"/>
        <v>106205.76036170039</v>
      </c>
      <c r="N8" s="18">
        <f t="shared" si="1"/>
        <v>102996.5167694556</v>
      </c>
      <c r="O8" s="18">
        <f t="shared" si="1"/>
        <v>99884.247620021517</v>
      </c>
      <c r="P8" s="18">
        <f t="shared" si="1"/>
        <v>96866.022614625821</v>
      </c>
      <c r="Q8" s="18">
        <f t="shared" si="1"/>
        <v>93939</v>
      </c>
      <c r="R8" s="14">
        <f t="shared" si="9"/>
        <v>92184.688726474022</v>
      </c>
      <c r="S8" s="14">
        <f t="shared" si="2"/>
        <v>90463.139224357379</v>
      </c>
      <c r="T8" s="14">
        <f t="shared" si="2"/>
        <v>88773.739667412563</v>
      </c>
      <c r="U8" s="14">
        <f t="shared" si="2"/>
        <v>87115.889655259976</v>
      </c>
      <c r="V8" s="14">
        <f t="shared" si="2"/>
        <v>85489</v>
      </c>
      <c r="W8" s="15">
        <f t="shared" si="3"/>
        <v>84123.040809591781</v>
      </c>
      <c r="X8" s="15">
        <f t="shared" si="4"/>
        <v>82778.907169954546</v>
      </c>
      <c r="Y8" s="15">
        <f t="shared" si="4"/>
        <v>81456.250348366404</v>
      </c>
      <c r="Z8" s="15">
        <f t="shared" si="4"/>
        <v>80154.727184221963</v>
      </c>
      <c r="AA8" s="15">
        <f t="shared" si="4"/>
        <v>78874</v>
      </c>
      <c r="AB8" s="19">
        <f t="shared" si="5"/>
        <v>77743.45156743344</v>
      </c>
      <c r="AC8" s="19">
        <f t="shared" si="6"/>
        <v>76629.107964828319</v>
      </c>
      <c r="AD8" s="19">
        <f t="shared" si="6"/>
        <v>75530.736918620314</v>
      </c>
      <c r="AE8" s="19">
        <f t="shared" si="6"/>
        <v>74448.109484561646</v>
      </c>
      <c r="AF8" s="19">
        <f t="shared" si="6"/>
        <v>73381.000000000015</v>
      </c>
    </row>
    <row r="9" spans="1:32">
      <c r="A9">
        <v>8</v>
      </c>
      <c r="B9" t="s">
        <v>342</v>
      </c>
      <c r="C9">
        <v>417121</v>
      </c>
      <c r="D9">
        <v>446937</v>
      </c>
      <c r="E9">
        <v>449729</v>
      </c>
      <c r="F9">
        <v>445014</v>
      </c>
      <c r="G9">
        <v>434627</v>
      </c>
      <c r="H9" s="9">
        <f t="shared" si="0"/>
        <v>1.3904033835007379E-2</v>
      </c>
      <c r="I9" s="10">
        <f t="shared" si="0"/>
        <v>1.2462827757644401E-3</v>
      </c>
      <c r="J9" s="11">
        <f t="shared" si="0"/>
        <v>-2.1056673231754086E-3</v>
      </c>
      <c r="K9" s="12">
        <f t="shared" si="10"/>
        <v>-4.7123718423763838E-3</v>
      </c>
      <c r="L9" s="17">
        <f t="shared" si="7"/>
        <v>417121</v>
      </c>
      <c r="M9" s="18">
        <f t="shared" si="8"/>
        <v>422920.66449729213</v>
      </c>
      <c r="N9" s="18">
        <f t="shared" si="1"/>
        <v>428800.96772598627</v>
      </c>
      <c r="O9" s="18">
        <f t="shared" si="1"/>
        <v>434763.0308897323</v>
      </c>
      <c r="P9" s="18">
        <f t="shared" si="1"/>
        <v>440807.99078143347</v>
      </c>
      <c r="Q9" s="18">
        <f t="shared" si="1"/>
        <v>446937.00000000012</v>
      </c>
      <c r="R9" s="14">
        <f t="shared" si="9"/>
        <v>447494.00988495181</v>
      </c>
      <c r="S9" s="14">
        <f t="shared" si="2"/>
        <v>448051.7139617292</v>
      </c>
      <c r="T9" s="14">
        <f t="shared" si="2"/>
        <v>448610.11309549143</v>
      </c>
      <c r="U9" s="14">
        <f t="shared" si="2"/>
        <v>449169.20815247606</v>
      </c>
      <c r="V9" s="14">
        <f t="shared" si="2"/>
        <v>449729.00000000023</v>
      </c>
      <c r="W9" s="15">
        <f t="shared" si="3"/>
        <v>448782.02034041565</v>
      </c>
      <c r="X9" s="15">
        <f t="shared" si="4"/>
        <v>447837.03470495617</v>
      </c>
      <c r="Y9" s="15">
        <f t="shared" si="4"/>
        <v>446894.03889487014</v>
      </c>
      <c r="Z9" s="15">
        <f t="shared" si="4"/>
        <v>445953.02872024733</v>
      </c>
      <c r="AA9" s="15">
        <f t="shared" si="4"/>
        <v>445014</v>
      </c>
      <c r="AB9" s="19">
        <f t="shared" si="5"/>
        <v>442916.92855693673</v>
      </c>
      <c r="AC9" s="19">
        <f t="shared" si="6"/>
        <v>440829.73929429322</v>
      </c>
      <c r="AD9" s="19">
        <f t="shared" si="6"/>
        <v>438752.38564356067</v>
      </c>
      <c r="AE9" s="19">
        <f t="shared" si="6"/>
        <v>436684.82125567849</v>
      </c>
      <c r="AF9" s="19">
        <f t="shared" si="6"/>
        <v>434627.00000000006</v>
      </c>
    </row>
    <row r="10" spans="1:32">
      <c r="A10">
        <v>9</v>
      </c>
      <c r="B10" t="s">
        <v>343</v>
      </c>
      <c r="C10">
        <v>204935</v>
      </c>
      <c r="D10">
        <v>184899</v>
      </c>
      <c r="E10">
        <v>185130</v>
      </c>
      <c r="F10">
        <v>187579</v>
      </c>
      <c r="G10">
        <v>188722</v>
      </c>
      <c r="H10" s="9">
        <f t="shared" si="0"/>
        <v>-2.0366370953635582E-2</v>
      </c>
      <c r="I10" s="10">
        <f t="shared" si="0"/>
        <v>2.4974137047628631E-4</v>
      </c>
      <c r="J10" s="11">
        <f t="shared" si="0"/>
        <v>2.6318189724643393E-3</v>
      </c>
      <c r="K10" s="12">
        <f t="shared" si="10"/>
        <v>1.2157269468702214E-3</v>
      </c>
      <c r="L10" s="17">
        <f t="shared" si="7"/>
        <v>204935</v>
      </c>
      <c r="M10" s="18">
        <f t="shared" si="8"/>
        <v>200761.21776861668</v>
      </c>
      <c r="N10" s="18">
        <f t="shared" si="1"/>
        <v>196672.44033443742</v>
      </c>
      <c r="O10" s="18">
        <f t="shared" si="1"/>
        <v>192666.93645822949</v>
      </c>
      <c r="P10" s="18">
        <f t="shared" si="1"/>
        <v>188743.01015982067</v>
      </c>
      <c r="Q10" s="18">
        <f t="shared" si="1"/>
        <v>184898.99999999994</v>
      </c>
      <c r="R10" s="14">
        <f t="shared" si="9"/>
        <v>184945.1769296597</v>
      </c>
      <c r="S10" s="14">
        <f t="shared" si="2"/>
        <v>184991.36539160908</v>
      </c>
      <c r="T10" s="14">
        <f t="shared" si="2"/>
        <v>185037.56538872825</v>
      </c>
      <c r="U10" s="14">
        <f t="shared" si="2"/>
        <v>185083.77692389803</v>
      </c>
      <c r="V10" s="14">
        <f t="shared" si="2"/>
        <v>185129.99999999991</v>
      </c>
      <c r="W10" s="15">
        <f t="shared" si="3"/>
        <v>185617.22864637233</v>
      </c>
      <c r="X10" s="15">
        <f t="shared" si="4"/>
        <v>186105.73959034009</v>
      </c>
      <c r="Y10" s="15">
        <f t="shared" si="4"/>
        <v>186595.53620667846</v>
      </c>
      <c r="Z10" s="15">
        <f t="shared" si="4"/>
        <v>187086.62187904434</v>
      </c>
      <c r="AA10" s="15">
        <f t="shared" si="4"/>
        <v>187578.99999999985</v>
      </c>
      <c r="AB10" s="19">
        <f t="shared" si="5"/>
        <v>187807.04484496696</v>
      </c>
      <c r="AC10" s="19">
        <f t="shared" si="6"/>
        <v>188035.36693019705</v>
      </c>
      <c r="AD10" s="19">
        <f t="shared" si="6"/>
        <v>188263.96659273873</v>
      </c>
      <c r="AE10" s="19">
        <f t="shared" si="6"/>
        <v>188492.8441700502</v>
      </c>
      <c r="AF10" s="19">
        <f t="shared" si="6"/>
        <v>188721.99999999994</v>
      </c>
    </row>
    <row r="11" spans="1:32">
      <c r="A11">
        <v>10</v>
      </c>
      <c r="B11" t="s">
        <v>344</v>
      </c>
      <c r="C11">
        <v>532082</v>
      </c>
      <c r="D11">
        <v>562951</v>
      </c>
      <c r="E11">
        <v>585693</v>
      </c>
      <c r="F11">
        <v>603593</v>
      </c>
      <c r="G11">
        <v>617303</v>
      </c>
      <c r="H11" s="9">
        <f t="shared" si="0"/>
        <v>1.1342843250951473E-2</v>
      </c>
      <c r="I11" s="10">
        <f t="shared" si="0"/>
        <v>7.9520853877250719E-3</v>
      </c>
      <c r="J11" s="11">
        <f t="shared" si="0"/>
        <v>6.0390355373811655E-3</v>
      </c>
      <c r="K11" s="12">
        <f t="shared" si="10"/>
        <v>4.5020759330125504E-3</v>
      </c>
      <c r="L11" s="17">
        <f t="shared" si="7"/>
        <v>532082</v>
      </c>
      <c r="M11" s="18">
        <f t="shared" si="8"/>
        <v>538117.32272265281</v>
      </c>
      <c r="N11" s="18">
        <f t="shared" si="1"/>
        <v>544221.10316491756</v>
      </c>
      <c r="O11" s="18">
        <f t="shared" si="1"/>
        <v>550394.11783197708</v>
      </c>
      <c r="P11" s="18">
        <f t="shared" si="1"/>
        <v>556637.15203679097</v>
      </c>
      <c r="Q11" s="18">
        <f t="shared" si="1"/>
        <v>562951.00000000035</v>
      </c>
      <c r="R11" s="14">
        <f t="shared" si="9"/>
        <v>567427.63442110526</v>
      </c>
      <c r="S11" s="14">
        <f t="shared" si="2"/>
        <v>571939.86742137675</v>
      </c>
      <c r="T11" s="14">
        <f t="shared" si="2"/>
        <v>576487.98208375566</v>
      </c>
      <c r="U11" s="14">
        <f t="shared" si="2"/>
        <v>581072.26374228299</v>
      </c>
      <c r="V11" s="14">
        <f t="shared" si="2"/>
        <v>585693.00000000035</v>
      </c>
      <c r="W11" s="15">
        <f t="shared" si="3"/>
        <v>589230.02084099536</v>
      </c>
      <c r="X11" s="15">
        <f t="shared" si="4"/>
        <v>592788.40187654598</v>
      </c>
      <c r="Y11" s="15">
        <f t="shared" si="4"/>
        <v>596368.2721016258</v>
      </c>
      <c r="Z11" s="15">
        <f t="shared" si="4"/>
        <v>599969.76129021414</v>
      </c>
      <c r="AA11" s="15">
        <f t="shared" si="4"/>
        <v>603592.99999999988</v>
      </c>
      <c r="AB11" s="19">
        <f t="shared" si="5"/>
        <v>606310.42151863489</v>
      </c>
      <c r="AC11" s="19">
        <f t="shared" si="6"/>
        <v>609040.07707528863</v>
      </c>
      <c r="AD11" s="19">
        <f t="shared" si="6"/>
        <v>611782.0217485294</v>
      </c>
      <c r="AE11" s="19">
        <f t="shared" si="6"/>
        <v>614536.31086489325</v>
      </c>
      <c r="AF11" s="19">
        <f t="shared" si="6"/>
        <v>617303.00000000047</v>
      </c>
    </row>
    <row r="12" spans="1:32">
      <c r="A12">
        <v>11</v>
      </c>
      <c r="B12" t="s">
        <v>345</v>
      </c>
      <c r="C12">
        <v>341390</v>
      </c>
      <c r="D12">
        <v>299519</v>
      </c>
      <c r="E12">
        <v>276889</v>
      </c>
      <c r="F12">
        <v>270500</v>
      </c>
      <c r="G12">
        <v>266435</v>
      </c>
      <c r="H12" s="9">
        <f t="shared" si="0"/>
        <v>-2.5830078178953442E-2</v>
      </c>
      <c r="I12" s="10">
        <f t="shared" si="0"/>
        <v>-1.5589437021656716E-2</v>
      </c>
      <c r="J12" s="11">
        <f t="shared" si="0"/>
        <v>-4.6580386445911337E-3</v>
      </c>
      <c r="K12" s="12">
        <f t="shared" si="10"/>
        <v>-3.0237765248640747E-3</v>
      </c>
      <c r="L12" s="17">
        <f t="shared" si="7"/>
        <v>341390</v>
      </c>
      <c r="M12" s="18">
        <f t="shared" si="8"/>
        <v>332571.86961048708</v>
      </c>
      <c r="N12" s="18">
        <f t="shared" si="1"/>
        <v>323981.51221832749</v>
      </c>
      <c r="O12" s="18">
        <f t="shared" si="1"/>
        <v>315613.04442919255</v>
      </c>
      <c r="P12" s="18">
        <f t="shared" si="1"/>
        <v>307460.73481728899</v>
      </c>
      <c r="Q12" s="18">
        <f t="shared" si="1"/>
        <v>299518.99999999994</v>
      </c>
      <c r="R12" s="14">
        <f t="shared" si="9"/>
        <v>294849.66741271038</v>
      </c>
      <c r="S12" s="14">
        <f t="shared" si="2"/>
        <v>290253.12709172349</v>
      </c>
      <c r="T12" s="14">
        <f t="shared" si="2"/>
        <v>285728.24424658815</v>
      </c>
      <c r="U12" s="14">
        <f t="shared" si="2"/>
        <v>281273.90177759744</v>
      </c>
      <c r="V12" s="14">
        <f t="shared" si="2"/>
        <v>276888.99999999994</v>
      </c>
      <c r="W12" s="15">
        <f t="shared" si="3"/>
        <v>275599.24033773778</v>
      </c>
      <c r="X12" s="15">
        <f t="shared" si="4"/>
        <v>274315.48842582462</v>
      </c>
      <c r="Y12" s="15">
        <f t="shared" si="4"/>
        <v>273037.71627992723</v>
      </c>
      <c r="Z12" s="15">
        <f t="shared" si="4"/>
        <v>271765.89604606444</v>
      </c>
      <c r="AA12" s="15">
        <f t="shared" si="4"/>
        <v>270499.99999999994</v>
      </c>
      <c r="AB12" s="19">
        <f t="shared" si="5"/>
        <v>269682.06845002429</v>
      </c>
      <c r="AC12" s="19">
        <f t="shared" si="6"/>
        <v>268866.6101422683</v>
      </c>
      <c r="AD12" s="19">
        <f t="shared" si="6"/>
        <v>268053.61759820033</v>
      </c>
      <c r="AE12" s="19">
        <f t="shared" si="6"/>
        <v>267243.08336190198</v>
      </c>
      <c r="AF12" s="19">
        <f t="shared" si="6"/>
        <v>266435</v>
      </c>
    </row>
    <row r="13" spans="1:32">
      <c r="A13">
        <v>12</v>
      </c>
      <c r="B13" t="s">
        <v>346</v>
      </c>
      <c r="C13">
        <v>1483502</v>
      </c>
      <c r="D13">
        <v>1483939</v>
      </c>
      <c r="E13">
        <v>1444479</v>
      </c>
      <c r="F13">
        <v>1401662</v>
      </c>
      <c r="G13">
        <v>1363497</v>
      </c>
      <c r="H13" s="9">
        <f t="shared" si="0"/>
        <v>5.890770861038952E-5</v>
      </c>
      <c r="I13" s="10">
        <f t="shared" si="0"/>
        <v>-5.3757657497118805E-3</v>
      </c>
      <c r="J13" s="11">
        <f t="shared" si="0"/>
        <v>-5.9999335822719102E-3</v>
      </c>
      <c r="K13" s="12">
        <f t="shared" si="10"/>
        <v>-5.5059767002642035E-3</v>
      </c>
      <c r="L13" s="17">
        <f t="shared" si="7"/>
        <v>1483502</v>
      </c>
      <c r="M13" s="18">
        <f t="shared" si="8"/>
        <v>1483589.389703539</v>
      </c>
      <c r="N13" s="18">
        <f t="shared" si="1"/>
        <v>1483676.7845550051</v>
      </c>
      <c r="O13" s="18">
        <f t="shared" si="1"/>
        <v>1483764.1845547017</v>
      </c>
      <c r="P13" s="18">
        <f t="shared" si="1"/>
        <v>1483851.5897029319</v>
      </c>
      <c r="Q13" s="18">
        <f t="shared" si="1"/>
        <v>1483938.9999999993</v>
      </c>
      <c r="R13" s="14">
        <f t="shared" si="9"/>
        <v>1475961.6915491384</v>
      </c>
      <c r="S13" s="14">
        <f t="shared" si="2"/>
        <v>1468027.2672398218</v>
      </c>
      <c r="T13" s="14">
        <f t="shared" si="2"/>
        <v>1460135.4965369508</v>
      </c>
      <c r="U13" s="14">
        <f t="shared" si="2"/>
        <v>1452286.1501447288</v>
      </c>
      <c r="V13" s="14">
        <f t="shared" si="2"/>
        <v>1444478.9999999998</v>
      </c>
      <c r="W13" s="15">
        <f t="shared" si="3"/>
        <v>1435812.2219390133</v>
      </c>
      <c r="X13" s="15">
        <f t="shared" si="4"/>
        <v>1427197.443970765</v>
      </c>
      <c r="Y13" s="15">
        <f t="shared" si="4"/>
        <v>1418634.3540981521</v>
      </c>
      <c r="Z13" s="15">
        <f t="shared" si="4"/>
        <v>1410122.6421960341</v>
      </c>
      <c r="AA13" s="15">
        <f t="shared" si="4"/>
        <v>1401662</v>
      </c>
      <c r="AB13" s="19">
        <f t="shared" si="5"/>
        <v>1393944.4816863544</v>
      </c>
      <c r="AC13" s="19">
        <f t="shared" si="6"/>
        <v>1386269.4558487274</v>
      </c>
      <c r="AD13" s="19">
        <f t="shared" si="6"/>
        <v>1378636.6885245363</v>
      </c>
      <c r="AE13" s="19">
        <f t="shared" si="6"/>
        <v>1371045.9470393909</v>
      </c>
      <c r="AF13" s="19">
        <f t="shared" si="6"/>
        <v>1363497.0000000005</v>
      </c>
    </row>
    <row r="14" spans="1:32">
      <c r="A14">
        <v>13</v>
      </c>
      <c r="B14" t="s">
        <v>347</v>
      </c>
      <c r="C14">
        <v>1014499</v>
      </c>
      <c r="D14">
        <v>1041809</v>
      </c>
      <c r="E14">
        <v>1066268</v>
      </c>
      <c r="F14">
        <v>1084316</v>
      </c>
      <c r="G14">
        <v>1099122</v>
      </c>
      <c r="H14" s="9">
        <f t="shared" si="0"/>
        <v>5.3268837831632609E-3</v>
      </c>
      <c r="I14" s="10">
        <f t="shared" si="0"/>
        <v>4.652002339297967E-3</v>
      </c>
      <c r="J14" s="11">
        <f t="shared" si="0"/>
        <v>3.3625752496462269E-3</v>
      </c>
      <c r="K14" s="12">
        <f t="shared" si="10"/>
        <v>2.716143214865685E-3</v>
      </c>
      <c r="L14" s="17">
        <f t="shared" si="7"/>
        <v>1014499</v>
      </c>
      <c r="M14" s="18">
        <f t="shared" si="8"/>
        <v>1019903.1182711354</v>
      </c>
      <c r="N14" s="18">
        <f t="shared" si="1"/>
        <v>1025336.0236522516</v>
      </c>
      <c r="O14" s="18">
        <f t="shared" si="1"/>
        <v>1030797.8694889379</v>
      </c>
      <c r="P14" s="18">
        <f t="shared" si="1"/>
        <v>1036288.8099436378</v>
      </c>
      <c r="Q14" s="18">
        <f t="shared" si="1"/>
        <v>1041809.0000000001</v>
      </c>
      <c r="R14" s="14">
        <f t="shared" si="9"/>
        <v>1046655.4979051016</v>
      </c>
      <c r="S14" s="14">
        <f t="shared" si="2"/>
        <v>1051524.5417297953</v>
      </c>
      <c r="T14" s="14">
        <f t="shared" si="2"/>
        <v>1056416.2363577515</v>
      </c>
      <c r="U14" s="14">
        <f t="shared" si="2"/>
        <v>1061330.6871605602</v>
      </c>
      <c r="V14" s="14">
        <f t="shared" si="2"/>
        <v>1066267.9999999998</v>
      </c>
      <c r="W14" s="15">
        <f t="shared" si="3"/>
        <v>1069853.4063862897</v>
      </c>
      <c r="X14" s="15">
        <f t="shared" si="4"/>
        <v>1073450.8689713541</v>
      </c>
      <c r="Y14" s="15">
        <f t="shared" si="4"/>
        <v>1077060.4282950684</v>
      </c>
      <c r="Z14" s="15">
        <f t="shared" si="4"/>
        <v>1080682.1250336268</v>
      </c>
      <c r="AA14" s="15">
        <f t="shared" si="4"/>
        <v>1084316</v>
      </c>
      <c r="AB14" s="19">
        <f t="shared" si="5"/>
        <v>1087261.1575461703</v>
      </c>
      <c r="AC14" s="19">
        <f t="shared" si="6"/>
        <v>1090214.3145620264</v>
      </c>
      <c r="AD14" s="19">
        <f t="shared" si="6"/>
        <v>1093175.4927752735</v>
      </c>
      <c r="AE14" s="19">
        <f t="shared" si="6"/>
        <v>1096144.7139726325</v>
      </c>
      <c r="AF14" s="19">
        <f t="shared" si="6"/>
        <v>1099122.0000000002</v>
      </c>
    </row>
    <row r="15" spans="1:32">
      <c r="A15">
        <v>14</v>
      </c>
      <c r="B15" t="s">
        <v>348</v>
      </c>
      <c r="C15">
        <v>662075</v>
      </c>
      <c r="D15">
        <v>641658</v>
      </c>
      <c r="E15">
        <v>628332</v>
      </c>
      <c r="F15">
        <v>617856</v>
      </c>
      <c r="G15">
        <v>607968</v>
      </c>
      <c r="H15" s="9">
        <f t="shared" si="0"/>
        <v>-6.2450960371898123E-3</v>
      </c>
      <c r="I15" s="10">
        <f t="shared" si="0"/>
        <v>-4.1885558825712765E-3</v>
      </c>
      <c r="J15" s="11">
        <f t="shared" si="0"/>
        <v>-3.3570063313972387E-3</v>
      </c>
      <c r="K15" s="12">
        <f t="shared" si="10"/>
        <v>-3.2214343289796998E-3</v>
      </c>
      <c r="L15" s="17">
        <f t="shared" si="7"/>
        <v>662075</v>
      </c>
      <c r="M15" s="18">
        <f t="shared" si="8"/>
        <v>657940.27804117755</v>
      </c>
      <c r="N15" s="18">
        <f t="shared" si="1"/>
        <v>653831.37781807501</v>
      </c>
      <c r="O15" s="18">
        <f t="shared" si="1"/>
        <v>649748.13807147299</v>
      </c>
      <c r="P15" s="18">
        <f t="shared" si="1"/>
        <v>645690.39854923135</v>
      </c>
      <c r="Q15" s="18">
        <f t="shared" si="1"/>
        <v>641658</v>
      </c>
      <c r="R15" s="14">
        <f t="shared" si="9"/>
        <v>638970.37960950111</v>
      </c>
      <c r="S15" s="14">
        <f t="shared" si="2"/>
        <v>636294.01646719896</v>
      </c>
      <c r="T15" s="14">
        <f t="shared" si="2"/>
        <v>633628.8634214804</v>
      </c>
      <c r="U15" s="14">
        <f t="shared" si="2"/>
        <v>630974.87351822946</v>
      </c>
      <c r="V15" s="14">
        <f t="shared" si="2"/>
        <v>628332</v>
      </c>
      <c r="W15" s="15">
        <f t="shared" si="3"/>
        <v>626222.68549778056</v>
      </c>
      <c r="X15" s="15">
        <f t="shared" si="4"/>
        <v>624120.45197769988</v>
      </c>
      <c r="Y15" s="15">
        <f t="shared" si="4"/>
        <v>622025.27566885622</v>
      </c>
      <c r="Z15" s="15">
        <f t="shared" si="4"/>
        <v>619937.13288014673</v>
      </c>
      <c r="AA15" s="15">
        <f t="shared" si="4"/>
        <v>617855.99999999988</v>
      </c>
      <c r="AB15" s="19">
        <f t="shared" si="5"/>
        <v>615865.61747123394</v>
      </c>
      <c r="AC15" s="19">
        <f t="shared" si="6"/>
        <v>613881.64682907378</v>
      </c>
      <c r="AD15" s="19">
        <f t="shared" si="6"/>
        <v>611904.06741804804</v>
      </c>
      <c r="AE15" s="19">
        <f t="shared" si="6"/>
        <v>609932.85864922521</v>
      </c>
      <c r="AF15" s="19">
        <f t="shared" si="6"/>
        <v>607967.99999999988</v>
      </c>
    </row>
    <row r="16" spans="1:32">
      <c r="A16">
        <v>15</v>
      </c>
      <c r="B16" t="s">
        <v>349</v>
      </c>
      <c r="C16">
        <v>91437</v>
      </c>
      <c r="D16">
        <v>85895</v>
      </c>
      <c r="E16">
        <v>83536</v>
      </c>
      <c r="F16">
        <v>82776</v>
      </c>
      <c r="G16">
        <v>82650</v>
      </c>
      <c r="H16" s="9">
        <f t="shared" si="0"/>
        <v>-1.242705649482545E-2</v>
      </c>
      <c r="I16" s="10">
        <f t="shared" si="0"/>
        <v>-5.5541072780180833E-3</v>
      </c>
      <c r="J16" s="11">
        <f t="shared" si="0"/>
        <v>-1.8262328768251512E-3</v>
      </c>
      <c r="K16" s="12">
        <f t="shared" si="10"/>
        <v>-3.0462160053901233E-4</v>
      </c>
      <c r="L16" s="17">
        <f t="shared" si="7"/>
        <v>91437</v>
      </c>
      <c r="M16" s="18">
        <f t="shared" si="8"/>
        <v>90300.707235282651</v>
      </c>
      <c r="N16" s="18">
        <f t="shared" si="1"/>
        <v>89178.535244947096</v>
      </c>
      <c r="O16" s="18">
        <f t="shared" si="1"/>
        <v>88070.30854933236</v>
      </c>
      <c r="P16" s="18">
        <f t="shared" si="1"/>
        <v>86975.853849473104</v>
      </c>
      <c r="Q16" s="18">
        <f t="shared" si="1"/>
        <v>85895.000000000015</v>
      </c>
      <c r="R16" s="14">
        <f t="shared" si="9"/>
        <v>85417.92995535463</v>
      </c>
      <c r="S16" s="14">
        <f t="shared" si="2"/>
        <v>84943.509608916356</v>
      </c>
      <c r="T16" s="14">
        <f t="shared" si="2"/>
        <v>84471.724243977078</v>
      </c>
      <c r="U16" s="14">
        <f t="shared" si="2"/>
        <v>84002.559225566874</v>
      </c>
      <c r="V16" s="14">
        <f t="shared" si="2"/>
        <v>83536.000000000015</v>
      </c>
      <c r="W16" s="15">
        <f t="shared" si="3"/>
        <v>83383.443810401528</v>
      </c>
      <c r="X16" s="15">
        <f t="shared" si="4"/>
        <v>83231.166223932072</v>
      </c>
      <c r="Y16" s="15">
        <f t="shared" si="4"/>
        <v>83079.166731797435</v>
      </c>
      <c r="Z16" s="15">
        <f t="shared" si="4"/>
        <v>82927.444826132589</v>
      </c>
      <c r="AA16" s="15">
        <f t="shared" si="4"/>
        <v>82776</v>
      </c>
      <c r="AB16" s="19">
        <f t="shared" si="5"/>
        <v>82750.784642393788</v>
      </c>
      <c r="AC16" s="19">
        <f t="shared" si="6"/>
        <v>82725.576965930159</v>
      </c>
      <c r="AD16" s="19">
        <f t="shared" si="6"/>
        <v>82700.37696826928</v>
      </c>
      <c r="AE16" s="19">
        <f t="shared" si="6"/>
        <v>82675.184647072019</v>
      </c>
      <c r="AF16" s="19">
        <f t="shared" si="6"/>
        <v>82649.999999999971</v>
      </c>
    </row>
    <row r="17" spans="1:32">
      <c r="A17">
        <v>16</v>
      </c>
      <c r="B17" t="s">
        <v>350</v>
      </c>
      <c r="C17">
        <v>57076</v>
      </c>
      <c r="D17">
        <v>57202</v>
      </c>
      <c r="E17">
        <v>58329</v>
      </c>
      <c r="F17">
        <v>59523</v>
      </c>
      <c r="G17">
        <v>60812</v>
      </c>
      <c r="H17" s="9">
        <f t="shared" si="0"/>
        <v>4.4112721623168483E-4</v>
      </c>
      <c r="I17" s="10">
        <f t="shared" si="0"/>
        <v>3.9097299253849638E-3</v>
      </c>
      <c r="J17" s="11">
        <f t="shared" si="0"/>
        <v>4.0609023487570006E-3</v>
      </c>
      <c r="K17" s="12">
        <f t="shared" si="10"/>
        <v>4.2940622650089466E-3</v>
      </c>
      <c r="L17" s="17">
        <f t="shared" si="7"/>
        <v>57076</v>
      </c>
      <c r="M17" s="18">
        <f t="shared" si="8"/>
        <v>57101.177776993638</v>
      </c>
      <c r="N17" s="18">
        <f t="shared" si="1"/>
        <v>57126.366660589956</v>
      </c>
      <c r="O17" s="18">
        <f t="shared" si="1"/>
        <v>57151.566655688373</v>
      </c>
      <c r="P17" s="18">
        <f t="shared" si="1"/>
        <v>57176.777767190477</v>
      </c>
      <c r="Q17" s="18">
        <f t="shared" si="1"/>
        <v>57202.000000000015</v>
      </c>
      <c r="R17" s="14">
        <f t="shared" si="9"/>
        <v>57425.644371191869</v>
      </c>
      <c r="S17" s="14">
        <f t="shared" si="2"/>
        <v>57650.16313147443</v>
      </c>
      <c r="T17" s="14">
        <f t="shared" si="2"/>
        <v>57875.559699472884</v>
      </c>
      <c r="U17" s="14">
        <f t="shared" si="2"/>
        <v>58101.837507178316</v>
      </c>
      <c r="V17" s="14">
        <f t="shared" si="2"/>
        <v>58328.999999999985</v>
      </c>
      <c r="W17" s="15">
        <f t="shared" si="3"/>
        <v>58565.868373100646</v>
      </c>
      <c r="X17" s="15">
        <f t="shared" si="4"/>
        <v>58803.698645533965</v>
      </c>
      <c r="Y17" s="15">
        <f t="shared" si="4"/>
        <v>59042.494723479213</v>
      </c>
      <c r="Z17" s="15">
        <f t="shared" si="4"/>
        <v>59282.260528978259</v>
      </c>
      <c r="AA17" s="15">
        <f t="shared" si="4"/>
        <v>59523.000000000007</v>
      </c>
      <c r="AB17" s="19">
        <f t="shared" si="5"/>
        <v>59778.595468200125</v>
      </c>
      <c r="AC17" s="19">
        <f t="shared" si="6"/>
        <v>60035.28847925536</v>
      </c>
      <c r="AD17" s="19">
        <f t="shared" si="6"/>
        <v>60293.083746083059</v>
      </c>
      <c r="AE17" s="19">
        <f t="shared" si="6"/>
        <v>60551.986001838137</v>
      </c>
      <c r="AF17" s="19">
        <f t="shared" si="6"/>
        <v>60811.999999999978</v>
      </c>
    </row>
    <row r="18" spans="1:32">
      <c r="A18">
        <v>17</v>
      </c>
      <c r="B18" t="s">
        <v>351</v>
      </c>
      <c r="C18">
        <v>393253</v>
      </c>
      <c r="D18">
        <v>376198</v>
      </c>
      <c r="E18">
        <v>363929</v>
      </c>
      <c r="F18">
        <v>354205</v>
      </c>
      <c r="G18">
        <v>346287</v>
      </c>
      <c r="H18" s="9">
        <f t="shared" si="0"/>
        <v>-8.8283135757729614E-3</v>
      </c>
      <c r="I18" s="10">
        <f t="shared" si="0"/>
        <v>-6.609422418142219E-3</v>
      </c>
      <c r="J18" s="11">
        <f t="shared" si="0"/>
        <v>-5.4019471446035139E-3</v>
      </c>
      <c r="K18" s="12">
        <f t="shared" si="10"/>
        <v>-4.5113791330719799E-3</v>
      </c>
      <c r="L18" s="17">
        <f t="shared" si="7"/>
        <v>393253</v>
      </c>
      <c r="M18" s="18">
        <f t="shared" si="8"/>
        <v>389781.23920138658</v>
      </c>
      <c r="N18" s="18">
        <f t="shared" si="1"/>
        <v>386340.12819576339</v>
      </c>
      <c r="O18" s="18">
        <f t="shared" si="1"/>
        <v>382929.39639714686</v>
      </c>
      <c r="P18" s="18">
        <f t="shared" si="1"/>
        <v>379548.77560837136</v>
      </c>
      <c r="Q18" s="18">
        <f t="shared" si="1"/>
        <v>376197.99999999994</v>
      </c>
      <c r="R18" s="14">
        <f t="shared" si="9"/>
        <v>373711.54850513971</v>
      </c>
      <c r="S18" s="14">
        <f t="shared" si="2"/>
        <v>371241.53101853118</v>
      </c>
      <c r="T18" s="14">
        <f t="shared" si="2"/>
        <v>368787.83892087184</v>
      </c>
      <c r="U18" s="14">
        <f t="shared" si="2"/>
        <v>366350.36431077</v>
      </c>
      <c r="V18" s="14">
        <f t="shared" si="2"/>
        <v>363928.99999999983</v>
      </c>
      <c r="W18" s="15">
        <f t="shared" si="3"/>
        <v>361963.07477761159</v>
      </c>
      <c r="X18" s="15">
        <f t="shared" si="4"/>
        <v>360007.76937936473</v>
      </c>
      <c r="Y18" s="15">
        <f t="shared" si="4"/>
        <v>358063.02643753082</v>
      </c>
      <c r="Z18" s="15">
        <f t="shared" si="4"/>
        <v>356128.78889427852</v>
      </c>
      <c r="AA18" s="15">
        <f t="shared" si="4"/>
        <v>354204.99999999994</v>
      </c>
      <c r="AB18" s="19">
        <f t="shared" si="5"/>
        <v>352607.04695417022</v>
      </c>
      <c r="AC18" s="19">
        <f t="shared" si="6"/>
        <v>351016.30288036703</v>
      </c>
      <c r="AD18" s="19">
        <f t="shared" si="6"/>
        <v>349432.73525618447</v>
      </c>
      <c r="AE18" s="19">
        <f t="shared" si="6"/>
        <v>347856.31170593743</v>
      </c>
      <c r="AF18" s="19">
        <f t="shared" si="6"/>
        <v>346286.99999999988</v>
      </c>
    </row>
    <row r="19" spans="1:32">
      <c r="A19">
        <v>18</v>
      </c>
      <c r="B19" t="s">
        <v>352</v>
      </c>
      <c r="C19">
        <v>265014</v>
      </c>
      <c r="D19">
        <v>314668</v>
      </c>
      <c r="E19">
        <v>338230</v>
      </c>
      <c r="F19">
        <v>353898</v>
      </c>
      <c r="G19">
        <v>365042</v>
      </c>
      <c r="H19" s="9">
        <f t="shared" si="0"/>
        <v>3.4943765090591272E-2</v>
      </c>
      <c r="I19" s="10">
        <f t="shared" si="0"/>
        <v>1.4546388314903513E-2</v>
      </c>
      <c r="J19" s="11">
        <f t="shared" si="0"/>
        <v>9.0976540755070001E-3</v>
      </c>
      <c r="K19" s="12">
        <f t="shared" si="10"/>
        <v>6.2200002467722726E-3</v>
      </c>
      <c r="L19" s="17">
        <f t="shared" si="7"/>
        <v>265014</v>
      </c>
      <c r="M19" s="18">
        <f t="shared" si="8"/>
        <v>274274.58696171793</v>
      </c>
      <c r="N19" s="18">
        <f t="shared" si="1"/>
        <v>283858.77369882714</v>
      </c>
      <c r="O19" s="18">
        <f t="shared" si="1"/>
        <v>293777.86800586228</v>
      </c>
      <c r="P19" s="18">
        <f t="shared" si="1"/>
        <v>304043.57281427388</v>
      </c>
      <c r="Q19" s="18">
        <f t="shared" si="1"/>
        <v>314667.99999999994</v>
      </c>
      <c r="R19" s="14">
        <f t="shared" si="9"/>
        <v>319245.28291827405</v>
      </c>
      <c r="S19" s="14">
        <f t="shared" si="2"/>
        <v>323889.14877130452</v>
      </c>
      <c r="T19" s="14">
        <f t="shared" si="2"/>
        <v>328600.56610031548</v>
      </c>
      <c r="U19" s="14">
        <f t="shared" si="2"/>
        <v>333380.51753530779</v>
      </c>
      <c r="V19" s="14">
        <f t="shared" si="2"/>
        <v>338229.99999999988</v>
      </c>
      <c r="W19" s="15">
        <f t="shared" si="3"/>
        <v>341307.09953795874</v>
      </c>
      <c r="X19" s="15">
        <f t="shared" si="4"/>
        <v>344412.19346306974</v>
      </c>
      <c r="Y19" s="15">
        <f t="shared" si="4"/>
        <v>347545.53645858332</v>
      </c>
      <c r="Z19" s="15">
        <f t="shared" si="4"/>
        <v>350707.38552477001</v>
      </c>
      <c r="AA19" s="15">
        <f t="shared" si="4"/>
        <v>353897.99999999983</v>
      </c>
      <c r="AB19" s="19">
        <f t="shared" si="5"/>
        <v>356099.24564733222</v>
      </c>
      <c r="AC19" s="19">
        <f t="shared" si="6"/>
        <v>358314.18304313405</v>
      </c>
      <c r="AD19" s="19">
        <f t="shared" si="6"/>
        <v>360542.89735008433</v>
      </c>
      <c r="AE19" s="19">
        <f t="shared" si="6"/>
        <v>362785.47426057386</v>
      </c>
      <c r="AF19" s="19">
        <f t="shared" si="6"/>
        <v>365042</v>
      </c>
    </row>
    <row r="20" spans="1:32">
      <c r="A20">
        <v>19</v>
      </c>
      <c r="B20" t="s">
        <v>353</v>
      </c>
      <c r="C20">
        <v>279198</v>
      </c>
      <c r="D20">
        <v>291949</v>
      </c>
      <c r="E20">
        <v>304377</v>
      </c>
      <c r="F20">
        <v>313920</v>
      </c>
      <c r="G20">
        <v>321454</v>
      </c>
      <c r="H20" s="9">
        <f t="shared" si="0"/>
        <v>8.9715900038207508E-3</v>
      </c>
      <c r="I20" s="10">
        <f t="shared" si="0"/>
        <v>8.3724415143682229E-3</v>
      </c>
      <c r="J20" s="11">
        <f t="shared" si="0"/>
        <v>6.1933221433141394E-3</v>
      </c>
      <c r="K20" s="12">
        <f t="shared" si="10"/>
        <v>4.7545225933460777E-3</v>
      </c>
      <c r="L20" s="17">
        <f t="shared" si="7"/>
        <v>279198</v>
      </c>
      <c r="M20" s="18">
        <f t="shared" si="8"/>
        <v>281702.84998588677</v>
      </c>
      <c r="N20" s="18">
        <f t="shared" si="1"/>
        <v>284230.17245886795</v>
      </c>
      <c r="O20" s="18">
        <f t="shared" si="1"/>
        <v>286780.16903288418</v>
      </c>
      <c r="P20" s="18">
        <f t="shared" si="1"/>
        <v>289353.04313067364</v>
      </c>
      <c r="Q20" s="18">
        <f t="shared" si="1"/>
        <v>291948.99999999988</v>
      </c>
      <c r="R20" s="14">
        <f t="shared" si="9"/>
        <v>294393.32592767826</v>
      </c>
      <c r="S20" s="14">
        <f t="shared" si="2"/>
        <v>296858.11683122808</v>
      </c>
      <c r="T20" s="14">
        <f t="shared" si="2"/>
        <v>299343.54405246302</v>
      </c>
      <c r="U20" s="14">
        <f t="shared" si="2"/>
        <v>301849.78036774596</v>
      </c>
      <c r="V20" s="14">
        <f t="shared" si="2"/>
        <v>304376.99999999983</v>
      </c>
      <c r="W20" s="15">
        <f t="shared" si="3"/>
        <v>306262.1048140155</v>
      </c>
      <c r="X20" s="15">
        <f t="shared" si="4"/>
        <v>308158.88468941813</v>
      </c>
      <c r="Y20" s="15">
        <f t="shared" si="4"/>
        <v>310067.41193362407</v>
      </c>
      <c r="Z20" s="15">
        <f t="shared" si="4"/>
        <v>311987.75930187269</v>
      </c>
      <c r="AA20" s="15">
        <f t="shared" si="4"/>
        <v>313919.99999999994</v>
      </c>
      <c r="AB20" s="19">
        <f t="shared" si="5"/>
        <v>315412.53973250318</v>
      </c>
      <c r="AC20" s="19">
        <f t="shared" si="6"/>
        <v>316912.17577888601</v>
      </c>
      <c r="AD20" s="19">
        <f t="shared" si="6"/>
        <v>318418.94187873317</v>
      </c>
      <c r="AE20" s="19">
        <f t="shared" si="6"/>
        <v>319932.87193204497</v>
      </c>
      <c r="AF20" s="19">
        <f t="shared" si="6"/>
        <v>321454</v>
      </c>
    </row>
    <row r="21" spans="1:32">
      <c r="A21">
        <v>20</v>
      </c>
      <c r="B21" t="s">
        <v>354</v>
      </c>
      <c r="C21">
        <v>380150</v>
      </c>
      <c r="D21">
        <v>344727</v>
      </c>
      <c r="E21">
        <v>338843</v>
      </c>
      <c r="F21">
        <v>331279</v>
      </c>
      <c r="G21">
        <v>324274</v>
      </c>
      <c r="H21" s="9">
        <f t="shared" si="0"/>
        <v>-1.9372516027297837E-2</v>
      </c>
      <c r="I21" s="10">
        <f t="shared" si="0"/>
        <v>-3.4372642706376189E-3</v>
      </c>
      <c r="J21" s="11">
        <f t="shared" si="0"/>
        <v>-4.5050123762294669E-3</v>
      </c>
      <c r="K21" s="12">
        <f t="shared" si="10"/>
        <v>-4.2652943270458099E-3</v>
      </c>
      <c r="L21" s="17">
        <f t="shared" si="7"/>
        <v>380150</v>
      </c>
      <c r="M21" s="18">
        <f t="shared" si="8"/>
        <v>372785.53803222271</v>
      </c>
      <c r="N21" s="18">
        <f t="shared" si="1"/>
        <v>365563.74422194861</v>
      </c>
      <c r="O21" s="18">
        <f t="shared" si="1"/>
        <v>358481.8547280099</v>
      </c>
      <c r="P21" s="18">
        <f t="shared" si="1"/>
        <v>351537.15925179608</v>
      </c>
      <c r="Q21" s="18">
        <f t="shared" si="1"/>
        <v>344726.99999999988</v>
      </c>
      <c r="R21" s="14">
        <f t="shared" si="9"/>
        <v>343542.0821997759</v>
      </c>
      <c r="S21" s="14">
        <f t="shared" si="2"/>
        <v>342361.23727517016</v>
      </c>
      <c r="T21" s="14">
        <f t="shared" si="2"/>
        <v>341184.45122663293</v>
      </c>
      <c r="U21" s="14">
        <f t="shared" si="2"/>
        <v>340011.71010273451</v>
      </c>
      <c r="V21" s="14">
        <f t="shared" si="2"/>
        <v>338843</v>
      </c>
      <c r="W21" s="15">
        <f t="shared" si="3"/>
        <v>337316.50809140125</v>
      </c>
      <c r="X21" s="15">
        <f t="shared" si="4"/>
        <v>335796.89304774295</v>
      </c>
      <c r="Y21" s="15">
        <f t="shared" si="4"/>
        <v>334284.12388866348</v>
      </c>
      <c r="Z21" s="15">
        <f t="shared" si="4"/>
        <v>332778.16977336805</v>
      </c>
      <c r="AA21" s="15">
        <f t="shared" si="4"/>
        <v>331279.00000000006</v>
      </c>
      <c r="AB21" s="19">
        <f t="shared" si="5"/>
        <v>329865.99756063061</v>
      </c>
      <c r="AC21" s="19">
        <f t="shared" si="6"/>
        <v>328459.02199254994</v>
      </c>
      <c r="AD21" s="19">
        <f t="shared" si="6"/>
        <v>327058.04758937808</v>
      </c>
      <c r="AE21" s="19">
        <f t="shared" si="6"/>
        <v>325663.04875438043</v>
      </c>
      <c r="AF21" s="19">
        <f t="shared" si="6"/>
        <v>324273.99999999994</v>
      </c>
    </row>
    <row r="22" spans="1:32">
      <c r="A22">
        <v>21</v>
      </c>
      <c r="B22" t="s">
        <v>355</v>
      </c>
      <c r="C22">
        <v>368538</v>
      </c>
      <c r="D22">
        <v>350449</v>
      </c>
      <c r="E22">
        <v>337628</v>
      </c>
      <c r="F22">
        <v>338908</v>
      </c>
      <c r="G22">
        <v>346027</v>
      </c>
      <c r="H22" s="9">
        <f t="shared" si="0"/>
        <v>-1.0015237633456131E-2</v>
      </c>
      <c r="I22" s="10">
        <f t="shared" si="0"/>
        <v>-7.4263854691648534E-3</v>
      </c>
      <c r="J22" s="11">
        <f t="shared" si="0"/>
        <v>7.5708373264005147E-4</v>
      </c>
      <c r="K22" s="12">
        <f t="shared" si="10"/>
        <v>4.1662794267622871E-3</v>
      </c>
      <c r="L22" s="17">
        <f t="shared" si="7"/>
        <v>368538</v>
      </c>
      <c r="M22" s="18">
        <f t="shared" si="8"/>
        <v>364847.00435304135</v>
      </c>
      <c r="N22" s="18">
        <f t="shared" si="1"/>
        <v>361192.97490459104</v>
      </c>
      <c r="O22" s="18">
        <f t="shared" si="1"/>
        <v>357575.54142938659</v>
      </c>
      <c r="P22" s="18">
        <f t="shared" si="1"/>
        <v>353994.33741005952</v>
      </c>
      <c r="Q22" s="18">
        <f t="shared" si="1"/>
        <v>350448.99999999994</v>
      </c>
      <c r="R22" s="14">
        <f t="shared" si="9"/>
        <v>347846.43063871667</v>
      </c>
      <c r="S22" s="14">
        <f t="shared" si="2"/>
        <v>345263.18896072044</v>
      </c>
      <c r="T22" s="14">
        <f t="shared" si="2"/>
        <v>342699.131431185</v>
      </c>
      <c r="U22" s="14">
        <f t="shared" si="2"/>
        <v>340154.11558122904</v>
      </c>
      <c r="V22" s="14">
        <f t="shared" si="2"/>
        <v>337628</v>
      </c>
      <c r="W22" s="15">
        <f t="shared" si="3"/>
        <v>337883.61266648379</v>
      </c>
      <c r="X22" s="15">
        <f t="shared" si="4"/>
        <v>338139.41885315924</v>
      </c>
      <c r="Y22" s="15">
        <f t="shared" si="4"/>
        <v>338395.41870653734</v>
      </c>
      <c r="Z22" s="15">
        <f t="shared" si="4"/>
        <v>338651.61237324</v>
      </c>
      <c r="AA22" s="15">
        <f t="shared" si="4"/>
        <v>338908.00000000012</v>
      </c>
      <c r="AB22" s="19">
        <f t="shared" si="5"/>
        <v>340319.98542796518</v>
      </c>
      <c r="AC22" s="19">
        <f t="shared" si="6"/>
        <v>341737.85358176974</v>
      </c>
      <c r="AD22" s="19">
        <f t="shared" si="6"/>
        <v>343161.62897049339</v>
      </c>
      <c r="AE22" s="19">
        <f t="shared" si="6"/>
        <v>344591.33620532736</v>
      </c>
      <c r="AF22" s="19">
        <f t="shared" si="6"/>
        <v>346027.00000000012</v>
      </c>
    </row>
    <row r="23" spans="1:32">
      <c r="A23">
        <v>22</v>
      </c>
      <c r="B23" t="s">
        <v>356</v>
      </c>
      <c r="C23">
        <v>139266</v>
      </c>
      <c r="D23">
        <v>152939</v>
      </c>
      <c r="E23">
        <v>162953</v>
      </c>
      <c r="F23">
        <v>166463</v>
      </c>
      <c r="G23">
        <v>171539</v>
      </c>
      <c r="H23" s="9">
        <f t="shared" si="0"/>
        <v>1.8907194606452737E-2</v>
      </c>
      <c r="I23" s="10">
        <f t="shared" si="0"/>
        <v>1.2765323242844184E-2</v>
      </c>
      <c r="J23" s="11">
        <f t="shared" si="0"/>
        <v>4.2713456705676389E-3</v>
      </c>
      <c r="K23" s="12">
        <f t="shared" si="10"/>
        <v>6.0255980178332003E-3</v>
      </c>
      <c r="L23" s="17">
        <f t="shared" si="7"/>
        <v>139266</v>
      </c>
      <c r="M23" s="18">
        <f t="shared" si="8"/>
        <v>141899.12936406225</v>
      </c>
      <c r="N23" s="18">
        <f t="shared" si="1"/>
        <v>144582.04381743478</v>
      </c>
      <c r="O23" s="18">
        <f t="shared" si="1"/>
        <v>147315.6846564897</v>
      </c>
      <c r="P23" s="18">
        <f t="shared" si="1"/>
        <v>150101.01097487277</v>
      </c>
      <c r="Q23" s="18">
        <f t="shared" si="1"/>
        <v>152939</v>
      </c>
      <c r="R23" s="14">
        <f t="shared" si="9"/>
        <v>154891.31577143734</v>
      </c>
      <c r="S23" s="14">
        <f t="shared" si="2"/>
        <v>156868.55348476919</v>
      </c>
      <c r="T23" s="14">
        <f t="shared" si="2"/>
        <v>158871.03127663967</v>
      </c>
      <c r="U23" s="14">
        <f t="shared" si="2"/>
        <v>160899.07134480999</v>
      </c>
      <c r="V23" s="14">
        <f t="shared" si="2"/>
        <v>162952.99999999994</v>
      </c>
      <c r="W23" s="15">
        <f t="shared" si="3"/>
        <v>163649.02859105601</v>
      </c>
      <c r="X23" s="15">
        <f t="shared" si="4"/>
        <v>164348.03016082101</v>
      </c>
      <c r="Y23" s="15">
        <f t="shared" si="4"/>
        <v>165050.01740791477</v>
      </c>
      <c r="Z23" s="15">
        <f t="shared" si="4"/>
        <v>165755.00308519718</v>
      </c>
      <c r="AA23" s="15">
        <f t="shared" si="4"/>
        <v>166463.00000000006</v>
      </c>
      <c r="AB23" s="19">
        <f t="shared" si="5"/>
        <v>167466.03912284257</v>
      </c>
      <c r="AC23" s="19">
        <f t="shared" si="6"/>
        <v>168475.12215623556</v>
      </c>
      <c r="AD23" s="19">
        <f t="shared" si="6"/>
        <v>169490.28551835439</v>
      </c>
      <c r="AE23" s="19">
        <f t="shared" si="6"/>
        <v>170511.56584681576</v>
      </c>
      <c r="AF23" s="19">
        <f t="shared" si="6"/>
        <v>171538.99999999997</v>
      </c>
    </row>
    <row r="24" spans="1:32">
      <c r="A24">
        <v>23</v>
      </c>
      <c r="B24" t="s">
        <v>357</v>
      </c>
      <c r="C24">
        <v>34910</v>
      </c>
      <c r="D24">
        <v>39003</v>
      </c>
      <c r="E24">
        <v>42998</v>
      </c>
      <c r="F24">
        <v>46942</v>
      </c>
      <c r="G24">
        <v>50868</v>
      </c>
      <c r="H24" s="9">
        <f t="shared" si="0"/>
        <v>2.2420698068841505E-2</v>
      </c>
      <c r="I24" s="10">
        <f t="shared" si="0"/>
        <v>1.9694433431208802E-2</v>
      </c>
      <c r="J24" s="11">
        <f t="shared" si="0"/>
        <v>1.7706777504947535E-2</v>
      </c>
      <c r="K24" s="12">
        <f t="shared" si="10"/>
        <v>1.6193972767326148E-2</v>
      </c>
      <c r="L24" s="17">
        <f t="shared" si="7"/>
        <v>34910</v>
      </c>
      <c r="M24" s="18">
        <f t="shared" si="8"/>
        <v>35692.706569583257</v>
      </c>
      <c r="N24" s="18">
        <f t="shared" si="1"/>
        <v>36492.961966839641</v>
      </c>
      <c r="O24" s="18">
        <f t="shared" si="1"/>
        <v>37311.159648735869</v>
      </c>
      <c r="P24" s="18">
        <f t="shared" si="1"/>
        <v>38147.701893818521</v>
      </c>
      <c r="Q24" s="18">
        <f t="shared" si="1"/>
        <v>39003</v>
      </c>
      <c r="R24" s="14">
        <f t="shared" si="9"/>
        <v>39771.141987117437</v>
      </c>
      <c r="S24" s="14">
        <f t="shared" si="2"/>
        <v>40554.412095465872</v>
      </c>
      <c r="T24" s="14">
        <f t="shared" si="2"/>
        <v>41353.108264821836</v>
      </c>
      <c r="U24" s="14">
        <f t="shared" si="2"/>
        <v>42167.534302716944</v>
      </c>
      <c r="V24" s="14">
        <f t="shared" si="2"/>
        <v>42998.000000000015</v>
      </c>
      <c r="W24" s="15">
        <f t="shared" si="3"/>
        <v>43759.356019157734</v>
      </c>
      <c r="X24" s="15">
        <f t="shared" si="4"/>
        <v>44534.19319994875</v>
      </c>
      <c r="Y24" s="15">
        <f t="shared" si="4"/>
        <v>45322.75025030259</v>
      </c>
      <c r="Z24" s="15">
        <f t="shared" si="4"/>
        <v>46125.270104897005</v>
      </c>
      <c r="AA24" s="15">
        <f t="shared" si="4"/>
        <v>46942.000000000022</v>
      </c>
      <c r="AB24" s="19">
        <f t="shared" si="5"/>
        <v>47702.177469643822</v>
      </c>
      <c r="AC24" s="19">
        <f t="shared" si="6"/>
        <v>48474.665232529391</v>
      </c>
      <c r="AD24" s="19">
        <f t="shared" si="6"/>
        <v>49259.662641210227</v>
      </c>
      <c r="AE24" s="19">
        <f t="shared" si="6"/>
        <v>50057.372276549657</v>
      </c>
      <c r="AF24" s="19">
        <f t="shared" si="6"/>
        <v>50868.000000000007</v>
      </c>
    </row>
    <row r="25" spans="1:32">
      <c r="A25">
        <v>24</v>
      </c>
      <c r="B25" t="s">
        <v>358</v>
      </c>
      <c r="C25">
        <v>110096</v>
      </c>
      <c r="D25">
        <v>111171</v>
      </c>
      <c r="E25">
        <v>110383</v>
      </c>
      <c r="F25">
        <v>111745</v>
      </c>
      <c r="G25">
        <v>115434</v>
      </c>
      <c r="H25" s="9">
        <f t="shared" si="0"/>
        <v>1.9452583604737672E-3</v>
      </c>
      <c r="I25" s="10">
        <f t="shared" si="0"/>
        <v>-1.4216724566510353E-3</v>
      </c>
      <c r="J25" s="11">
        <f t="shared" si="0"/>
        <v>2.4556809141536018E-3</v>
      </c>
      <c r="K25" s="12">
        <f t="shared" si="10"/>
        <v>6.5170337094810904E-3</v>
      </c>
      <c r="L25" s="17">
        <f t="shared" si="7"/>
        <v>110096</v>
      </c>
      <c r="M25" s="18">
        <f t="shared" si="8"/>
        <v>110310.16516445472</v>
      </c>
      <c r="N25" s="18">
        <f t="shared" si="1"/>
        <v>110524.74693548612</v>
      </c>
      <c r="O25" s="18">
        <f t="shared" si="1"/>
        <v>110739.74612350162</v>
      </c>
      <c r="P25" s="18">
        <f t="shared" si="1"/>
        <v>110955.16354048511</v>
      </c>
      <c r="Q25" s="18">
        <f t="shared" si="1"/>
        <v>111170.99999999997</v>
      </c>
      <c r="R25" s="14">
        <f t="shared" si="9"/>
        <v>111012.95125132165</v>
      </c>
      <c r="S25" s="14">
        <f t="shared" si="2"/>
        <v>110855.1271961961</v>
      </c>
      <c r="T25" s="14">
        <f t="shared" si="2"/>
        <v>110697.52751518272</v>
      </c>
      <c r="U25" s="14">
        <f t="shared" si="2"/>
        <v>110540.15188929501</v>
      </c>
      <c r="V25" s="14">
        <f t="shared" si="2"/>
        <v>110382.99999999999</v>
      </c>
      <c r="W25" s="15">
        <f t="shared" si="3"/>
        <v>110654.06542634702</v>
      </c>
      <c r="X25" s="15">
        <f t="shared" si="4"/>
        <v>110925.796502888</v>
      </c>
      <c r="Y25" s="15">
        <f t="shared" si="4"/>
        <v>111198.19486424743</v>
      </c>
      <c r="Z25" s="15">
        <f t="shared" si="4"/>
        <v>111471.2621490639</v>
      </c>
      <c r="AA25" s="15">
        <f t="shared" si="4"/>
        <v>111744.99999999997</v>
      </c>
      <c r="AB25" s="19">
        <f t="shared" si="5"/>
        <v>112473.24593186597</v>
      </c>
      <c r="AC25" s="19">
        <f t="shared" si="6"/>
        <v>113206.23786701869</v>
      </c>
      <c r="AD25" s="19">
        <f t="shared" si="6"/>
        <v>113944.00673532159</v>
      </c>
      <c r="AE25" s="19">
        <f t="shared" si="6"/>
        <v>114686.58366820902</v>
      </c>
      <c r="AF25" s="19">
        <f t="shared" si="6"/>
        <v>115433.99999999996</v>
      </c>
    </row>
    <row r="26" spans="1:32">
      <c r="A26">
        <v>25</v>
      </c>
      <c r="B26" t="s">
        <v>359</v>
      </c>
      <c r="C26">
        <v>168478</v>
      </c>
      <c r="D26">
        <v>184803</v>
      </c>
      <c r="E26">
        <v>201276</v>
      </c>
      <c r="F26">
        <v>217927</v>
      </c>
      <c r="G26">
        <v>234677</v>
      </c>
      <c r="H26" s="9">
        <f t="shared" si="0"/>
        <v>1.8669173036176101E-2</v>
      </c>
      <c r="I26" s="10">
        <f t="shared" si="0"/>
        <v>1.7223992944658484E-2</v>
      </c>
      <c r="J26" s="11">
        <f t="shared" si="0"/>
        <v>1.6023632037125868E-2</v>
      </c>
      <c r="K26" s="12">
        <f t="shared" si="10"/>
        <v>1.4920202581935493E-2</v>
      </c>
      <c r="L26" s="17">
        <f t="shared" si="7"/>
        <v>168478</v>
      </c>
      <c r="M26" s="18">
        <f t="shared" si="8"/>
        <v>171623.34493478888</v>
      </c>
      <c r="N26" s="18">
        <f t="shared" si="1"/>
        <v>174827.4108584238</v>
      </c>
      <c r="O26" s="18">
        <f t="shared" si="1"/>
        <v>178091.29404320638</v>
      </c>
      <c r="P26" s="18">
        <f t="shared" si="1"/>
        <v>181416.11122793553</v>
      </c>
      <c r="Q26" s="18">
        <f t="shared" si="1"/>
        <v>184803.00000000003</v>
      </c>
      <c r="R26" s="14">
        <f t="shared" si="9"/>
        <v>187986.04556815172</v>
      </c>
      <c r="S26" s="14">
        <f t="shared" si="2"/>
        <v>191223.91589071183</v>
      </c>
      <c r="T26" s="14">
        <f t="shared" si="2"/>
        <v>194517.55526886342</v>
      </c>
      <c r="U26" s="14">
        <f t="shared" si="2"/>
        <v>197867.92426842655</v>
      </c>
      <c r="V26" s="14">
        <f t="shared" si="2"/>
        <v>201276.00000000015</v>
      </c>
      <c r="W26" s="15">
        <f t="shared" si="3"/>
        <v>204501.17256190453</v>
      </c>
      <c r="X26" s="15">
        <f t="shared" si="4"/>
        <v>207778.02410219726</v>
      </c>
      <c r="Y26" s="15">
        <f t="shared" si="4"/>
        <v>211107.38270581194</v>
      </c>
      <c r="Z26" s="15">
        <f t="shared" si="4"/>
        <v>214490.08972661057</v>
      </c>
      <c r="AA26" s="15">
        <f t="shared" si="4"/>
        <v>217926.99999999988</v>
      </c>
      <c r="AB26" s="19">
        <f t="shared" si="5"/>
        <v>221178.51498807347</v>
      </c>
      <c r="AC26" s="19">
        <f t="shared" si="6"/>
        <v>224478.54323846719</v>
      </c>
      <c r="AD26" s="19">
        <f t="shared" si="6"/>
        <v>227827.80857888289</v>
      </c>
      <c r="AE26" s="19">
        <f t="shared" si="6"/>
        <v>231227.04563667823</v>
      </c>
      <c r="AF26" s="19">
        <f t="shared" si="6"/>
        <v>234676.99999999991</v>
      </c>
    </row>
    <row r="27" spans="1:32">
      <c r="A27">
        <v>26</v>
      </c>
      <c r="B27" t="s">
        <v>360</v>
      </c>
      <c r="C27">
        <v>108508</v>
      </c>
      <c r="D27">
        <v>117010</v>
      </c>
      <c r="E27">
        <v>126183</v>
      </c>
      <c r="F27">
        <v>134683</v>
      </c>
      <c r="G27">
        <v>141831</v>
      </c>
      <c r="H27" s="9">
        <f t="shared" si="0"/>
        <v>1.520148445888525E-2</v>
      </c>
      <c r="I27" s="10">
        <f t="shared" si="0"/>
        <v>1.5209267985370367E-2</v>
      </c>
      <c r="J27" s="11">
        <f t="shared" si="0"/>
        <v>1.3123493952164722E-2</v>
      </c>
      <c r="K27" s="12">
        <f t="shared" si="10"/>
        <v>1.0396135962629893E-2</v>
      </c>
      <c r="L27" s="17">
        <f t="shared" si="7"/>
        <v>108508</v>
      </c>
      <c r="M27" s="18">
        <f t="shared" si="8"/>
        <v>110157.48267566472</v>
      </c>
      <c r="N27" s="18">
        <f t="shared" ref="N27:Q28" si="11">M27*(1+$H27)</f>
        <v>111832.03993658876</v>
      </c>
      <c r="O27" s="18">
        <f t="shared" si="11"/>
        <v>113532.05295369025</v>
      </c>
      <c r="P27" s="18">
        <f t="shared" si="11"/>
        <v>115257.90869225111</v>
      </c>
      <c r="Q27" s="18">
        <f t="shared" si="11"/>
        <v>117009.99999999997</v>
      </c>
      <c r="R27" s="14">
        <f t="shared" si="9"/>
        <v>118789.63644696819</v>
      </c>
      <c r="S27" s="14">
        <f t="shared" ref="S27:V28" si="12">R27*(1+$I27)</f>
        <v>120596.33986157484</v>
      </c>
      <c r="T27" s="14">
        <f t="shared" si="12"/>
        <v>122430.52191258434</v>
      </c>
      <c r="U27" s="14">
        <f t="shared" si="12"/>
        <v>124292.6005299416</v>
      </c>
      <c r="V27" s="14">
        <f t="shared" si="12"/>
        <v>126183.00000000007</v>
      </c>
      <c r="W27" s="15">
        <f t="shared" si="3"/>
        <v>127838.96183736601</v>
      </c>
      <c r="X27" s="15">
        <f t="shared" ref="X27:AA28" si="13">W27*(1+$J27)</f>
        <v>129516.65567988969</v>
      </c>
      <c r="Y27" s="15">
        <f t="shared" si="13"/>
        <v>131216.36672740933</v>
      </c>
      <c r="Z27" s="15">
        <f t="shared" si="13"/>
        <v>132938.3839225815</v>
      </c>
      <c r="AA27" s="15">
        <f t="shared" si="13"/>
        <v>134683.00000000006</v>
      </c>
      <c r="AB27" s="19">
        <f t="shared" si="5"/>
        <v>136083.18277985489</v>
      </c>
      <c r="AC27" s="19">
        <f t="shared" ref="AC27:AF28" si="14">AB27*(1+$K27)</f>
        <v>137497.92205026167</v>
      </c>
      <c r="AD27" s="19">
        <f t="shared" si="14"/>
        <v>138927.36914247528</v>
      </c>
      <c r="AE27" s="19">
        <f t="shared" si="14"/>
        <v>140371.67696101093</v>
      </c>
      <c r="AF27" s="19">
        <f t="shared" si="14"/>
        <v>141830.99999999997</v>
      </c>
    </row>
    <row r="28" spans="1:32">
      <c r="A28">
        <v>27</v>
      </c>
      <c r="B28" t="s">
        <v>361</v>
      </c>
      <c r="C28">
        <v>165172</v>
      </c>
      <c r="D28">
        <v>165001</v>
      </c>
      <c r="E28">
        <v>165001</v>
      </c>
      <c r="F28">
        <v>165001</v>
      </c>
      <c r="G28">
        <v>165001</v>
      </c>
      <c r="H28" s="9">
        <f t="shared" si="0"/>
        <v>-2.0714268456423213E-4</v>
      </c>
      <c r="I28" s="10">
        <f t="shared" si="0"/>
        <v>0</v>
      </c>
      <c r="J28" s="11">
        <f t="shared" si="0"/>
        <v>0</v>
      </c>
      <c r="K28" s="12">
        <f t="shared" si="10"/>
        <v>0</v>
      </c>
      <c r="L28" s="17">
        <f t="shared" si="7"/>
        <v>165172</v>
      </c>
      <c r="M28" s="18">
        <f t="shared" si="8"/>
        <v>165137.78582850515</v>
      </c>
      <c r="N28" s="18">
        <f t="shared" si="11"/>
        <v>165103.57874422564</v>
      </c>
      <c r="O28" s="18">
        <f t="shared" si="11"/>
        <v>165069.37874569339</v>
      </c>
      <c r="P28" s="18">
        <f t="shared" si="11"/>
        <v>165035.18583144067</v>
      </c>
      <c r="Q28" s="18">
        <f t="shared" si="11"/>
        <v>165001</v>
      </c>
      <c r="R28" s="14">
        <f t="shared" si="9"/>
        <v>165001</v>
      </c>
      <c r="S28" s="14">
        <f t="shared" si="12"/>
        <v>165001</v>
      </c>
      <c r="T28" s="14">
        <f t="shared" si="12"/>
        <v>165001</v>
      </c>
      <c r="U28" s="14">
        <f t="shared" si="12"/>
        <v>165001</v>
      </c>
      <c r="V28" s="14">
        <f t="shared" si="12"/>
        <v>165001</v>
      </c>
      <c r="W28" s="15">
        <f t="shared" si="3"/>
        <v>165001</v>
      </c>
      <c r="X28" s="15">
        <f t="shared" si="13"/>
        <v>165001</v>
      </c>
      <c r="Y28" s="15">
        <f t="shared" si="13"/>
        <v>165001</v>
      </c>
      <c r="Z28" s="15">
        <f t="shared" si="13"/>
        <v>165001</v>
      </c>
      <c r="AA28" s="15">
        <f t="shared" si="13"/>
        <v>165001</v>
      </c>
      <c r="AB28" s="19">
        <f t="shared" si="5"/>
        <v>165001</v>
      </c>
      <c r="AC28" s="19">
        <f t="shared" si="14"/>
        <v>165001</v>
      </c>
      <c r="AD28" s="19">
        <f t="shared" si="14"/>
        <v>165001</v>
      </c>
      <c r="AE28" s="19">
        <f t="shared" si="14"/>
        <v>165001</v>
      </c>
      <c r="AF28" s="19">
        <f t="shared" si="14"/>
        <v>165001</v>
      </c>
    </row>
    <row r="30" spans="1:32">
      <c r="Q30" s="18" t="b">
        <f>Q2=D2</f>
        <v>1</v>
      </c>
      <c r="V30" s="18" t="b">
        <f>V2=E2</f>
        <v>1</v>
      </c>
      <c r="AA30" s="18" t="b">
        <f>AA2=F2</f>
        <v>1</v>
      </c>
      <c r="AF30" s="18" t="b">
        <f>AF2=G2</f>
        <v>1</v>
      </c>
    </row>
    <row r="32" spans="1:32">
      <c r="B32" t="s">
        <v>447</v>
      </c>
    </row>
    <row r="33" spans="1:23">
      <c r="A33" t="str">
        <f>A1</f>
        <v>ID</v>
      </c>
      <c r="B33" t="str">
        <f>B1</f>
        <v>Land Cover</v>
      </c>
      <c r="C33" s="29">
        <f>L1</f>
        <v>2025</v>
      </c>
      <c r="D33" s="29">
        <f t="shared" ref="D33:O33" si="15">M1</f>
        <v>2026</v>
      </c>
      <c r="E33" s="29">
        <f t="shared" si="15"/>
        <v>2027</v>
      </c>
      <c r="F33" s="29">
        <f t="shared" si="15"/>
        <v>2028</v>
      </c>
      <c r="G33" s="29">
        <f t="shared" si="15"/>
        <v>2029</v>
      </c>
      <c r="H33" s="29">
        <f t="shared" si="15"/>
        <v>2030</v>
      </c>
      <c r="I33" s="29">
        <f t="shared" si="15"/>
        <v>2031</v>
      </c>
      <c r="J33" s="29">
        <f t="shared" si="15"/>
        <v>2032</v>
      </c>
      <c r="K33" s="29">
        <f t="shared" si="15"/>
        <v>2033</v>
      </c>
      <c r="L33" s="29">
        <f t="shared" si="15"/>
        <v>2034</v>
      </c>
      <c r="M33" s="29">
        <f t="shared" si="15"/>
        <v>2035</v>
      </c>
      <c r="N33" s="29">
        <f t="shared" si="15"/>
        <v>2036</v>
      </c>
      <c r="O33" s="29">
        <f t="shared" si="15"/>
        <v>2037</v>
      </c>
      <c r="P33" s="29">
        <f t="shared" ref="P33" si="16">Y1</f>
        <v>2038</v>
      </c>
      <c r="Q33" s="29">
        <f t="shared" ref="Q33" si="17">Z1</f>
        <v>2039</v>
      </c>
      <c r="R33" s="29">
        <f t="shared" ref="R33" si="18">AA1</f>
        <v>2040</v>
      </c>
      <c r="S33" s="29">
        <f t="shared" ref="S33" si="19">AB1</f>
        <v>2041</v>
      </c>
      <c r="T33" s="29">
        <f t="shared" ref="T33" si="20">AC1</f>
        <v>2042</v>
      </c>
      <c r="U33" s="29">
        <f t="shared" ref="U33" si="21">AD1</f>
        <v>2043</v>
      </c>
      <c r="V33" s="29">
        <f t="shared" ref="V33:W33" si="22">AE1</f>
        <v>2044</v>
      </c>
      <c r="W33" s="29">
        <f t="shared" si="22"/>
        <v>2045</v>
      </c>
    </row>
    <row r="34" spans="1:23">
      <c r="A34">
        <f t="shared" ref="A34:B60" si="23">A2</f>
        <v>1</v>
      </c>
      <c r="B34" t="str">
        <f t="shared" si="23"/>
        <v>Hutan lahan kering primer</v>
      </c>
      <c r="C34" s="29">
        <f t="shared" ref="C34:C60" si="24">L2</f>
        <v>281147</v>
      </c>
      <c r="D34" s="29">
        <f t="shared" ref="D34:D60" si="25">M2</f>
        <v>274297.9279325183</v>
      </c>
      <c r="E34" s="29">
        <f t="shared" ref="E34:E60" si="26">N2</f>
        <v>267615.70732774318</v>
      </c>
      <c r="F34" s="29">
        <f t="shared" ref="F34:F60" si="27">O2</f>
        <v>261096.27348751796</v>
      </c>
      <c r="G34" s="29">
        <f t="shared" ref="G34:G60" si="28">P2</f>
        <v>254735.6607345207</v>
      </c>
      <c r="H34" s="29">
        <f t="shared" ref="H34:H60" si="29">Q2</f>
        <v>248529.99999999997</v>
      </c>
      <c r="I34" s="29">
        <f t="shared" ref="I34:I60" si="30">R2</f>
        <v>245591.95083832278</v>
      </c>
      <c r="J34" s="29">
        <f t="shared" ref="J34:J60" si="31">S2</f>
        <v>242688.63443678088</v>
      </c>
      <c r="K34" s="29">
        <f t="shared" ref="K34:K60" si="32">T2</f>
        <v>239819.64019481585</v>
      </c>
      <c r="L34" s="29">
        <f t="shared" ref="L34:L60" si="33">U2</f>
        <v>236984.56236586921</v>
      </c>
      <c r="M34" s="29">
        <f t="shared" ref="M34:M60" si="34">V2</f>
        <v>234182.99999999997</v>
      </c>
      <c r="N34" s="29">
        <f t="shared" ref="N34:N60" si="35">W2</f>
        <v>232612.47567671112</v>
      </c>
      <c r="O34" s="29">
        <f t="shared" ref="O34:O60" si="36">X2</f>
        <v>231052.48391406945</v>
      </c>
      <c r="P34" s="29">
        <f t="shared" ref="P34:P60" si="37">Y2</f>
        <v>229502.95407653489</v>
      </c>
      <c r="Q34" s="29">
        <f t="shared" ref="Q34:Q60" si="38">Z2</f>
        <v>227963.81600227737</v>
      </c>
      <c r="R34" s="29">
        <f t="shared" ref="R34:R60" si="39">AA2</f>
        <v>226434.99999999997</v>
      </c>
      <c r="S34" s="29">
        <f t="shared" ref="S34:S60" si="40">AB2</f>
        <v>225502.34868177361</v>
      </c>
      <c r="T34" s="29">
        <f t="shared" ref="T34:T60" si="41">AC2</f>
        <v>224573.53881244597</v>
      </c>
      <c r="U34" s="29">
        <f t="shared" ref="U34:U60" si="42">AD2</f>
        <v>223648.55456967346</v>
      </c>
      <c r="V34" s="29">
        <f t="shared" ref="V34:V60" si="43">AE2</f>
        <v>222727.38019628226</v>
      </c>
      <c r="W34" s="29">
        <f t="shared" ref="W34:W60" si="44">AF2</f>
        <v>221810</v>
      </c>
    </row>
    <row r="35" spans="1:23">
      <c r="A35">
        <f t="shared" si="23"/>
        <v>2</v>
      </c>
      <c r="B35" t="str">
        <f t="shared" si="23"/>
        <v>Hutan sekunder kerapatan tinggi</v>
      </c>
      <c r="C35" s="29">
        <f t="shared" si="24"/>
        <v>268650</v>
      </c>
      <c r="D35" s="29">
        <f t="shared" si="25"/>
        <v>267454.20195579919</v>
      </c>
      <c r="E35" s="29">
        <f t="shared" si="26"/>
        <v>266263.72657291428</v>
      </c>
      <c r="F35" s="29">
        <f t="shared" si="27"/>
        <v>265078.55015944876</v>
      </c>
      <c r="G35" s="29">
        <f t="shared" si="28"/>
        <v>263898.64912896202</v>
      </c>
      <c r="H35" s="29">
        <f t="shared" si="29"/>
        <v>262724</v>
      </c>
      <c r="I35" s="29">
        <f t="shared" si="30"/>
        <v>261007.72240844849</v>
      </c>
      <c r="J35" s="29">
        <f t="shared" si="31"/>
        <v>259302.65661624254</v>
      </c>
      <c r="K35" s="29">
        <f t="shared" si="32"/>
        <v>257608.72938089201</v>
      </c>
      <c r="L35" s="29">
        <f t="shared" si="33"/>
        <v>255925.86793837254</v>
      </c>
      <c r="M35" s="29">
        <f t="shared" si="34"/>
        <v>254253.99999999994</v>
      </c>
      <c r="N35" s="29">
        <f t="shared" si="35"/>
        <v>251996.46482319172</v>
      </c>
      <c r="O35" s="29">
        <f t="shared" si="36"/>
        <v>249758.97442473314</v>
      </c>
      <c r="P35" s="29">
        <f t="shared" si="37"/>
        <v>247541.35082594061</v>
      </c>
      <c r="Q35" s="29">
        <f t="shared" si="38"/>
        <v>245343.41762841295</v>
      </c>
      <c r="R35" s="29">
        <f t="shared" si="39"/>
        <v>243165</v>
      </c>
      <c r="S35" s="29">
        <f t="shared" si="40"/>
        <v>240763.22081065836</v>
      </c>
      <c r="T35" s="29">
        <f t="shared" si="41"/>
        <v>238385.16437448576</v>
      </c>
      <c r="U35" s="29">
        <f t="shared" si="42"/>
        <v>236030.59637809472</v>
      </c>
      <c r="V35" s="29">
        <f t="shared" si="43"/>
        <v>233699.28482244813</v>
      </c>
      <c r="W35" s="29">
        <f t="shared" si="44"/>
        <v>231391.00000000006</v>
      </c>
    </row>
    <row r="36" spans="1:23">
      <c r="A36">
        <f t="shared" si="23"/>
        <v>3</v>
      </c>
      <c r="B36" t="str">
        <f t="shared" si="23"/>
        <v>Hutan sekunder kerapatan rendah</v>
      </c>
      <c r="C36" s="29">
        <f t="shared" si="24"/>
        <v>182483</v>
      </c>
      <c r="D36" s="29">
        <f t="shared" si="25"/>
        <v>186476.90669536853</v>
      </c>
      <c r="E36" s="29">
        <f t="shared" si="26"/>
        <v>190558.22586582409</v>
      </c>
      <c r="F36" s="29">
        <f t="shared" si="27"/>
        <v>194728.87066091769</v>
      </c>
      <c r="G36" s="29">
        <f t="shared" si="28"/>
        <v>198990.79610226944</v>
      </c>
      <c r="H36" s="29">
        <f t="shared" si="29"/>
        <v>203346</v>
      </c>
      <c r="I36" s="29">
        <f t="shared" si="30"/>
        <v>206945.3062658108</v>
      </c>
      <c r="J36" s="29">
        <f t="shared" si="31"/>
        <v>210608.3217051244</v>
      </c>
      <c r="K36" s="29">
        <f t="shared" si="32"/>
        <v>214336.1739960234</v>
      </c>
      <c r="L36" s="29">
        <f t="shared" si="33"/>
        <v>218130.01077694751</v>
      </c>
      <c r="M36" s="29">
        <f t="shared" si="34"/>
        <v>221991.00000000006</v>
      </c>
      <c r="N36" s="29">
        <f t="shared" si="35"/>
        <v>224372.932960101</v>
      </c>
      <c r="O36" s="29">
        <f t="shared" si="36"/>
        <v>226780.42373392606</v>
      </c>
      <c r="P36" s="29">
        <f t="shared" si="37"/>
        <v>229213.74655330842</v>
      </c>
      <c r="Q36" s="29">
        <f t="shared" si="38"/>
        <v>231673.17859255127</v>
      </c>
      <c r="R36" s="29">
        <f t="shared" si="39"/>
        <v>234159.00000000006</v>
      </c>
      <c r="S36" s="29">
        <f t="shared" si="40"/>
        <v>236164.35650972882</v>
      </c>
      <c r="T36" s="29">
        <f t="shared" si="41"/>
        <v>238186.88705390051</v>
      </c>
      <c r="U36" s="29">
        <f t="shared" si="42"/>
        <v>240226.73871232741</v>
      </c>
      <c r="V36" s="29">
        <f t="shared" si="43"/>
        <v>242284.05982442512</v>
      </c>
      <c r="W36" s="29">
        <f t="shared" si="44"/>
        <v>244358.99999999997</v>
      </c>
    </row>
    <row r="37" spans="1:23">
      <c r="A37">
        <f t="shared" si="23"/>
        <v>4</v>
      </c>
      <c r="B37" t="str">
        <f t="shared" si="23"/>
        <v>Hutan rawa primer</v>
      </c>
      <c r="C37" s="29">
        <f t="shared" si="24"/>
        <v>34376</v>
      </c>
      <c r="D37" s="29">
        <f t="shared" si="25"/>
        <v>34072.487570670695</v>
      </c>
      <c r="E37" s="29">
        <f t="shared" si="26"/>
        <v>33771.654911959187</v>
      </c>
      <c r="F37" s="29">
        <f t="shared" si="27"/>
        <v>33473.47836364642</v>
      </c>
      <c r="G37" s="29">
        <f t="shared" si="28"/>
        <v>33177.934474414047</v>
      </c>
      <c r="H37" s="29">
        <f t="shared" si="29"/>
        <v>32884.999999999985</v>
      </c>
      <c r="I37" s="29">
        <f t="shared" si="30"/>
        <v>32683.546874929587</v>
      </c>
      <c r="J37" s="29">
        <f t="shared" si="31"/>
        <v>32483.327849345282</v>
      </c>
      <c r="K37" s="29">
        <f t="shared" si="32"/>
        <v>32284.335363168077</v>
      </c>
      <c r="L37" s="29">
        <f t="shared" si="33"/>
        <v>32086.561902631922</v>
      </c>
      <c r="M37" s="29">
        <f t="shared" si="34"/>
        <v>31890.000000000007</v>
      </c>
      <c r="N37" s="29">
        <f t="shared" si="35"/>
        <v>31739.180163060457</v>
      </c>
      <c r="O37" s="29">
        <f t="shared" si="36"/>
        <v>31589.073610009735</v>
      </c>
      <c r="P37" s="29">
        <f t="shared" si="37"/>
        <v>31439.676967459316</v>
      </c>
      <c r="Q37" s="29">
        <f t="shared" si="38"/>
        <v>31290.986877974712</v>
      </c>
      <c r="R37" s="29">
        <f t="shared" si="39"/>
        <v>31143.000000000004</v>
      </c>
      <c r="S37" s="29">
        <f t="shared" si="40"/>
        <v>31010.476936194562</v>
      </c>
      <c r="T37" s="29">
        <f t="shared" si="41"/>
        <v>30878.517798871493</v>
      </c>
      <c r="U37" s="29">
        <f t="shared" si="42"/>
        <v>30747.120188349796</v>
      </c>
      <c r="V37" s="29">
        <f t="shared" si="43"/>
        <v>30616.281715159861</v>
      </c>
      <c r="W37" s="29">
        <f t="shared" si="44"/>
        <v>30486.000000000004</v>
      </c>
    </row>
    <row r="38" spans="1:23">
      <c r="A38">
        <f t="shared" si="23"/>
        <v>5</v>
      </c>
      <c r="B38" t="str">
        <f t="shared" si="23"/>
        <v>Hutan rawa sekunder</v>
      </c>
      <c r="C38" s="29">
        <f t="shared" si="24"/>
        <v>436939</v>
      </c>
      <c r="D38" s="29">
        <f t="shared" si="25"/>
        <v>436501.72565556091</v>
      </c>
      <c r="E38" s="29">
        <f t="shared" si="26"/>
        <v>436064.88892106811</v>
      </c>
      <c r="F38" s="29">
        <f t="shared" si="27"/>
        <v>435628.48935857572</v>
      </c>
      <c r="G38" s="29">
        <f t="shared" si="28"/>
        <v>435192.52653057629</v>
      </c>
      <c r="H38" s="29">
        <f t="shared" si="29"/>
        <v>434757.00000000006</v>
      </c>
      <c r="I38" s="29">
        <f t="shared" si="30"/>
        <v>434322.53251100302</v>
      </c>
      <c r="J38" s="29">
        <f t="shared" si="31"/>
        <v>433888.4992001768</v>
      </c>
      <c r="K38" s="29">
        <f t="shared" si="32"/>
        <v>433454.89963363233</v>
      </c>
      <c r="L38" s="29">
        <f t="shared" si="33"/>
        <v>433021.73337791418</v>
      </c>
      <c r="M38" s="29">
        <f t="shared" si="34"/>
        <v>432589</v>
      </c>
      <c r="N38" s="29">
        <f t="shared" si="35"/>
        <v>432158.54418572242</v>
      </c>
      <c r="O38" s="29">
        <f t="shared" si="36"/>
        <v>431728.51670459256</v>
      </c>
      <c r="P38" s="29">
        <f t="shared" si="37"/>
        <v>431298.91713038948</v>
      </c>
      <c r="Q38" s="29">
        <f t="shared" si="38"/>
        <v>430869.74503731634</v>
      </c>
      <c r="R38" s="29">
        <f t="shared" si="39"/>
        <v>430441.00000000006</v>
      </c>
      <c r="S38" s="29">
        <f t="shared" si="40"/>
        <v>430012.54790381651</v>
      </c>
      <c r="T38" s="29">
        <f t="shared" si="41"/>
        <v>429584.52228001534</v>
      </c>
      <c r="U38" s="29">
        <f t="shared" si="42"/>
        <v>429156.92270409473</v>
      </c>
      <c r="V38" s="29">
        <f t="shared" si="43"/>
        <v>428729.74875197536</v>
      </c>
      <c r="W38" s="29">
        <f t="shared" si="44"/>
        <v>428303.00000000006</v>
      </c>
    </row>
    <row r="39" spans="1:23">
      <c r="A39">
        <f t="shared" si="23"/>
        <v>6</v>
      </c>
      <c r="B39" t="str">
        <f t="shared" si="23"/>
        <v>Hutan mangrove primer</v>
      </c>
      <c r="C39" s="29">
        <f t="shared" si="24"/>
        <v>99848</v>
      </c>
      <c r="D39" s="29">
        <f t="shared" si="25"/>
        <v>99887.568626376582</v>
      </c>
      <c r="E39" s="29">
        <f t="shared" si="26"/>
        <v>99927.1529333496</v>
      </c>
      <c r="F39" s="29">
        <f t="shared" si="27"/>
        <v>99966.7529271331</v>
      </c>
      <c r="G39" s="29">
        <f t="shared" si="28"/>
        <v>100006.36861394359</v>
      </c>
      <c r="H39" s="29">
        <f t="shared" si="29"/>
        <v>100046.00000000003</v>
      </c>
      <c r="I39" s="29">
        <f t="shared" si="30"/>
        <v>99708.936446931722</v>
      </c>
      <c r="J39" s="29">
        <f t="shared" si="31"/>
        <v>99373.008489877349</v>
      </c>
      <c r="K39" s="29">
        <f t="shared" si="32"/>
        <v>99038.212302916538</v>
      </c>
      <c r="L39" s="29">
        <f t="shared" si="33"/>
        <v>98704.544073018784</v>
      </c>
      <c r="M39" s="29">
        <f t="shared" si="34"/>
        <v>98372.000000000015</v>
      </c>
      <c r="N39" s="29">
        <f t="shared" si="35"/>
        <v>98085.334115293241</v>
      </c>
      <c r="O39" s="29">
        <f t="shared" si="36"/>
        <v>97799.503603756224</v>
      </c>
      <c r="P39" s="29">
        <f t="shared" si="37"/>
        <v>97514.506031027675</v>
      </c>
      <c r="Q39" s="29">
        <f t="shared" si="38"/>
        <v>97230.338969840275</v>
      </c>
      <c r="R39" s="29">
        <f t="shared" si="39"/>
        <v>96947</v>
      </c>
      <c r="S39" s="29">
        <f t="shared" si="40"/>
        <v>96687.009257562924</v>
      </c>
      <c r="T39" s="29">
        <f t="shared" si="41"/>
        <v>96427.715753680444</v>
      </c>
      <c r="U39" s="29">
        <f t="shared" si="42"/>
        <v>96169.117618510601</v>
      </c>
      <c r="V39" s="29">
        <f t="shared" si="43"/>
        <v>95911.212987225925</v>
      </c>
      <c r="W39" s="29">
        <f t="shared" si="44"/>
        <v>95654.000000000029</v>
      </c>
    </row>
    <row r="40" spans="1:23">
      <c r="A40">
        <f t="shared" si="23"/>
        <v>7</v>
      </c>
      <c r="B40" t="str">
        <f t="shared" si="23"/>
        <v>Hutan mangrove sekunder</v>
      </c>
      <c r="C40" s="29">
        <f t="shared" si="24"/>
        <v>109515</v>
      </c>
      <c r="D40" s="29">
        <f t="shared" si="25"/>
        <v>106205.76036170039</v>
      </c>
      <c r="E40" s="29">
        <f t="shared" si="26"/>
        <v>102996.5167694556</v>
      </c>
      <c r="F40" s="29">
        <f t="shared" si="27"/>
        <v>99884.247620021517</v>
      </c>
      <c r="G40" s="29">
        <f t="shared" si="28"/>
        <v>96866.022614625821</v>
      </c>
      <c r="H40" s="29">
        <f t="shared" si="29"/>
        <v>93939</v>
      </c>
      <c r="I40" s="29">
        <f t="shared" si="30"/>
        <v>92184.688726474022</v>
      </c>
      <c r="J40" s="29">
        <f t="shared" si="31"/>
        <v>90463.139224357379</v>
      </c>
      <c r="K40" s="29">
        <f t="shared" si="32"/>
        <v>88773.739667412563</v>
      </c>
      <c r="L40" s="29">
        <f t="shared" si="33"/>
        <v>87115.889655259976</v>
      </c>
      <c r="M40" s="29">
        <f t="shared" si="34"/>
        <v>85489</v>
      </c>
      <c r="N40" s="29">
        <f t="shared" si="35"/>
        <v>84123.040809591781</v>
      </c>
      <c r="O40" s="29">
        <f t="shared" si="36"/>
        <v>82778.907169954546</v>
      </c>
      <c r="P40" s="29">
        <f t="shared" si="37"/>
        <v>81456.250348366404</v>
      </c>
      <c r="Q40" s="29">
        <f t="shared" si="38"/>
        <v>80154.727184221963</v>
      </c>
      <c r="R40" s="29">
        <f t="shared" si="39"/>
        <v>78874</v>
      </c>
      <c r="S40" s="29">
        <f t="shared" si="40"/>
        <v>77743.45156743344</v>
      </c>
      <c r="T40" s="29">
        <f t="shared" si="41"/>
        <v>76629.107964828319</v>
      </c>
      <c r="U40" s="29">
        <f t="shared" si="42"/>
        <v>75530.736918620314</v>
      </c>
      <c r="V40" s="29">
        <f t="shared" si="43"/>
        <v>74448.109484561646</v>
      </c>
      <c r="W40" s="29">
        <f t="shared" si="44"/>
        <v>73381.000000000015</v>
      </c>
    </row>
    <row r="41" spans="1:23">
      <c r="A41">
        <f t="shared" si="23"/>
        <v>8</v>
      </c>
      <c r="B41" t="str">
        <f t="shared" si="23"/>
        <v>Tanaman kayu industri</v>
      </c>
      <c r="C41" s="29">
        <f t="shared" si="24"/>
        <v>417121</v>
      </c>
      <c r="D41" s="29">
        <f t="shared" si="25"/>
        <v>422920.66449729213</v>
      </c>
      <c r="E41" s="29">
        <f t="shared" si="26"/>
        <v>428800.96772598627</v>
      </c>
      <c r="F41" s="29">
        <f t="shared" si="27"/>
        <v>434763.0308897323</v>
      </c>
      <c r="G41" s="29">
        <f t="shared" si="28"/>
        <v>440807.99078143347</v>
      </c>
      <c r="H41" s="29">
        <f t="shared" si="29"/>
        <v>446937.00000000012</v>
      </c>
      <c r="I41" s="29">
        <f t="shared" si="30"/>
        <v>447494.00988495181</v>
      </c>
      <c r="J41" s="29">
        <f t="shared" si="31"/>
        <v>448051.7139617292</v>
      </c>
      <c r="K41" s="29">
        <f t="shared" si="32"/>
        <v>448610.11309549143</v>
      </c>
      <c r="L41" s="29">
        <f t="shared" si="33"/>
        <v>449169.20815247606</v>
      </c>
      <c r="M41" s="29">
        <f t="shared" si="34"/>
        <v>449729.00000000023</v>
      </c>
      <c r="N41" s="29">
        <f t="shared" si="35"/>
        <v>448782.02034041565</v>
      </c>
      <c r="O41" s="29">
        <f t="shared" si="36"/>
        <v>447837.03470495617</v>
      </c>
      <c r="P41" s="29">
        <f t="shared" si="37"/>
        <v>446894.03889487014</v>
      </c>
      <c r="Q41" s="29">
        <f t="shared" si="38"/>
        <v>445953.02872024733</v>
      </c>
      <c r="R41" s="29">
        <f t="shared" si="39"/>
        <v>445014</v>
      </c>
      <c r="S41" s="29">
        <f t="shared" si="40"/>
        <v>442916.92855693673</v>
      </c>
      <c r="T41" s="29">
        <f t="shared" si="41"/>
        <v>440829.73929429322</v>
      </c>
      <c r="U41" s="29">
        <f t="shared" si="42"/>
        <v>438752.38564356067</v>
      </c>
      <c r="V41" s="29">
        <f t="shared" si="43"/>
        <v>436684.82125567849</v>
      </c>
      <c r="W41" s="29">
        <f t="shared" si="44"/>
        <v>434627.00000000006</v>
      </c>
    </row>
    <row r="42" spans="1:23">
      <c r="A42">
        <f t="shared" si="23"/>
        <v>9</v>
      </c>
      <c r="B42" t="str">
        <f t="shared" si="23"/>
        <v>Kebun campuran</v>
      </c>
      <c r="C42" s="29">
        <f t="shared" si="24"/>
        <v>204935</v>
      </c>
      <c r="D42" s="29">
        <f t="shared" si="25"/>
        <v>200761.21776861668</v>
      </c>
      <c r="E42" s="29">
        <f t="shared" si="26"/>
        <v>196672.44033443742</v>
      </c>
      <c r="F42" s="29">
        <f t="shared" si="27"/>
        <v>192666.93645822949</v>
      </c>
      <c r="G42" s="29">
        <f t="shared" si="28"/>
        <v>188743.01015982067</v>
      </c>
      <c r="H42" s="29">
        <f t="shared" si="29"/>
        <v>184898.99999999994</v>
      </c>
      <c r="I42" s="29">
        <f t="shared" si="30"/>
        <v>184945.1769296597</v>
      </c>
      <c r="J42" s="29">
        <f t="shared" si="31"/>
        <v>184991.36539160908</v>
      </c>
      <c r="K42" s="29">
        <f t="shared" si="32"/>
        <v>185037.56538872825</v>
      </c>
      <c r="L42" s="29">
        <f t="shared" si="33"/>
        <v>185083.77692389803</v>
      </c>
      <c r="M42" s="29">
        <f t="shared" si="34"/>
        <v>185129.99999999991</v>
      </c>
      <c r="N42" s="29">
        <f t="shared" si="35"/>
        <v>185617.22864637233</v>
      </c>
      <c r="O42" s="29">
        <f t="shared" si="36"/>
        <v>186105.73959034009</v>
      </c>
      <c r="P42" s="29">
        <f t="shared" si="37"/>
        <v>186595.53620667846</v>
      </c>
      <c r="Q42" s="29">
        <f t="shared" si="38"/>
        <v>187086.62187904434</v>
      </c>
      <c r="R42" s="29">
        <f t="shared" si="39"/>
        <v>187578.99999999985</v>
      </c>
      <c r="S42" s="29">
        <f t="shared" si="40"/>
        <v>187807.04484496696</v>
      </c>
      <c r="T42" s="29">
        <f t="shared" si="41"/>
        <v>188035.36693019705</v>
      </c>
      <c r="U42" s="29">
        <f t="shared" si="42"/>
        <v>188263.96659273873</v>
      </c>
      <c r="V42" s="29">
        <f t="shared" si="43"/>
        <v>188492.8441700502</v>
      </c>
      <c r="W42" s="29">
        <f t="shared" si="44"/>
        <v>188721.99999999994</v>
      </c>
    </row>
    <row r="43" spans="1:23">
      <c r="A43">
        <f t="shared" si="23"/>
        <v>10</v>
      </c>
      <c r="B43" t="str">
        <f t="shared" si="23"/>
        <v>Agroforestri kopi</v>
      </c>
      <c r="C43" s="29">
        <f t="shared" si="24"/>
        <v>532082</v>
      </c>
      <c r="D43" s="29">
        <f t="shared" si="25"/>
        <v>538117.32272265281</v>
      </c>
      <c r="E43" s="29">
        <f t="shared" si="26"/>
        <v>544221.10316491756</v>
      </c>
      <c r="F43" s="29">
        <f t="shared" si="27"/>
        <v>550394.11783197708</v>
      </c>
      <c r="G43" s="29">
        <f t="shared" si="28"/>
        <v>556637.15203679097</v>
      </c>
      <c r="H43" s="29">
        <f t="shared" si="29"/>
        <v>562951.00000000035</v>
      </c>
      <c r="I43" s="29">
        <f t="shared" si="30"/>
        <v>567427.63442110526</v>
      </c>
      <c r="J43" s="29">
        <f t="shared" si="31"/>
        <v>571939.86742137675</v>
      </c>
      <c r="K43" s="29">
        <f t="shared" si="32"/>
        <v>576487.98208375566</v>
      </c>
      <c r="L43" s="29">
        <f t="shared" si="33"/>
        <v>581072.26374228299</v>
      </c>
      <c r="M43" s="29">
        <f t="shared" si="34"/>
        <v>585693.00000000035</v>
      </c>
      <c r="N43" s="29">
        <f t="shared" si="35"/>
        <v>589230.02084099536</v>
      </c>
      <c r="O43" s="29">
        <f t="shared" si="36"/>
        <v>592788.40187654598</v>
      </c>
      <c r="P43" s="29">
        <f t="shared" si="37"/>
        <v>596368.2721016258</v>
      </c>
      <c r="Q43" s="29">
        <f t="shared" si="38"/>
        <v>599969.76129021414</v>
      </c>
      <c r="R43" s="29">
        <f t="shared" si="39"/>
        <v>603592.99999999988</v>
      </c>
      <c r="S43" s="29">
        <f t="shared" si="40"/>
        <v>606310.42151863489</v>
      </c>
      <c r="T43" s="29">
        <f t="shared" si="41"/>
        <v>609040.07707528863</v>
      </c>
      <c r="U43" s="29">
        <f t="shared" si="42"/>
        <v>611782.0217485294</v>
      </c>
      <c r="V43" s="29">
        <f t="shared" si="43"/>
        <v>614536.31086489325</v>
      </c>
      <c r="W43" s="29">
        <f t="shared" si="44"/>
        <v>617303.00000000047</v>
      </c>
    </row>
    <row r="44" spans="1:23">
      <c r="A44">
        <f t="shared" si="23"/>
        <v>11</v>
      </c>
      <c r="B44" t="str">
        <f t="shared" si="23"/>
        <v>Karet agroforestri</v>
      </c>
      <c r="C44" s="29">
        <f t="shared" si="24"/>
        <v>341390</v>
      </c>
      <c r="D44" s="29">
        <f t="shared" si="25"/>
        <v>332571.86961048708</v>
      </c>
      <c r="E44" s="29">
        <f t="shared" si="26"/>
        <v>323981.51221832749</v>
      </c>
      <c r="F44" s="29">
        <f t="shared" si="27"/>
        <v>315613.04442919255</v>
      </c>
      <c r="G44" s="29">
        <f t="shared" si="28"/>
        <v>307460.73481728899</v>
      </c>
      <c r="H44" s="29">
        <f t="shared" si="29"/>
        <v>299518.99999999994</v>
      </c>
      <c r="I44" s="29">
        <f t="shared" si="30"/>
        <v>294849.66741271038</v>
      </c>
      <c r="J44" s="29">
        <f t="shared" si="31"/>
        <v>290253.12709172349</v>
      </c>
      <c r="K44" s="29">
        <f t="shared" si="32"/>
        <v>285728.24424658815</v>
      </c>
      <c r="L44" s="29">
        <f t="shared" si="33"/>
        <v>281273.90177759744</v>
      </c>
      <c r="M44" s="29">
        <f t="shared" si="34"/>
        <v>276888.99999999994</v>
      </c>
      <c r="N44" s="29">
        <f t="shared" si="35"/>
        <v>275599.24033773778</v>
      </c>
      <c r="O44" s="29">
        <f t="shared" si="36"/>
        <v>274315.48842582462</v>
      </c>
      <c r="P44" s="29">
        <f t="shared" si="37"/>
        <v>273037.71627992723</v>
      </c>
      <c r="Q44" s="29">
        <f t="shared" si="38"/>
        <v>271765.89604606444</v>
      </c>
      <c r="R44" s="29">
        <f t="shared" si="39"/>
        <v>270499.99999999994</v>
      </c>
      <c r="S44" s="29">
        <f t="shared" si="40"/>
        <v>269682.06845002429</v>
      </c>
      <c r="T44" s="29">
        <f t="shared" si="41"/>
        <v>268866.6101422683</v>
      </c>
      <c r="U44" s="29">
        <f t="shared" si="42"/>
        <v>268053.61759820033</v>
      </c>
      <c r="V44" s="29">
        <f t="shared" si="43"/>
        <v>267243.08336190198</v>
      </c>
      <c r="W44" s="29">
        <f t="shared" si="44"/>
        <v>266435</v>
      </c>
    </row>
    <row r="45" spans="1:23">
      <c r="A45">
        <f t="shared" si="23"/>
        <v>12</v>
      </c>
      <c r="B45" t="str">
        <f t="shared" si="23"/>
        <v>Karet monokultur</v>
      </c>
      <c r="C45" s="29">
        <f t="shared" si="24"/>
        <v>1483502</v>
      </c>
      <c r="D45" s="29">
        <f t="shared" si="25"/>
        <v>1483589.389703539</v>
      </c>
      <c r="E45" s="29">
        <f t="shared" si="26"/>
        <v>1483676.7845550051</v>
      </c>
      <c r="F45" s="29">
        <f t="shared" si="27"/>
        <v>1483764.1845547017</v>
      </c>
      <c r="G45" s="29">
        <f t="shared" si="28"/>
        <v>1483851.5897029319</v>
      </c>
      <c r="H45" s="29">
        <f t="shared" si="29"/>
        <v>1483938.9999999993</v>
      </c>
      <c r="I45" s="29">
        <f t="shared" si="30"/>
        <v>1475961.6915491384</v>
      </c>
      <c r="J45" s="29">
        <f t="shared" si="31"/>
        <v>1468027.2672398218</v>
      </c>
      <c r="K45" s="29">
        <f t="shared" si="32"/>
        <v>1460135.4965369508</v>
      </c>
      <c r="L45" s="29">
        <f t="shared" si="33"/>
        <v>1452286.1501447288</v>
      </c>
      <c r="M45" s="29">
        <f t="shared" si="34"/>
        <v>1444478.9999999998</v>
      </c>
      <c r="N45" s="29">
        <f t="shared" si="35"/>
        <v>1435812.2219390133</v>
      </c>
      <c r="O45" s="29">
        <f t="shared" si="36"/>
        <v>1427197.443970765</v>
      </c>
      <c r="P45" s="29">
        <f t="shared" si="37"/>
        <v>1418634.3540981521</v>
      </c>
      <c r="Q45" s="29">
        <f t="shared" si="38"/>
        <v>1410122.6421960341</v>
      </c>
      <c r="R45" s="29">
        <f t="shared" si="39"/>
        <v>1401662</v>
      </c>
      <c r="S45" s="29">
        <f t="shared" si="40"/>
        <v>1393944.4816863544</v>
      </c>
      <c r="T45" s="29">
        <f t="shared" si="41"/>
        <v>1386269.4558487274</v>
      </c>
      <c r="U45" s="29">
        <f t="shared" si="42"/>
        <v>1378636.6885245363</v>
      </c>
      <c r="V45" s="29">
        <f t="shared" si="43"/>
        <v>1371045.9470393909</v>
      </c>
      <c r="W45" s="29">
        <f t="shared" si="44"/>
        <v>1363497.0000000005</v>
      </c>
    </row>
    <row r="46" spans="1:23">
      <c r="A46">
        <f t="shared" si="23"/>
        <v>13</v>
      </c>
      <c r="B46" t="str">
        <f t="shared" si="23"/>
        <v>Kelapa sawit skala besar</v>
      </c>
      <c r="C46" s="29">
        <f t="shared" si="24"/>
        <v>1014499</v>
      </c>
      <c r="D46" s="29">
        <f t="shared" si="25"/>
        <v>1019903.1182711354</v>
      </c>
      <c r="E46" s="29">
        <f t="shared" si="26"/>
        <v>1025336.0236522516</v>
      </c>
      <c r="F46" s="29">
        <f t="shared" si="27"/>
        <v>1030797.8694889379</v>
      </c>
      <c r="G46" s="29">
        <f t="shared" si="28"/>
        <v>1036288.8099436378</v>
      </c>
      <c r="H46" s="29">
        <f t="shared" si="29"/>
        <v>1041809.0000000001</v>
      </c>
      <c r="I46" s="29">
        <f t="shared" si="30"/>
        <v>1046655.4979051016</v>
      </c>
      <c r="J46" s="29">
        <f t="shared" si="31"/>
        <v>1051524.5417297953</v>
      </c>
      <c r="K46" s="29">
        <f t="shared" si="32"/>
        <v>1056416.2363577515</v>
      </c>
      <c r="L46" s="29">
        <f t="shared" si="33"/>
        <v>1061330.6871605602</v>
      </c>
      <c r="M46" s="29">
        <f t="shared" si="34"/>
        <v>1066267.9999999998</v>
      </c>
      <c r="N46" s="29">
        <f t="shared" si="35"/>
        <v>1069853.4063862897</v>
      </c>
      <c r="O46" s="29">
        <f t="shared" si="36"/>
        <v>1073450.8689713541</v>
      </c>
      <c r="P46" s="29">
        <f t="shared" si="37"/>
        <v>1077060.4282950684</v>
      </c>
      <c r="Q46" s="29">
        <f t="shared" si="38"/>
        <v>1080682.1250336268</v>
      </c>
      <c r="R46" s="29">
        <f t="shared" si="39"/>
        <v>1084316</v>
      </c>
      <c r="S46" s="29">
        <f t="shared" si="40"/>
        <v>1087261.1575461703</v>
      </c>
      <c r="T46" s="29">
        <f t="shared" si="41"/>
        <v>1090214.3145620264</v>
      </c>
      <c r="U46" s="29">
        <f t="shared" si="42"/>
        <v>1093175.4927752735</v>
      </c>
      <c r="V46" s="29">
        <f t="shared" si="43"/>
        <v>1096144.7139726325</v>
      </c>
      <c r="W46" s="29">
        <f t="shared" si="44"/>
        <v>1099122.0000000002</v>
      </c>
    </row>
    <row r="47" spans="1:23">
      <c r="A47">
        <f t="shared" si="23"/>
        <v>14</v>
      </c>
      <c r="B47" t="str">
        <f t="shared" si="23"/>
        <v>Kelapa sawit skala kecil</v>
      </c>
      <c r="C47" s="29">
        <f t="shared" si="24"/>
        <v>662075</v>
      </c>
      <c r="D47" s="29">
        <f t="shared" si="25"/>
        <v>657940.27804117755</v>
      </c>
      <c r="E47" s="29">
        <f t="shared" si="26"/>
        <v>653831.37781807501</v>
      </c>
      <c r="F47" s="29">
        <f t="shared" si="27"/>
        <v>649748.13807147299</v>
      </c>
      <c r="G47" s="29">
        <f t="shared" si="28"/>
        <v>645690.39854923135</v>
      </c>
      <c r="H47" s="29">
        <f t="shared" si="29"/>
        <v>641658</v>
      </c>
      <c r="I47" s="29">
        <f t="shared" si="30"/>
        <v>638970.37960950111</v>
      </c>
      <c r="J47" s="29">
        <f t="shared" si="31"/>
        <v>636294.01646719896</v>
      </c>
      <c r="K47" s="29">
        <f t="shared" si="32"/>
        <v>633628.8634214804</v>
      </c>
      <c r="L47" s="29">
        <f t="shared" si="33"/>
        <v>630974.87351822946</v>
      </c>
      <c r="M47" s="29">
        <f t="shared" si="34"/>
        <v>628332</v>
      </c>
      <c r="N47" s="29">
        <f t="shared" si="35"/>
        <v>626222.68549778056</v>
      </c>
      <c r="O47" s="29">
        <f t="shared" si="36"/>
        <v>624120.45197769988</v>
      </c>
      <c r="P47" s="29">
        <f t="shared" si="37"/>
        <v>622025.27566885622</v>
      </c>
      <c r="Q47" s="29">
        <f t="shared" si="38"/>
        <v>619937.13288014673</v>
      </c>
      <c r="R47" s="29">
        <f t="shared" si="39"/>
        <v>617855.99999999988</v>
      </c>
      <c r="S47" s="29">
        <f t="shared" si="40"/>
        <v>615865.61747123394</v>
      </c>
      <c r="T47" s="29">
        <f t="shared" si="41"/>
        <v>613881.64682907378</v>
      </c>
      <c r="U47" s="29">
        <f t="shared" si="42"/>
        <v>611904.06741804804</v>
      </c>
      <c r="V47" s="29">
        <f t="shared" si="43"/>
        <v>609932.85864922521</v>
      </c>
      <c r="W47" s="29">
        <f t="shared" si="44"/>
        <v>607967.99999999988</v>
      </c>
    </row>
    <row r="48" spans="1:23">
      <c r="A48">
        <f t="shared" si="23"/>
        <v>15</v>
      </c>
      <c r="B48" t="str">
        <f t="shared" si="23"/>
        <v>Kelapa</v>
      </c>
      <c r="C48" s="29">
        <f t="shared" si="24"/>
        <v>91437</v>
      </c>
      <c r="D48" s="29">
        <f t="shared" si="25"/>
        <v>90300.707235282651</v>
      </c>
      <c r="E48" s="29">
        <f t="shared" si="26"/>
        <v>89178.535244947096</v>
      </c>
      <c r="F48" s="29">
        <f t="shared" si="27"/>
        <v>88070.30854933236</v>
      </c>
      <c r="G48" s="29">
        <f t="shared" si="28"/>
        <v>86975.853849473104</v>
      </c>
      <c r="H48" s="29">
        <f t="shared" si="29"/>
        <v>85895.000000000015</v>
      </c>
      <c r="I48" s="29">
        <f t="shared" si="30"/>
        <v>85417.92995535463</v>
      </c>
      <c r="J48" s="29">
        <f t="shared" si="31"/>
        <v>84943.509608916356</v>
      </c>
      <c r="K48" s="29">
        <f t="shared" si="32"/>
        <v>84471.724243977078</v>
      </c>
      <c r="L48" s="29">
        <f t="shared" si="33"/>
        <v>84002.559225566874</v>
      </c>
      <c r="M48" s="29">
        <f t="shared" si="34"/>
        <v>83536.000000000015</v>
      </c>
      <c r="N48" s="29">
        <f t="shared" si="35"/>
        <v>83383.443810401528</v>
      </c>
      <c r="O48" s="29">
        <f t="shared" si="36"/>
        <v>83231.166223932072</v>
      </c>
      <c r="P48" s="29">
        <f t="shared" si="37"/>
        <v>83079.166731797435</v>
      </c>
      <c r="Q48" s="29">
        <f t="shared" si="38"/>
        <v>82927.444826132589</v>
      </c>
      <c r="R48" s="29">
        <f t="shared" si="39"/>
        <v>82776</v>
      </c>
      <c r="S48" s="29">
        <f t="shared" si="40"/>
        <v>82750.784642393788</v>
      </c>
      <c r="T48" s="29">
        <f t="shared" si="41"/>
        <v>82725.576965930159</v>
      </c>
      <c r="U48" s="29">
        <f t="shared" si="42"/>
        <v>82700.37696826928</v>
      </c>
      <c r="V48" s="29">
        <f t="shared" si="43"/>
        <v>82675.184647072019</v>
      </c>
      <c r="W48" s="29">
        <f t="shared" si="44"/>
        <v>82649.999999999971</v>
      </c>
    </row>
    <row r="49" spans="1:23">
      <c r="A49">
        <f t="shared" si="23"/>
        <v>16</v>
      </c>
      <c r="B49" t="str">
        <f t="shared" si="23"/>
        <v>Teh</v>
      </c>
      <c r="C49" s="29">
        <f t="shared" si="24"/>
        <v>57076</v>
      </c>
      <c r="D49" s="29">
        <f t="shared" si="25"/>
        <v>57101.177776993638</v>
      </c>
      <c r="E49" s="29">
        <f t="shared" si="26"/>
        <v>57126.366660589956</v>
      </c>
      <c r="F49" s="29">
        <f t="shared" si="27"/>
        <v>57151.566655688373</v>
      </c>
      <c r="G49" s="29">
        <f t="shared" si="28"/>
        <v>57176.777767190477</v>
      </c>
      <c r="H49" s="29">
        <f t="shared" si="29"/>
        <v>57202.000000000015</v>
      </c>
      <c r="I49" s="29">
        <f t="shared" si="30"/>
        <v>57425.644371191869</v>
      </c>
      <c r="J49" s="29">
        <f t="shared" si="31"/>
        <v>57650.16313147443</v>
      </c>
      <c r="K49" s="29">
        <f t="shared" si="32"/>
        <v>57875.559699472884</v>
      </c>
      <c r="L49" s="29">
        <f t="shared" si="33"/>
        <v>58101.837507178316</v>
      </c>
      <c r="M49" s="29">
        <f t="shared" si="34"/>
        <v>58328.999999999985</v>
      </c>
      <c r="N49" s="29">
        <f t="shared" si="35"/>
        <v>58565.868373100646</v>
      </c>
      <c r="O49" s="29">
        <f t="shared" si="36"/>
        <v>58803.698645533965</v>
      </c>
      <c r="P49" s="29">
        <f t="shared" si="37"/>
        <v>59042.494723479213</v>
      </c>
      <c r="Q49" s="29">
        <f t="shared" si="38"/>
        <v>59282.260528978259</v>
      </c>
      <c r="R49" s="29">
        <f t="shared" si="39"/>
        <v>59523.000000000007</v>
      </c>
      <c r="S49" s="29">
        <f t="shared" si="40"/>
        <v>59778.595468200125</v>
      </c>
      <c r="T49" s="29">
        <f t="shared" si="41"/>
        <v>60035.28847925536</v>
      </c>
      <c r="U49" s="29">
        <f t="shared" si="42"/>
        <v>60293.083746083059</v>
      </c>
      <c r="V49" s="29">
        <f t="shared" si="43"/>
        <v>60551.986001838137</v>
      </c>
      <c r="W49" s="29">
        <f t="shared" si="44"/>
        <v>60811.999999999978</v>
      </c>
    </row>
    <row r="50" spans="1:23">
      <c r="A50">
        <f t="shared" si="23"/>
        <v>17</v>
      </c>
      <c r="B50" t="str">
        <f t="shared" si="23"/>
        <v>Sawah irigasi</v>
      </c>
      <c r="C50" s="29">
        <f t="shared" si="24"/>
        <v>393253</v>
      </c>
      <c r="D50" s="29">
        <f t="shared" si="25"/>
        <v>389781.23920138658</v>
      </c>
      <c r="E50" s="29">
        <f t="shared" si="26"/>
        <v>386340.12819576339</v>
      </c>
      <c r="F50" s="29">
        <f t="shared" si="27"/>
        <v>382929.39639714686</v>
      </c>
      <c r="G50" s="29">
        <f t="shared" si="28"/>
        <v>379548.77560837136</v>
      </c>
      <c r="H50" s="29">
        <f t="shared" si="29"/>
        <v>376197.99999999994</v>
      </c>
      <c r="I50" s="29">
        <f t="shared" si="30"/>
        <v>373711.54850513971</v>
      </c>
      <c r="J50" s="29">
        <f t="shared" si="31"/>
        <v>371241.53101853118</v>
      </c>
      <c r="K50" s="29">
        <f t="shared" si="32"/>
        <v>368787.83892087184</v>
      </c>
      <c r="L50" s="29">
        <f t="shared" si="33"/>
        <v>366350.36431077</v>
      </c>
      <c r="M50" s="29">
        <f t="shared" si="34"/>
        <v>363928.99999999983</v>
      </c>
      <c r="N50" s="29">
        <f t="shared" si="35"/>
        <v>361963.07477761159</v>
      </c>
      <c r="O50" s="29">
        <f t="shared" si="36"/>
        <v>360007.76937936473</v>
      </c>
      <c r="P50" s="29">
        <f t="shared" si="37"/>
        <v>358063.02643753082</v>
      </c>
      <c r="Q50" s="29">
        <f t="shared" si="38"/>
        <v>356128.78889427852</v>
      </c>
      <c r="R50" s="29">
        <f t="shared" si="39"/>
        <v>354204.99999999994</v>
      </c>
      <c r="S50" s="29">
        <f t="shared" si="40"/>
        <v>352607.04695417022</v>
      </c>
      <c r="T50" s="29">
        <f t="shared" si="41"/>
        <v>351016.30288036703</v>
      </c>
      <c r="U50" s="29">
        <f t="shared" si="42"/>
        <v>349432.73525618447</v>
      </c>
      <c r="V50" s="29">
        <f t="shared" si="43"/>
        <v>347856.31170593743</v>
      </c>
      <c r="W50" s="29">
        <f t="shared" si="44"/>
        <v>346286.99999999988</v>
      </c>
    </row>
    <row r="51" spans="1:23">
      <c r="A51">
        <f t="shared" si="23"/>
        <v>18</v>
      </c>
      <c r="B51" t="str">
        <f t="shared" si="23"/>
        <v>Sawah tadah hujan</v>
      </c>
      <c r="C51" s="29">
        <f t="shared" si="24"/>
        <v>265014</v>
      </c>
      <c r="D51" s="29">
        <f t="shared" si="25"/>
        <v>274274.58696171793</v>
      </c>
      <c r="E51" s="29">
        <f t="shared" si="26"/>
        <v>283858.77369882714</v>
      </c>
      <c r="F51" s="29">
        <f t="shared" si="27"/>
        <v>293777.86800586228</v>
      </c>
      <c r="G51" s="29">
        <f t="shared" si="28"/>
        <v>304043.57281427388</v>
      </c>
      <c r="H51" s="29">
        <f t="shared" si="29"/>
        <v>314667.99999999994</v>
      </c>
      <c r="I51" s="29">
        <f t="shared" si="30"/>
        <v>319245.28291827405</v>
      </c>
      <c r="J51" s="29">
        <f t="shared" si="31"/>
        <v>323889.14877130452</v>
      </c>
      <c r="K51" s="29">
        <f t="shared" si="32"/>
        <v>328600.56610031548</v>
      </c>
      <c r="L51" s="29">
        <f t="shared" si="33"/>
        <v>333380.51753530779</v>
      </c>
      <c r="M51" s="29">
        <f t="shared" si="34"/>
        <v>338229.99999999988</v>
      </c>
      <c r="N51" s="29">
        <f t="shared" si="35"/>
        <v>341307.09953795874</v>
      </c>
      <c r="O51" s="29">
        <f t="shared" si="36"/>
        <v>344412.19346306974</v>
      </c>
      <c r="P51" s="29">
        <f t="shared" si="37"/>
        <v>347545.53645858332</v>
      </c>
      <c r="Q51" s="29">
        <f t="shared" si="38"/>
        <v>350707.38552477001</v>
      </c>
      <c r="R51" s="29">
        <f t="shared" si="39"/>
        <v>353897.99999999983</v>
      </c>
      <c r="S51" s="29">
        <f t="shared" si="40"/>
        <v>356099.24564733222</v>
      </c>
      <c r="T51" s="29">
        <f t="shared" si="41"/>
        <v>358314.18304313405</v>
      </c>
      <c r="U51" s="29">
        <f t="shared" si="42"/>
        <v>360542.89735008433</v>
      </c>
      <c r="V51" s="29">
        <f t="shared" si="43"/>
        <v>362785.47426057386</v>
      </c>
      <c r="W51" s="29">
        <f t="shared" si="44"/>
        <v>365042</v>
      </c>
    </row>
    <row r="52" spans="1:23">
      <c r="A52">
        <f t="shared" si="23"/>
        <v>19</v>
      </c>
      <c r="B52" t="str">
        <f t="shared" si="23"/>
        <v>Tebu</v>
      </c>
      <c r="C52" s="29">
        <f t="shared" si="24"/>
        <v>279198</v>
      </c>
      <c r="D52" s="29">
        <f t="shared" si="25"/>
        <v>281702.84998588677</v>
      </c>
      <c r="E52" s="29">
        <f t="shared" si="26"/>
        <v>284230.17245886795</v>
      </c>
      <c r="F52" s="29">
        <f t="shared" si="27"/>
        <v>286780.16903288418</v>
      </c>
      <c r="G52" s="29">
        <f t="shared" si="28"/>
        <v>289353.04313067364</v>
      </c>
      <c r="H52" s="29">
        <f t="shared" si="29"/>
        <v>291948.99999999988</v>
      </c>
      <c r="I52" s="29">
        <f t="shared" si="30"/>
        <v>294393.32592767826</v>
      </c>
      <c r="J52" s="29">
        <f t="shared" si="31"/>
        <v>296858.11683122808</v>
      </c>
      <c r="K52" s="29">
        <f t="shared" si="32"/>
        <v>299343.54405246302</v>
      </c>
      <c r="L52" s="29">
        <f t="shared" si="33"/>
        <v>301849.78036774596</v>
      </c>
      <c r="M52" s="29">
        <f t="shared" si="34"/>
        <v>304376.99999999983</v>
      </c>
      <c r="N52" s="29">
        <f t="shared" si="35"/>
        <v>306262.1048140155</v>
      </c>
      <c r="O52" s="29">
        <f t="shared" si="36"/>
        <v>308158.88468941813</v>
      </c>
      <c r="P52" s="29">
        <f t="shared" si="37"/>
        <v>310067.41193362407</v>
      </c>
      <c r="Q52" s="29">
        <f t="shared" si="38"/>
        <v>311987.75930187269</v>
      </c>
      <c r="R52" s="29">
        <f t="shared" si="39"/>
        <v>313919.99999999994</v>
      </c>
      <c r="S52" s="29">
        <f t="shared" si="40"/>
        <v>315412.53973250318</v>
      </c>
      <c r="T52" s="29">
        <f t="shared" si="41"/>
        <v>316912.17577888601</v>
      </c>
      <c r="U52" s="29">
        <f t="shared" si="42"/>
        <v>318418.94187873317</v>
      </c>
      <c r="V52" s="29">
        <f t="shared" si="43"/>
        <v>319932.87193204497</v>
      </c>
      <c r="W52" s="29">
        <f t="shared" si="44"/>
        <v>321454</v>
      </c>
    </row>
    <row r="53" spans="1:23">
      <c r="A53">
        <f t="shared" si="23"/>
        <v>20</v>
      </c>
      <c r="B53" t="str">
        <f t="shared" si="23"/>
        <v>Tanaman semusim lain</v>
      </c>
      <c r="C53" s="29">
        <f t="shared" si="24"/>
        <v>380150</v>
      </c>
      <c r="D53" s="29">
        <f t="shared" si="25"/>
        <v>372785.53803222271</v>
      </c>
      <c r="E53" s="29">
        <f t="shared" si="26"/>
        <v>365563.74422194861</v>
      </c>
      <c r="F53" s="29">
        <f t="shared" si="27"/>
        <v>358481.8547280099</v>
      </c>
      <c r="G53" s="29">
        <f t="shared" si="28"/>
        <v>351537.15925179608</v>
      </c>
      <c r="H53" s="29">
        <f t="shared" si="29"/>
        <v>344726.99999999988</v>
      </c>
      <c r="I53" s="29">
        <f t="shared" si="30"/>
        <v>343542.0821997759</v>
      </c>
      <c r="J53" s="29">
        <f t="shared" si="31"/>
        <v>342361.23727517016</v>
      </c>
      <c r="K53" s="29">
        <f t="shared" si="32"/>
        <v>341184.45122663293</v>
      </c>
      <c r="L53" s="29">
        <f t="shared" si="33"/>
        <v>340011.71010273451</v>
      </c>
      <c r="M53" s="29">
        <f t="shared" si="34"/>
        <v>338843</v>
      </c>
      <c r="N53" s="29">
        <f t="shared" si="35"/>
        <v>337316.50809140125</v>
      </c>
      <c r="O53" s="29">
        <f t="shared" si="36"/>
        <v>335796.89304774295</v>
      </c>
      <c r="P53" s="29">
        <f t="shared" si="37"/>
        <v>334284.12388866348</v>
      </c>
      <c r="Q53" s="29">
        <f t="shared" si="38"/>
        <v>332778.16977336805</v>
      </c>
      <c r="R53" s="29">
        <f t="shared" si="39"/>
        <v>331279.00000000006</v>
      </c>
      <c r="S53" s="29">
        <f t="shared" si="40"/>
        <v>329865.99756063061</v>
      </c>
      <c r="T53" s="29">
        <f t="shared" si="41"/>
        <v>328459.02199254994</v>
      </c>
      <c r="U53" s="29">
        <f t="shared" si="42"/>
        <v>327058.04758937808</v>
      </c>
      <c r="V53" s="29">
        <f t="shared" si="43"/>
        <v>325663.04875438043</v>
      </c>
      <c r="W53" s="29">
        <f t="shared" si="44"/>
        <v>324273.99999999994</v>
      </c>
    </row>
    <row r="54" spans="1:23">
      <c r="A54">
        <f t="shared" si="23"/>
        <v>21</v>
      </c>
      <c r="B54" t="str">
        <f t="shared" si="23"/>
        <v>Semak belukar</v>
      </c>
      <c r="C54" s="29">
        <f t="shared" si="24"/>
        <v>368538</v>
      </c>
      <c r="D54" s="29">
        <f t="shared" si="25"/>
        <v>364847.00435304135</v>
      </c>
      <c r="E54" s="29">
        <f t="shared" si="26"/>
        <v>361192.97490459104</v>
      </c>
      <c r="F54" s="29">
        <f t="shared" si="27"/>
        <v>357575.54142938659</v>
      </c>
      <c r="G54" s="29">
        <f t="shared" si="28"/>
        <v>353994.33741005952</v>
      </c>
      <c r="H54" s="29">
        <f t="shared" si="29"/>
        <v>350448.99999999994</v>
      </c>
      <c r="I54" s="29">
        <f t="shared" si="30"/>
        <v>347846.43063871667</v>
      </c>
      <c r="J54" s="29">
        <f t="shared" si="31"/>
        <v>345263.18896072044</v>
      </c>
      <c r="K54" s="29">
        <f t="shared" si="32"/>
        <v>342699.131431185</v>
      </c>
      <c r="L54" s="29">
        <f t="shared" si="33"/>
        <v>340154.11558122904</v>
      </c>
      <c r="M54" s="29">
        <f t="shared" si="34"/>
        <v>337628</v>
      </c>
      <c r="N54" s="29">
        <f t="shared" si="35"/>
        <v>337883.61266648379</v>
      </c>
      <c r="O54" s="29">
        <f t="shared" si="36"/>
        <v>338139.41885315924</v>
      </c>
      <c r="P54" s="29">
        <f t="shared" si="37"/>
        <v>338395.41870653734</v>
      </c>
      <c r="Q54" s="29">
        <f t="shared" si="38"/>
        <v>338651.61237324</v>
      </c>
      <c r="R54" s="29">
        <f t="shared" si="39"/>
        <v>338908.00000000012</v>
      </c>
      <c r="S54" s="29">
        <f t="shared" si="40"/>
        <v>340319.98542796518</v>
      </c>
      <c r="T54" s="29">
        <f t="shared" si="41"/>
        <v>341737.85358176974</v>
      </c>
      <c r="U54" s="29">
        <f t="shared" si="42"/>
        <v>343161.62897049339</v>
      </c>
      <c r="V54" s="29">
        <f t="shared" si="43"/>
        <v>344591.33620532736</v>
      </c>
      <c r="W54" s="29">
        <f t="shared" si="44"/>
        <v>346027.00000000012</v>
      </c>
    </row>
    <row r="55" spans="1:23">
      <c r="A55">
        <f t="shared" si="23"/>
        <v>22</v>
      </c>
      <c r="B55" t="str">
        <f t="shared" si="23"/>
        <v>Rerumputan</v>
      </c>
      <c r="C55" s="29">
        <f t="shared" si="24"/>
        <v>139266</v>
      </c>
      <c r="D55" s="29">
        <f t="shared" si="25"/>
        <v>141899.12936406225</v>
      </c>
      <c r="E55" s="29">
        <f t="shared" si="26"/>
        <v>144582.04381743478</v>
      </c>
      <c r="F55" s="29">
        <f t="shared" si="27"/>
        <v>147315.6846564897</v>
      </c>
      <c r="G55" s="29">
        <f t="shared" si="28"/>
        <v>150101.01097487277</v>
      </c>
      <c r="H55" s="29">
        <f t="shared" si="29"/>
        <v>152939</v>
      </c>
      <c r="I55" s="29">
        <f t="shared" si="30"/>
        <v>154891.31577143734</v>
      </c>
      <c r="J55" s="29">
        <f t="shared" si="31"/>
        <v>156868.55348476919</v>
      </c>
      <c r="K55" s="29">
        <f t="shared" si="32"/>
        <v>158871.03127663967</v>
      </c>
      <c r="L55" s="29">
        <f t="shared" si="33"/>
        <v>160899.07134480999</v>
      </c>
      <c r="M55" s="29">
        <f t="shared" si="34"/>
        <v>162952.99999999994</v>
      </c>
      <c r="N55" s="29">
        <f t="shared" si="35"/>
        <v>163649.02859105601</v>
      </c>
      <c r="O55" s="29">
        <f t="shared" si="36"/>
        <v>164348.03016082101</v>
      </c>
      <c r="P55" s="29">
        <f t="shared" si="37"/>
        <v>165050.01740791477</v>
      </c>
      <c r="Q55" s="29">
        <f t="shared" si="38"/>
        <v>165755.00308519718</v>
      </c>
      <c r="R55" s="29">
        <f t="shared" si="39"/>
        <v>166463.00000000006</v>
      </c>
      <c r="S55" s="29">
        <f t="shared" si="40"/>
        <v>167466.03912284257</v>
      </c>
      <c r="T55" s="29">
        <f t="shared" si="41"/>
        <v>168475.12215623556</v>
      </c>
      <c r="U55" s="29">
        <f t="shared" si="42"/>
        <v>169490.28551835439</v>
      </c>
      <c r="V55" s="29">
        <f t="shared" si="43"/>
        <v>170511.56584681576</v>
      </c>
      <c r="W55" s="29">
        <f t="shared" si="44"/>
        <v>171538.99999999997</v>
      </c>
    </row>
    <row r="56" spans="1:23">
      <c r="A56">
        <f t="shared" si="23"/>
        <v>23</v>
      </c>
      <c r="B56" t="str">
        <f t="shared" si="23"/>
        <v>Tambang</v>
      </c>
      <c r="C56" s="29">
        <f t="shared" si="24"/>
        <v>34910</v>
      </c>
      <c r="D56" s="29">
        <f t="shared" si="25"/>
        <v>35692.706569583257</v>
      </c>
      <c r="E56" s="29">
        <f t="shared" si="26"/>
        <v>36492.961966839641</v>
      </c>
      <c r="F56" s="29">
        <f t="shared" si="27"/>
        <v>37311.159648735869</v>
      </c>
      <c r="G56" s="29">
        <f t="shared" si="28"/>
        <v>38147.701893818521</v>
      </c>
      <c r="H56" s="29">
        <f t="shared" si="29"/>
        <v>39003</v>
      </c>
      <c r="I56" s="29">
        <f t="shared" si="30"/>
        <v>39771.141987117437</v>
      </c>
      <c r="J56" s="29">
        <f t="shared" si="31"/>
        <v>40554.412095465872</v>
      </c>
      <c r="K56" s="29">
        <f t="shared" si="32"/>
        <v>41353.108264821836</v>
      </c>
      <c r="L56" s="29">
        <f t="shared" si="33"/>
        <v>42167.534302716944</v>
      </c>
      <c r="M56" s="29">
        <f t="shared" si="34"/>
        <v>42998.000000000015</v>
      </c>
      <c r="N56" s="29">
        <f t="shared" si="35"/>
        <v>43759.356019157734</v>
      </c>
      <c r="O56" s="29">
        <f t="shared" si="36"/>
        <v>44534.19319994875</v>
      </c>
      <c r="P56" s="29">
        <f t="shared" si="37"/>
        <v>45322.75025030259</v>
      </c>
      <c r="Q56" s="29">
        <f t="shared" si="38"/>
        <v>46125.270104897005</v>
      </c>
      <c r="R56" s="29">
        <f t="shared" si="39"/>
        <v>46942.000000000022</v>
      </c>
      <c r="S56" s="29">
        <f t="shared" si="40"/>
        <v>47702.177469643822</v>
      </c>
      <c r="T56" s="29">
        <f t="shared" si="41"/>
        <v>48474.665232529391</v>
      </c>
      <c r="U56" s="29">
        <f t="shared" si="42"/>
        <v>49259.662641210227</v>
      </c>
      <c r="V56" s="29">
        <f t="shared" si="43"/>
        <v>50057.372276549657</v>
      </c>
      <c r="W56" s="29">
        <f t="shared" si="44"/>
        <v>50868.000000000007</v>
      </c>
    </row>
    <row r="57" spans="1:23">
      <c r="A57">
        <f t="shared" si="23"/>
        <v>24</v>
      </c>
      <c r="B57" t="str">
        <f t="shared" si="23"/>
        <v>Lahan terbuka</v>
      </c>
      <c r="C57" s="29">
        <f t="shared" si="24"/>
        <v>110096</v>
      </c>
      <c r="D57" s="29">
        <f t="shared" si="25"/>
        <v>110310.16516445472</v>
      </c>
      <c r="E57" s="29">
        <f t="shared" si="26"/>
        <v>110524.74693548612</v>
      </c>
      <c r="F57" s="29">
        <f t="shared" si="27"/>
        <v>110739.74612350162</v>
      </c>
      <c r="G57" s="29">
        <f t="shared" si="28"/>
        <v>110955.16354048511</v>
      </c>
      <c r="H57" s="29">
        <f t="shared" si="29"/>
        <v>111170.99999999997</v>
      </c>
      <c r="I57" s="29">
        <f t="shared" si="30"/>
        <v>111012.95125132165</v>
      </c>
      <c r="J57" s="29">
        <f t="shared" si="31"/>
        <v>110855.1271961961</v>
      </c>
      <c r="K57" s="29">
        <f t="shared" si="32"/>
        <v>110697.52751518272</v>
      </c>
      <c r="L57" s="29">
        <f t="shared" si="33"/>
        <v>110540.15188929501</v>
      </c>
      <c r="M57" s="29">
        <f t="shared" si="34"/>
        <v>110382.99999999999</v>
      </c>
      <c r="N57" s="29">
        <f t="shared" si="35"/>
        <v>110654.06542634702</v>
      </c>
      <c r="O57" s="29">
        <f t="shared" si="36"/>
        <v>110925.796502888</v>
      </c>
      <c r="P57" s="29">
        <f t="shared" si="37"/>
        <v>111198.19486424743</v>
      </c>
      <c r="Q57" s="29">
        <f t="shared" si="38"/>
        <v>111471.2621490639</v>
      </c>
      <c r="R57" s="29">
        <f t="shared" si="39"/>
        <v>111744.99999999997</v>
      </c>
      <c r="S57" s="29">
        <f t="shared" si="40"/>
        <v>112473.24593186597</v>
      </c>
      <c r="T57" s="29">
        <f t="shared" si="41"/>
        <v>113206.23786701869</v>
      </c>
      <c r="U57" s="29">
        <f t="shared" si="42"/>
        <v>113944.00673532159</v>
      </c>
      <c r="V57" s="29">
        <f t="shared" si="43"/>
        <v>114686.58366820902</v>
      </c>
      <c r="W57" s="29">
        <f t="shared" si="44"/>
        <v>115433.99999999996</v>
      </c>
    </row>
    <row r="58" spans="1:23">
      <c r="A58">
        <f t="shared" si="23"/>
        <v>25</v>
      </c>
      <c r="B58" t="str">
        <f t="shared" si="23"/>
        <v>Pemukiman</v>
      </c>
      <c r="C58" s="29">
        <f t="shared" si="24"/>
        <v>168478</v>
      </c>
      <c r="D58" s="29">
        <f t="shared" si="25"/>
        <v>171623.34493478888</v>
      </c>
      <c r="E58" s="29">
        <f t="shared" si="26"/>
        <v>174827.4108584238</v>
      </c>
      <c r="F58" s="29">
        <f t="shared" si="27"/>
        <v>178091.29404320638</v>
      </c>
      <c r="G58" s="29">
        <f t="shared" si="28"/>
        <v>181416.11122793553</v>
      </c>
      <c r="H58" s="29">
        <f t="shared" si="29"/>
        <v>184803.00000000003</v>
      </c>
      <c r="I58" s="29">
        <f t="shared" si="30"/>
        <v>187986.04556815172</v>
      </c>
      <c r="J58" s="29">
        <f t="shared" si="31"/>
        <v>191223.91589071183</v>
      </c>
      <c r="K58" s="29">
        <f t="shared" si="32"/>
        <v>194517.55526886342</v>
      </c>
      <c r="L58" s="29">
        <f t="shared" si="33"/>
        <v>197867.92426842655</v>
      </c>
      <c r="M58" s="29">
        <f t="shared" si="34"/>
        <v>201276.00000000015</v>
      </c>
      <c r="N58" s="29">
        <f t="shared" si="35"/>
        <v>204501.17256190453</v>
      </c>
      <c r="O58" s="29">
        <f t="shared" si="36"/>
        <v>207778.02410219726</v>
      </c>
      <c r="P58" s="29">
        <f t="shared" si="37"/>
        <v>211107.38270581194</v>
      </c>
      <c r="Q58" s="29">
        <f t="shared" si="38"/>
        <v>214490.08972661057</v>
      </c>
      <c r="R58" s="29">
        <f t="shared" si="39"/>
        <v>217926.99999999988</v>
      </c>
      <c r="S58" s="29">
        <f t="shared" si="40"/>
        <v>221178.51498807347</v>
      </c>
      <c r="T58" s="29">
        <f t="shared" si="41"/>
        <v>224478.54323846719</v>
      </c>
      <c r="U58" s="29">
        <f t="shared" si="42"/>
        <v>227827.80857888289</v>
      </c>
      <c r="V58" s="29">
        <f t="shared" si="43"/>
        <v>231227.04563667823</v>
      </c>
      <c r="W58" s="29">
        <f t="shared" si="44"/>
        <v>234676.99999999991</v>
      </c>
    </row>
    <row r="59" spans="1:23">
      <c r="A59">
        <f t="shared" si="23"/>
        <v>26</v>
      </c>
      <c r="B59" t="str">
        <f t="shared" si="23"/>
        <v>Tambak</v>
      </c>
      <c r="C59" s="29">
        <f t="shared" si="24"/>
        <v>108508</v>
      </c>
      <c r="D59" s="29">
        <f t="shared" si="25"/>
        <v>110157.48267566472</v>
      </c>
      <c r="E59" s="29">
        <f t="shared" si="26"/>
        <v>111832.03993658876</v>
      </c>
      <c r="F59" s="29">
        <f t="shared" si="27"/>
        <v>113532.05295369025</v>
      </c>
      <c r="G59" s="29">
        <f t="shared" si="28"/>
        <v>115257.90869225111</v>
      </c>
      <c r="H59" s="29">
        <f t="shared" si="29"/>
        <v>117009.99999999997</v>
      </c>
      <c r="I59" s="29">
        <f t="shared" si="30"/>
        <v>118789.63644696819</v>
      </c>
      <c r="J59" s="29">
        <f t="shared" si="31"/>
        <v>120596.33986157484</v>
      </c>
      <c r="K59" s="29">
        <f t="shared" si="32"/>
        <v>122430.52191258434</v>
      </c>
      <c r="L59" s="29">
        <f t="shared" si="33"/>
        <v>124292.6005299416</v>
      </c>
      <c r="M59" s="29">
        <f t="shared" si="34"/>
        <v>126183.00000000007</v>
      </c>
      <c r="N59" s="29">
        <f t="shared" si="35"/>
        <v>127838.96183736601</v>
      </c>
      <c r="O59" s="29">
        <f t="shared" si="36"/>
        <v>129516.65567988969</v>
      </c>
      <c r="P59" s="29">
        <f t="shared" si="37"/>
        <v>131216.36672740933</v>
      </c>
      <c r="Q59" s="29">
        <f t="shared" si="38"/>
        <v>132938.3839225815</v>
      </c>
      <c r="R59" s="29">
        <f t="shared" si="39"/>
        <v>134683.00000000006</v>
      </c>
      <c r="S59" s="29">
        <f t="shared" si="40"/>
        <v>136083.18277985489</v>
      </c>
      <c r="T59" s="29">
        <f t="shared" si="41"/>
        <v>137497.92205026167</v>
      </c>
      <c r="U59" s="29">
        <f t="shared" si="42"/>
        <v>138927.36914247528</v>
      </c>
      <c r="V59" s="29">
        <f t="shared" si="43"/>
        <v>140371.67696101093</v>
      </c>
      <c r="W59" s="29">
        <f t="shared" si="44"/>
        <v>141830.99999999997</v>
      </c>
    </row>
    <row r="60" spans="1:23">
      <c r="A60">
        <f t="shared" si="23"/>
        <v>27</v>
      </c>
      <c r="B60" t="str">
        <f t="shared" si="23"/>
        <v>Tubuh air</v>
      </c>
      <c r="C60" s="29">
        <f t="shared" si="24"/>
        <v>165172</v>
      </c>
      <c r="D60" s="29">
        <f t="shared" si="25"/>
        <v>165137.78582850515</v>
      </c>
      <c r="E60" s="29">
        <f t="shared" si="26"/>
        <v>165103.57874422564</v>
      </c>
      <c r="F60" s="29">
        <f t="shared" si="27"/>
        <v>165069.37874569339</v>
      </c>
      <c r="G60" s="29">
        <f t="shared" si="28"/>
        <v>165035.18583144067</v>
      </c>
      <c r="H60" s="29">
        <f t="shared" si="29"/>
        <v>165001</v>
      </c>
      <c r="I60" s="29">
        <f t="shared" si="30"/>
        <v>165001</v>
      </c>
      <c r="J60" s="29">
        <f t="shared" si="31"/>
        <v>165001</v>
      </c>
      <c r="K60" s="29">
        <f t="shared" si="32"/>
        <v>165001</v>
      </c>
      <c r="L60" s="29">
        <f t="shared" si="33"/>
        <v>165001</v>
      </c>
      <c r="M60" s="29">
        <f t="shared" si="34"/>
        <v>165001</v>
      </c>
      <c r="N60" s="29">
        <f t="shared" si="35"/>
        <v>165001</v>
      </c>
      <c r="O60" s="29">
        <f t="shared" si="36"/>
        <v>165001</v>
      </c>
      <c r="P60" s="29">
        <f t="shared" si="37"/>
        <v>165001</v>
      </c>
      <c r="Q60" s="29">
        <f t="shared" si="38"/>
        <v>165001</v>
      </c>
      <c r="R60" s="29">
        <f t="shared" si="39"/>
        <v>165001</v>
      </c>
      <c r="S60" s="29">
        <f t="shared" si="40"/>
        <v>165001</v>
      </c>
      <c r="T60" s="29">
        <f t="shared" si="41"/>
        <v>165001</v>
      </c>
      <c r="U60" s="29">
        <f t="shared" si="42"/>
        <v>165001</v>
      </c>
      <c r="V60" s="29">
        <f t="shared" si="43"/>
        <v>165001</v>
      </c>
      <c r="W60" s="29">
        <f t="shared" si="44"/>
        <v>165001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28BC8-2450-46AC-B482-E278D0F304F8}">
  <sheetPr>
    <tabColor rgb="FFFFFF00"/>
  </sheetPr>
  <dimension ref="A1:AF60"/>
  <sheetViews>
    <sheetView zoomScale="64" workbookViewId="0">
      <selection activeCell="C33" sqref="C33:W33"/>
    </sheetView>
  </sheetViews>
  <sheetFormatPr defaultRowHeight="14.5"/>
  <cols>
    <col min="1" max="1" width="8.81640625" bestFit="1" customWidth="1"/>
    <col min="3" max="23" width="10.1796875" bestFit="1" customWidth="1"/>
    <col min="24" max="27" width="9.453125" bestFit="1" customWidth="1"/>
    <col min="28" max="32" width="13" bestFit="1" customWidth="1"/>
  </cols>
  <sheetData>
    <row r="1" spans="1:32">
      <c r="A1" t="s">
        <v>362</v>
      </c>
      <c r="B1" t="s">
        <v>363</v>
      </c>
      <c r="C1">
        <v>2025</v>
      </c>
      <c r="D1">
        <v>2030</v>
      </c>
      <c r="E1">
        <v>2035</v>
      </c>
      <c r="F1">
        <v>2040</v>
      </c>
      <c r="G1">
        <v>2045</v>
      </c>
      <c r="H1" s="5" t="s">
        <v>364</v>
      </c>
      <c r="I1" s="6" t="s">
        <v>365</v>
      </c>
      <c r="J1" s="7" t="s">
        <v>366</v>
      </c>
      <c r="K1" s="8" t="s">
        <v>367</v>
      </c>
      <c r="L1" s="13">
        <v>2025</v>
      </c>
      <c r="M1" s="5">
        <v>2026</v>
      </c>
      <c r="N1" s="5">
        <v>2027</v>
      </c>
      <c r="O1" s="5">
        <v>2028</v>
      </c>
      <c r="P1" s="5">
        <v>2029</v>
      </c>
      <c r="Q1" s="5">
        <v>2030</v>
      </c>
      <c r="R1" s="14">
        <v>2031</v>
      </c>
      <c r="S1" s="14">
        <v>2032</v>
      </c>
      <c r="T1" s="14">
        <v>2033</v>
      </c>
      <c r="U1" s="14">
        <v>2034</v>
      </c>
      <c r="V1" s="14">
        <v>2035</v>
      </c>
      <c r="W1" s="15">
        <v>2036</v>
      </c>
      <c r="X1" s="15">
        <v>2037</v>
      </c>
      <c r="Y1" s="15">
        <v>2038</v>
      </c>
      <c r="Z1" s="15">
        <v>2039</v>
      </c>
      <c r="AA1" s="15">
        <v>2040</v>
      </c>
      <c r="AB1" s="16">
        <v>2041</v>
      </c>
      <c r="AC1" s="16">
        <v>2042</v>
      </c>
      <c r="AD1" s="16">
        <v>2043</v>
      </c>
      <c r="AE1" s="16">
        <v>2044</v>
      </c>
      <c r="AF1" s="16">
        <v>2045</v>
      </c>
    </row>
    <row r="2" spans="1:32">
      <c r="A2">
        <v>1</v>
      </c>
      <c r="B2" t="s">
        <v>335</v>
      </c>
      <c r="C2">
        <v>281147</v>
      </c>
      <c r="D2">
        <v>256158</v>
      </c>
      <c r="E2">
        <v>242683</v>
      </c>
      <c r="F2">
        <v>234993</v>
      </c>
      <c r="G2">
        <v>230802</v>
      </c>
      <c r="H2" s="9">
        <f>((D2/C2)^(1/5))-1</f>
        <v>-1.8444425169355516E-2</v>
      </c>
      <c r="I2" s="10">
        <f t="shared" ref="H2:K28" si="0">((E2/D2)^(1/5))-1</f>
        <v>-1.0749482238057495E-2</v>
      </c>
      <c r="J2" s="11">
        <f t="shared" si="0"/>
        <v>-6.4193749067156247E-3</v>
      </c>
      <c r="K2" s="12">
        <f>((G2/F2)^(1/5))-1</f>
        <v>-3.5926362555993574E-3</v>
      </c>
      <c r="L2" s="17">
        <f>C2</f>
        <v>281147</v>
      </c>
      <c r="M2" s="18">
        <f>C2*(1+H2)</f>
        <v>275961.40519691119</v>
      </c>
      <c r="N2" s="18">
        <f>M2*(1+$H2)</f>
        <v>270871.45570912655</v>
      </c>
      <c r="O2" s="18">
        <f t="shared" ref="N2:Q26" si="1">N2*(1+$H2)</f>
        <v>265875.38741378515</v>
      </c>
      <c r="P2" s="18">
        <f t="shared" si="1"/>
        <v>260971.46872625817</v>
      </c>
      <c r="Q2" s="18">
        <f t="shared" si="1"/>
        <v>256157.99999999991</v>
      </c>
      <c r="R2" s="14">
        <f>D2*(1+I2)</f>
        <v>253404.43412886368</v>
      </c>
      <c r="S2" s="14">
        <f t="shared" ref="S2:V26" si="2">R2*(1+$I2)</f>
        <v>250680.46766515044</v>
      </c>
      <c r="T2" s="14">
        <f>S2*(1+$I2)</f>
        <v>247985.78243055596</v>
      </c>
      <c r="U2" s="14">
        <f>T2*(1+$I2)</f>
        <v>245320.06366702792</v>
      </c>
      <c r="V2" s="14">
        <f>U2*(1+$I2)</f>
        <v>242683.00000000006</v>
      </c>
      <c r="W2" s="15">
        <f t="shared" ref="W2:W28" si="3">E2*(1+J2)</f>
        <v>241125.12683951354</v>
      </c>
      <c r="X2" s="15">
        <f t="shared" ref="X2:AA26" si="4">W2*(1+$J2)</f>
        <v>239577.25425090134</v>
      </c>
      <c r="Y2" s="15">
        <f t="shared" si="4"/>
        <v>238039.31803674327</v>
      </c>
      <c r="Z2" s="15">
        <f t="shared" si="4"/>
        <v>236511.25441172649</v>
      </c>
      <c r="AA2" s="15">
        <f t="shared" si="4"/>
        <v>234993.00000000003</v>
      </c>
      <c r="AB2" s="19">
        <f t="shared" ref="AB2:AB28" si="5">F2*(1+K2)</f>
        <v>234148.75562838794</v>
      </c>
      <c r="AC2" s="19">
        <f t="shared" ref="AC2:AF26" si="6">AB2*(1+$K2)</f>
        <v>233307.54431971392</v>
      </c>
      <c r="AD2" s="19">
        <f t="shared" si="6"/>
        <v>232469.35517728608</v>
      </c>
      <c r="AE2" s="19">
        <f t="shared" si="6"/>
        <v>231634.17734356035</v>
      </c>
      <c r="AF2" s="19">
        <f t="shared" si="6"/>
        <v>230801.99999999994</v>
      </c>
    </row>
    <row r="3" spans="1:32">
      <c r="A3">
        <v>2</v>
      </c>
      <c r="B3" t="s">
        <v>336</v>
      </c>
      <c r="C3">
        <v>268650</v>
      </c>
      <c r="D3">
        <v>261133</v>
      </c>
      <c r="E3">
        <v>256451</v>
      </c>
      <c r="F3">
        <v>250272</v>
      </c>
      <c r="G3">
        <v>242428</v>
      </c>
      <c r="H3" s="9">
        <f t="shared" si="0"/>
        <v>-5.6598346627124707E-3</v>
      </c>
      <c r="I3" s="10">
        <f t="shared" si="0"/>
        <v>-3.6119098744801237E-3</v>
      </c>
      <c r="J3" s="11">
        <f t="shared" si="0"/>
        <v>-4.8659799345752708E-3</v>
      </c>
      <c r="K3" s="12">
        <f>((G3/F3)^(1/5))-1</f>
        <v>-6.3484761977276039E-3</v>
      </c>
      <c r="L3" s="17">
        <f t="shared" ref="L3:L28" si="7">C3</f>
        <v>268650</v>
      </c>
      <c r="M3" s="18">
        <f t="shared" ref="M3:M28" si="8">C3*(1+H3)</f>
        <v>267129.48541786231</v>
      </c>
      <c r="N3" s="18">
        <f t="shared" si="1"/>
        <v>265617.57669686177</v>
      </c>
      <c r="O3" s="18">
        <f t="shared" si="1"/>
        <v>264114.22512924718</v>
      </c>
      <c r="P3" s="18">
        <f t="shared" si="1"/>
        <v>262619.38228294521</v>
      </c>
      <c r="Q3" s="18">
        <f t="shared" si="1"/>
        <v>261133.00000000006</v>
      </c>
      <c r="R3" s="14">
        <f t="shared" ref="R3:R28" si="9">D3*(1+I3)</f>
        <v>260189.81113874738</v>
      </c>
      <c r="S3" s="14">
        <f t="shared" si="2"/>
        <v>259250.02899065622</v>
      </c>
      <c r="T3" s="14">
        <f t="shared" si="2"/>
        <v>258313.64125098562</v>
      </c>
      <c r="U3" s="14">
        <f t="shared" si="2"/>
        <v>257380.63565943827</v>
      </c>
      <c r="V3" s="14">
        <f t="shared" si="2"/>
        <v>256450.99999999997</v>
      </c>
      <c r="W3" s="15">
        <f t="shared" si="3"/>
        <v>255203.11457979825</v>
      </c>
      <c r="X3" s="15">
        <f t="shared" si="4"/>
        <v>253961.30134501183</v>
      </c>
      <c r="Y3" s="15">
        <f t="shared" si="4"/>
        <v>252725.53074850838</v>
      </c>
      <c r="Z3" s="15">
        <f t="shared" si="4"/>
        <v>251495.77338693125</v>
      </c>
      <c r="AA3" s="15">
        <f t="shared" si="4"/>
        <v>250271.99999999994</v>
      </c>
      <c r="AB3" s="19">
        <f t="shared" si="5"/>
        <v>248683.15416504233</v>
      </c>
      <c r="AC3" s="19">
        <f t="shared" si="6"/>
        <v>247104.39508004973</v>
      </c>
      <c r="AD3" s="19">
        <f t="shared" si="6"/>
        <v>245535.65870953017</v>
      </c>
      <c r="AE3" s="19">
        <f t="shared" si="6"/>
        <v>243976.88142451935</v>
      </c>
      <c r="AF3" s="19">
        <f t="shared" si="6"/>
        <v>242427.99999999997</v>
      </c>
    </row>
    <row r="4" spans="1:32">
      <c r="A4">
        <v>3</v>
      </c>
      <c r="B4" t="s">
        <v>337</v>
      </c>
      <c r="C4">
        <v>182483</v>
      </c>
      <c r="D4">
        <v>207346</v>
      </c>
      <c r="E4">
        <v>226330</v>
      </c>
      <c r="F4">
        <v>239271</v>
      </c>
      <c r="G4">
        <v>250297</v>
      </c>
      <c r="H4" s="9">
        <f t="shared" si="0"/>
        <v>2.5875480646150972E-2</v>
      </c>
      <c r="I4" s="10">
        <f t="shared" si="0"/>
        <v>1.7675437030272301E-2</v>
      </c>
      <c r="J4" s="11">
        <f t="shared" si="0"/>
        <v>1.1182600933224984E-2</v>
      </c>
      <c r="K4" s="12">
        <f t="shared" si="0"/>
        <v>9.0509971810188716E-3</v>
      </c>
      <c r="L4" s="17">
        <f t="shared" si="7"/>
        <v>182483</v>
      </c>
      <c r="M4" s="18">
        <f t="shared" si="8"/>
        <v>187204.83533475158</v>
      </c>
      <c r="N4" s="18">
        <f t="shared" si="1"/>
        <v>192048.85042832184</v>
      </c>
      <c r="O4" s="18">
        <f t="shared" si="1"/>
        <v>197018.20674069543</v>
      </c>
      <c r="P4" s="18">
        <f t="shared" si="1"/>
        <v>202116.14753615367</v>
      </c>
      <c r="Q4" s="18">
        <f t="shared" si="1"/>
        <v>207346</v>
      </c>
      <c r="R4" s="14">
        <f t="shared" si="9"/>
        <v>211010.93116647884</v>
      </c>
      <c r="S4" s="14">
        <f t="shared" si="2"/>
        <v>214740.64159301107</v>
      </c>
      <c r="T4" s="14">
        <f t="shared" si="2"/>
        <v>218536.27628132861</v>
      </c>
      <c r="U4" s="14">
        <f t="shared" si="2"/>
        <v>222399.00047156942</v>
      </c>
      <c r="V4" s="14">
        <f t="shared" si="2"/>
        <v>226330.00000000015</v>
      </c>
      <c r="W4" s="15">
        <f t="shared" si="3"/>
        <v>228860.95806921681</v>
      </c>
      <c r="X4" s="15">
        <f t="shared" si="4"/>
        <v>231420.2188325004</v>
      </c>
      <c r="Y4" s="15">
        <f t="shared" si="4"/>
        <v>234008.09878758385</v>
      </c>
      <c r="Z4" s="15">
        <f t="shared" si="4"/>
        <v>236624.91797146809</v>
      </c>
      <c r="AA4" s="15">
        <f t="shared" si="4"/>
        <v>239271.00000000012</v>
      </c>
      <c r="AB4" s="19">
        <f t="shared" si="5"/>
        <v>241436.64114649958</v>
      </c>
      <c r="AC4" s="19">
        <f t="shared" si="6"/>
        <v>243621.88350491121</v>
      </c>
      <c r="AD4" s="19">
        <f t="shared" si="6"/>
        <v>245826.90448574867</v>
      </c>
      <c r="AE4" s="19">
        <f t="shared" si="6"/>
        <v>248051.88310526777</v>
      </c>
      <c r="AF4" s="19">
        <f t="shared" si="6"/>
        <v>250296.99999999997</v>
      </c>
    </row>
    <row r="5" spans="1:32">
      <c r="A5">
        <v>4</v>
      </c>
      <c r="B5" t="s">
        <v>338</v>
      </c>
      <c r="C5">
        <v>34376</v>
      </c>
      <c r="D5">
        <v>33113</v>
      </c>
      <c r="E5">
        <v>32344</v>
      </c>
      <c r="F5">
        <v>31797</v>
      </c>
      <c r="G5">
        <v>31325</v>
      </c>
      <c r="H5" s="9">
        <f t="shared" si="0"/>
        <v>-7.4585840654936009E-3</v>
      </c>
      <c r="I5" s="10">
        <f t="shared" si="0"/>
        <v>-4.6884591375430107E-3</v>
      </c>
      <c r="J5" s="11">
        <f t="shared" si="0"/>
        <v>-3.405505392762409E-3</v>
      </c>
      <c r="K5" s="12">
        <f t="shared" si="0"/>
        <v>-2.9866201362437339E-3</v>
      </c>
      <c r="L5" s="17">
        <f t="shared" si="7"/>
        <v>34376</v>
      </c>
      <c r="M5" s="18">
        <f t="shared" si="8"/>
        <v>34119.603714164594</v>
      </c>
      <c r="N5" s="18">
        <f t="shared" si="1"/>
        <v>33865.119781581168</v>
      </c>
      <c r="O5" s="18">
        <f t="shared" si="1"/>
        <v>33612.533938802233</v>
      </c>
      <c r="P5" s="18">
        <f t="shared" si="1"/>
        <v>33361.832028765421</v>
      </c>
      <c r="Q5" s="18">
        <f t="shared" si="1"/>
        <v>33113</v>
      </c>
      <c r="R5" s="14">
        <f t="shared" si="9"/>
        <v>32957.75105257854</v>
      </c>
      <c r="S5" s="14">
        <f t="shared" si="2"/>
        <v>32803.22998350321</v>
      </c>
      <c r="T5" s="14">
        <f t="shared" si="2"/>
        <v>32649.433380146129</v>
      </c>
      <c r="U5" s="14">
        <f t="shared" si="2"/>
        <v>32496.357845879382</v>
      </c>
      <c r="V5" s="14">
        <f t="shared" si="2"/>
        <v>32344</v>
      </c>
      <c r="W5" s="15">
        <f t="shared" si="3"/>
        <v>32233.852333576491</v>
      </c>
      <c r="X5" s="15">
        <f t="shared" si="4"/>
        <v>32124.079775624989</v>
      </c>
      <c r="Y5" s="15">
        <f t="shared" si="4"/>
        <v>32014.681048711569</v>
      </c>
      <c r="Z5" s="15">
        <f t="shared" si="4"/>
        <v>31905.654879752612</v>
      </c>
      <c r="AA5" s="15">
        <f t="shared" si="4"/>
        <v>31797</v>
      </c>
      <c r="AB5" s="19">
        <f t="shared" si="5"/>
        <v>31702.034439527859</v>
      </c>
      <c r="AC5" s="19">
        <f t="shared" si="6"/>
        <v>31607.352505110874</v>
      </c>
      <c r="AD5" s="19">
        <f t="shared" si="6"/>
        <v>31512.953349665757</v>
      </c>
      <c r="AE5" s="19">
        <f t="shared" si="6"/>
        <v>31418.836128639137</v>
      </c>
      <c r="AF5" s="19">
        <f t="shared" si="6"/>
        <v>31325</v>
      </c>
    </row>
    <row r="6" spans="1:32">
      <c r="A6">
        <v>5</v>
      </c>
      <c r="B6" t="s">
        <v>339</v>
      </c>
      <c r="C6">
        <v>436939</v>
      </c>
      <c r="D6">
        <v>436155</v>
      </c>
      <c r="E6">
        <v>435251</v>
      </c>
      <c r="F6">
        <v>434231</v>
      </c>
      <c r="G6">
        <v>433175</v>
      </c>
      <c r="H6" s="9">
        <f t="shared" si="0"/>
        <v>-3.5911800012300432E-4</v>
      </c>
      <c r="I6" s="10">
        <f t="shared" si="0"/>
        <v>-4.1487563201314526E-4</v>
      </c>
      <c r="J6" s="11">
        <f t="shared" si="0"/>
        <v>-4.6913504372114723E-4</v>
      </c>
      <c r="K6" s="12">
        <f t="shared" si="0"/>
        <v>-4.8685088341537952E-4</v>
      </c>
      <c r="L6" s="17">
        <f t="shared" si="7"/>
        <v>436939</v>
      </c>
      <c r="M6" s="18">
        <f t="shared" si="8"/>
        <v>436782.08734014427</v>
      </c>
      <c r="N6" s="18">
        <f t="shared" si="1"/>
        <v>436625.2310304491</v>
      </c>
      <c r="O6" s="18">
        <f t="shared" si="1"/>
        <v>436468.43105067819</v>
      </c>
      <c r="P6" s="18">
        <f t="shared" si="1"/>
        <v>436311.68738060247</v>
      </c>
      <c r="Q6" s="18">
        <f t="shared" si="1"/>
        <v>436155.00000000006</v>
      </c>
      <c r="R6" s="14">
        <f t="shared" si="9"/>
        <v>435974.04991871933</v>
      </c>
      <c r="S6" s="14">
        <f t="shared" si="2"/>
        <v>435793.17490921798</v>
      </c>
      <c r="T6" s="14">
        <f t="shared" si="2"/>
        <v>435612.37494035048</v>
      </c>
      <c r="U6" s="14">
        <f t="shared" si="2"/>
        <v>435431.64998098434</v>
      </c>
      <c r="V6" s="14">
        <f t="shared" si="2"/>
        <v>435250.99999999994</v>
      </c>
      <c r="W6" s="15">
        <f t="shared" si="3"/>
        <v>435046.80850308534</v>
      </c>
      <c r="X6" s="15">
        <f t="shared" si="4"/>
        <v>434842.71279955748</v>
      </c>
      <c r="Y6" s="15">
        <f t="shared" si="4"/>
        <v>434638.71284447645</v>
      </c>
      <c r="Z6" s="15">
        <f t="shared" si="4"/>
        <v>434434.80859292328</v>
      </c>
      <c r="AA6" s="15">
        <f t="shared" si="4"/>
        <v>434231.00000000006</v>
      </c>
      <c r="AB6" s="19">
        <f t="shared" si="5"/>
        <v>434019.59425404365</v>
      </c>
      <c r="AC6" s="19">
        <f t="shared" si="6"/>
        <v>433808.29143116146</v>
      </c>
      <c r="AD6" s="19">
        <f t="shared" si="6"/>
        <v>433597.0914812453</v>
      </c>
      <c r="AE6" s="19">
        <f t="shared" si="6"/>
        <v>433385.99435421132</v>
      </c>
      <c r="AF6" s="19">
        <f t="shared" si="6"/>
        <v>433175.00000000012</v>
      </c>
    </row>
    <row r="7" spans="1:32">
      <c r="A7">
        <v>6</v>
      </c>
      <c r="B7" t="s">
        <v>340</v>
      </c>
      <c r="C7">
        <v>99848</v>
      </c>
      <c r="D7">
        <v>101111</v>
      </c>
      <c r="E7">
        <v>100091</v>
      </c>
      <c r="F7">
        <v>99302</v>
      </c>
      <c r="G7">
        <v>98542</v>
      </c>
      <c r="H7" s="9">
        <f t="shared" si="0"/>
        <v>2.5171414256550673E-3</v>
      </c>
      <c r="I7" s="10">
        <f t="shared" si="0"/>
        <v>-2.0257755581462034E-3</v>
      </c>
      <c r="J7" s="11">
        <f t="shared" si="0"/>
        <v>-1.5815600843949174E-3</v>
      </c>
      <c r="K7" s="12">
        <f t="shared" si="0"/>
        <v>-1.5353917978959686E-3</v>
      </c>
      <c r="L7" s="17">
        <f t="shared" si="7"/>
        <v>99848</v>
      </c>
      <c r="M7" s="18">
        <f t="shared" si="8"/>
        <v>100099.33153706881</v>
      </c>
      <c r="N7" s="18">
        <f t="shared" si="1"/>
        <v>100351.29571116115</v>
      </c>
      <c r="O7" s="18">
        <f t="shared" si="1"/>
        <v>100603.89411471387</v>
      </c>
      <c r="P7" s="18">
        <f t="shared" si="1"/>
        <v>100857.12834417223</v>
      </c>
      <c r="Q7" s="18">
        <f t="shared" si="1"/>
        <v>101110.99999999996</v>
      </c>
      <c r="R7" s="14">
        <f t="shared" si="9"/>
        <v>100906.17180754028</v>
      </c>
      <c r="S7" s="14">
        <f t="shared" si="2"/>
        <v>100701.75855102646</v>
      </c>
      <c r="T7" s="14">
        <f t="shared" si="2"/>
        <v>100497.75938989145</v>
      </c>
      <c r="U7" s="14">
        <f t="shared" si="2"/>
        <v>100294.17348527095</v>
      </c>
      <c r="V7" s="14">
        <f t="shared" si="2"/>
        <v>100091.00000000001</v>
      </c>
      <c r="W7" s="15">
        <f t="shared" si="3"/>
        <v>99932.700069592829</v>
      </c>
      <c r="X7" s="15">
        <f t="shared" si="4"/>
        <v>99774.650500036951</v>
      </c>
      <c r="Y7" s="15">
        <f t="shared" si="4"/>
        <v>99616.850895371637</v>
      </c>
      <c r="Z7" s="15">
        <f t="shared" si="4"/>
        <v>99459.300860262403</v>
      </c>
      <c r="AA7" s="15">
        <f t="shared" si="4"/>
        <v>99301.999999999985</v>
      </c>
      <c r="AB7" s="19">
        <f t="shared" si="5"/>
        <v>99149.532523685339</v>
      </c>
      <c r="AC7" s="19">
        <f t="shared" si="6"/>
        <v>98997.299144683246</v>
      </c>
      <c r="AD7" s="19">
        <f t="shared" si="6"/>
        <v>98845.299503562652</v>
      </c>
      <c r="AE7" s="19">
        <f t="shared" si="6"/>
        <v>98693.533241444311</v>
      </c>
      <c r="AF7" s="19">
        <f t="shared" si="6"/>
        <v>98542.000000000029</v>
      </c>
    </row>
    <row r="8" spans="1:32">
      <c r="A8">
        <v>7</v>
      </c>
      <c r="B8" t="s">
        <v>341</v>
      </c>
      <c r="C8">
        <v>109515</v>
      </c>
      <c r="D8">
        <v>98019</v>
      </c>
      <c r="E8">
        <v>93708</v>
      </c>
      <c r="F8">
        <v>90420</v>
      </c>
      <c r="G8">
        <v>88147</v>
      </c>
      <c r="H8" s="9">
        <f t="shared" si="0"/>
        <v>-2.1935869265773622E-2</v>
      </c>
      <c r="I8" s="10">
        <f t="shared" si="0"/>
        <v>-8.9552156387397996E-3</v>
      </c>
      <c r="J8" s="11">
        <f t="shared" si="0"/>
        <v>-7.1181615415225608E-3</v>
      </c>
      <c r="K8" s="12">
        <f t="shared" si="0"/>
        <v>-5.0789794443943936E-3</v>
      </c>
      <c r="L8" s="17">
        <f t="shared" si="7"/>
        <v>109515</v>
      </c>
      <c r="M8" s="18">
        <f t="shared" si="8"/>
        <v>107112.69327735881</v>
      </c>
      <c r="N8" s="18">
        <f t="shared" si="1"/>
        <v>104763.08324092175</v>
      </c>
      <c r="O8" s="18">
        <f t="shared" si="1"/>
        <v>102465.01394306954</v>
      </c>
      <c r="P8" s="18">
        <f t="shared" si="1"/>
        <v>100217.3547928987</v>
      </c>
      <c r="Q8" s="18">
        <f t="shared" si="1"/>
        <v>98019.000000000015</v>
      </c>
      <c r="R8" s="14">
        <f t="shared" si="9"/>
        <v>97141.218718306365</v>
      </c>
      <c r="S8" s="14">
        <f t="shared" si="2"/>
        <v>96271.298157273952</v>
      </c>
      <c r="T8" s="14">
        <f t="shared" si="2"/>
        <v>95409.167922454144</v>
      </c>
      <c r="U8" s="14">
        <f t="shared" si="2"/>
        <v>94554.758249795836</v>
      </c>
      <c r="V8" s="14">
        <f t="shared" si="2"/>
        <v>93708</v>
      </c>
      <c r="W8" s="15">
        <f t="shared" si="3"/>
        <v>93040.971318267009</v>
      </c>
      <c r="X8" s="15">
        <f t="shared" si="4"/>
        <v>92378.690654443417</v>
      </c>
      <c r="Y8" s="15">
        <f t="shared" si="4"/>
        <v>91721.124211370741</v>
      </c>
      <c r="Z8" s="15">
        <f t="shared" si="4"/>
        <v>91068.238432464146</v>
      </c>
      <c r="AA8" s="15">
        <f t="shared" si="4"/>
        <v>90419.999999999971</v>
      </c>
      <c r="AB8" s="19">
        <f t="shared" si="5"/>
        <v>89960.758678637852</v>
      </c>
      <c r="AC8" s="19">
        <f t="shared" si="6"/>
        <v>89503.849834506924</v>
      </c>
      <c r="AD8" s="19">
        <f t="shared" si="6"/>
        <v>89049.261621003301</v>
      </c>
      <c r="AE8" s="19">
        <f t="shared" si="6"/>
        <v>88596.982251691734</v>
      </c>
      <c r="AF8" s="19">
        <f t="shared" si="6"/>
        <v>88147.000000000015</v>
      </c>
    </row>
    <row r="9" spans="1:32">
      <c r="A9">
        <v>8</v>
      </c>
      <c r="B9" t="s">
        <v>342</v>
      </c>
      <c r="C9">
        <v>417121</v>
      </c>
      <c r="D9">
        <v>442294</v>
      </c>
      <c r="E9">
        <v>444213</v>
      </c>
      <c r="F9">
        <v>440105</v>
      </c>
      <c r="G9">
        <v>429733</v>
      </c>
      <c r="H9" s="9">
        <f t="shared" si="0"/>
        <v>1.178863904249372E-2</v>
      </c>
      <c r="I9" s="10">
        <f t="shared" si="0"/>
        <v>8.6624653489386638E-4</v>
      </c>
      <c r="J9" s="11">
        <f t="shared" si="0"/>
        <v>-1.8564431381176139E-3</v>
      </c>
      <c r="K9" s="12">
        <f t="shared" si="0"/>
        <v>-4.7584921732994889E-3</v>
      </c>
      <c r="L9" s="17">
        <f t="shared" si="7"/>
        <v>417121</v>
      </c>
      <c r="M9" s="18">
        <f t="shared" si="8"/>
        <v>422038.28890604404</v>
      </c>
      <c r="N9" s="18">
        <f t="shared" si="1"/>
        <v>427013.54595606908</v>
      </c>
      <c r="O9" s="18">
        <f t="shared" si="1"/>
        <v>432047.45451560046</v>
      </c>
      <c r="P9" s="18">
        <f t="shared" si="1"/>
        <v>437140.70600611309</v>
      </c>
      <c r="Q9" s="18">
        <f t="shared" si="1"/>
        <v>442294</v>
      </c>
      <c r="R9" s="14">
        <f t="shared" si="9"/>
        <v>442677.13564490434</v>
      </c>
      <c r="S9" s="14">
        <f t="shared" si="2"/>
        <v>443060.6031797335</v>
      </c>
      <c r="T9" s="14">
        <f t="shared" si="2"/>
        <v>443444.40289198596</v>
      </c>
      <c r="U9" s="14">
        <f t="shared" si="2"/>
        <v>443828.53506940923</v>
      </c>
      <c r="V9" s="14">
        <f t="shared" si="2"/>
        <v>444213.00000000012</v>
      </c>
      <c r="W9" s="15">
        <f t="shared" si="3"/>
        <v>443388.34382428735</v>
      </c>
      <c r="X9" s="15">
        <f t="shared" si="4"/>
        <v>442565.21857587341</v>
      </c>
      <c r="Y9" s="15">
        <f t="shared" si="4"/>
        <v>441743.62141267874</v>
      </c>
      <c r="Z9" s="15">
        <f t="shared" si="4"/>
        <v>440923.54949789995</v>
      </c>
      <c r="AA9" s="15">
        <f t="shared" si="4"/>
        <v>440105.00000000012</v>
      </c>
      <c r="AB9" s="19">
        <f t="shared" si="5"/>
        <v>438010.76380207005</v>
      </c>
      <c r="AC9" s="19">
        <f t="shared" si="6"/>
        <v>435926.49301069696</v>
      </c>
      <c r="AD9" s="19">
        <f t="shared" si="6"/>
        <v>433852.14020557166</v>
      </c>
      <c r="AE9" s="19">
        <f t="shared" si="6"/>
        <v>431787.65819203423</v>
      </c>
      <c r="AF9" s="19">
        <f t="shared" si="6"/>
        <v>429733.00000000012</v>
      </c>
    </row>
    <row r="10" spans="1:32">
      <c r="A10">
        <v>9</v>
      </c>
      <c r="B10" t="s">
        <v>343</v>
      </c>
      <c r="C10">
        <v>204935</v>
      </c>
      <c r="D10">
        <v>184425</v>
      </c>
      <c r="E10">
        <v>184632</v>
      </c>
      <c r="F10">
        <v>186777</v>
      </c>
      <c r="G10">
        <v>187512</v>
      </c>
      <c r="H10" s="9">
        <f t="shared" si="0"/>
        <v>-2.0869157043419295E-2</v>
      </c>
      <c r="I10" s="10">
        <f t="shared" si="0"/>
        <v>2.2438078047781751E-4</v>
      </c>
      <c r="J10" s="11">
        <f t="shared" si="0"/>
        <v>2.3128178567073387E-3</v>
      </c>
      <c r="K10" s="12">
        <f t="shared" si="0"/>
        <v>7.8579887565544126E-4</v>
      </c>
      <c r="L10" s="17">
        <f t="shared" si="7"/>
        <v>204935</v>
      </c>
      <c r="M10" s="18">
        <f t="shared" si="8"/>
        <v>200658.17930130687</v>
      </c>
      <c r="N10" s="18">
        <f t="shared" si="1"/>
        <v>196470.6122454213</v>
      </c>
      <c r="O10" s="18">
        <f t="shared" si="1"/>
        <v>192370.43618405488</v>
      </c>
      <c r="P10" s="18">
        <f t="shared" si="1"/>
        <v>188355.82734081877</v>
      </c>
      <c r="Q10" s="18">
        <f t="shared" si="1"/>
        <v>184425.00000000006</v>
      </c>
      <c r="R10" s="14">
        <f t="shared" si="9"/>
        <v>184466.38142543961</v>
      </c>
      <c r="S10" s="14">
        <f t="shared" si="2"/>
        <v>184507.77213607577</v>
      </c>
      <c r="T10" s="14">
        <f t="shared" si="2"/>
        <v>184549.17213399187</v>
      </c>
      <c r="U10" s="14">
        <f t="shared" si="2"/>
        <v>184590.58142127184</v>
      </c>
      <c r="V10" s="14">
        <f t="shared" si="2"/>
        <v>184632</v>
      </c>
      <c r="W10" s="15">
        <f t="shared" si="3"/>
        <v>185059.0201865196</v>
      </c>
      <c r="X10" s="15">
        <f t="shared" si="4"/>
        <v>185487.02799295174</v>
      </c>
      <c r="Y10" s="15">
        <f t="shared" si="4"/>
        <v>185916.02570348143</v>
      </c>
      <c r="Z10" s="15">
        <f t="shared" si="4"/>
        <v>186346.0156075765</v>
      </c>
      <c r="AA10" s="15">
        <f t="shared" si="4"/>
        <v>186776.99999999997</v>
      </c>
      <c r="AB10" s="19">
        <f t="shared" si="5"/>
        <v>186923.76915659828</v>
      </c>
      <c r="AC10" s="19">
        <f t="shared" si="6"/>
        <v>187070.65364423482</v>
      </c>
      <c r="AD10" s="19">
        <f t="shared" si="6"/>
        <v>187217.65355353657</v>
      </c>
      <c r="AE10" s="19">
        <f t="shared" si="6"/>
        <v>187364.76897520179</v>
      </c>
      <c r="AF10" s="19">
        <f t="shared" si="6"/>
        <v>187511.99999999994</v>
      </c>
    </row>
    <row r="11" spans="1:32">
      <c r="A11">
        <v>10</v>
      </c>
      <c r="B11" t="s">
        <v>344</v>
      </c>
      <c r="C11">
        <v>532082</v>
      </c>
      <c r="D11">
        <v>580778</v>
      </c>
      <c r="E11">
        <v>603112</v>
      </c>
      <c r="F11">
        <v>619512</v>
      </c>
      <c r="G11">
        <v>631123</v>
      </c>
      <c r="H11" s="9">
        <f t="shared" si="0"/>
        <v>1.7668467079302363E-2</v>
      </c>
      <c r="I11" s="10">
        <f t="shared" si="0"/>
        <v>7.5754160629704081E-3</v>
      </c>
      <c r="J11" s="11">
        <f t="shared" si="0"/>
        <v>5.3802526304671527E-3</v>
      </c>
      <c r="K11" s="12">
        <f t="shared" si="0"/>
        <v>3.7206446551674155E-3</v>
      </c>
      <c r="L11" s="17">
        <f t="shared" si="7"/>
        <v>532082</v>
      </c>
      <c r="M11" s="18">
        <f t="shared" si="8"/>
        <v>541483.07330048934</v>
      </c>
      <c r="N11" s="18">
        <f t="shared" si="1"/>
        <v>551050.24915509846</v>
      </c>
      <c r="O11" s="18">
        <f t="shared" si="1"/>
        <v>560786.46234133665</v>
      </c>
      <c r="P11" s="18">
        <f t="shared" si="1"/>
        <v>570694.69948973297</v>
      </c>
      <c r="Q11" s="18">
        <f t="shared" si="1"/>
        <v>580777.99999999965</v>
      </c>
      <c r="R11" s="14">
        <f t="shared" si="9"/>
        <v>585177.63499021984</v>
      </c>
      <c r="S11" s="14">
        <f t="shared" si="2"/>
        <v>589610.59904601576</v>
      </c>
      <c r="T11" s="14">
        <f t="shared" si="2"/>
        <v>594077.14464892657</v>
      </c>
      <c r="U11" s="14">
        <f t="shared" si="2"/>
        <v>598577.52619314368</v>
      </c>
      <c r="V11" s="14">
        <f t="shared" si="2"/>
        <v>603112.00000000035</v>
      </c>
      <c r="W11" s="15">
        <f t="shared" si="3"/>
        <v>606356.89492446627</v>
      </c>
      <c r="X11" s="15">
        <f t="shared" si="4"/>
        <v>609619.2482033855</v>
      </c>
      <c r="Y11" s="15">
        <f t="shared" si="4"/>
        <v>612899.1537671152</v>
      </c>
      <c r="Z11" s="15">
        <f t="shared" si="4"/>
        <v>616196.70605138177</v>
      </c>
      <c r="AA11" s="15">
        <f t="shared" si="4"/>
        <v>619511.99999999988</v>
      </c>
      <c r="AB11" s="19">
        <f t="shared" si="5"/>
        <v>621816.98401161213</v>
      </c>
      <c r="AC11" s="19">
        <f t="shared" si="6"/>
        <v>624130.54404966731</v>
      </c>
      <c r="AD11" s="19">
        <f t="shared" si="6"/>
        <v>626452.71202251245</v>
      </c>
      <c r="AE11" s="19">
        <f t="shared" si="6"/>
        <v>628783.51995721413</v>
      </c>
      <c r="AF11" s="19">
        <f t="shared" si="6"/>
        <v>631123.00000000023</v>
      </c>
    </row>
    <row r="12" spans="1:32">
      <c r="A12">
        <v>11</v>
      </c>
      <c r="B12" t="s">
        <v>345</v>
      </c>
      <c r="C12">
        <v>341390</v>
      </c>
      <c r="D12">
        <v>305388</v>
      </c>
      <c r="E12">
        <v>285880</v>
      </c>
      <c r="F12">
        <v>282013</v>
      </c>
      <c r="G12">
        <v>279655</v>
      </c>
      <c r="H12" s="9">
        <f t="shared" si="0"/>
        <v>-2.204193080395711E-2</v>
      </c>
      <c r="I12" s="10">
        <f t="shared" si="0"/>
        <v>-1.3115424713747381E-2</v>
      </c>
      <c r="J12" s="11">
        <f t="shared" si="0"/>
        <v>-2.7200884741781506E-3</v>
      </c>
      <c r="K12" s="12">
        <f t="shared" si="0"/>
        <v>-1.6778844885309008E-3</v>
      </c>
      <c r="L12" s="17">
        <f t="shared" si="7"/>
        <v>341390</v>
      </c>
      <c r="M12" s="18">
        <f t="shared" si="8"/>
        <v>333865.1052428371</v>
      </c>
      <c r="N12" s="18">
        <f t="shared" si="1"/>
        <v>326506.07369521866</v>
      </c>
      <c r="O12" s="18">
        <f t="shared" si="1"/>
        <v>319309.24941175693</v>
      </c>
      <c r="P12" s="18">
        <f t="shared" si="1"/>
        <v>312271.05703115952</v>
      </c>
      <c r="Q12" s="18">
        <f t="shared" si="1"/>
        <v>305388.00000000017</v>
      </c>
      <c r="R12" s="14">
        <f t="shared" si="9"/>
        <v>301382.70667751809</v>
      </c>
      <c r="S12" s="14">
        <f t="shared" si="2"/>
        <v>297429.94447806367</v>
      </c>
      <c r="T12" s="14">
        <f t="shared" si="2"/>
        <v>293529.02443364757</v>
      </c>
      <c r="U12" s="14">
        <f t="shared" si="2"/>
        <v>289679.26661238837</v>
      </c>
      <c r="V12" s="14">
        <f t="shared" si="2"/>
        <v>285880.00000000006</v>
      </c>
      <c r="W12" s="15">
        <f t="shared" si="3"/>
        <v>285102.38110700197</v>
      </c>
      <c r="X12" s="15">
        <f t="shared" si="4"/>
        <v>284326.87740619207</v>
      </c>
      <c r="Y12" s="15">
        <f t="shared" si="4"/>
        <v>283553.48314406042</v>
      </c>
      <c r="Z12" s="15">
        <f t="shared" si="4"/>
        <v>282782.1925827472</v>
      </c>
      <c r="AA12" s="15">
        <f t="shared" si="4"/>
        <v>282013.00000000006</v>
      </c>
      <c r="AB12" s="19">
        <f t="shared" si="5"/>
        <v>281539.81476173591</v>
      </c>
      <c r="AC12" s="19">
        <f t="shared" si="6"/>
        <v>281067.42347364331</v>
      </c>
      <c r="AD12" s="19">
        <f t="shared" si="6"/>
        <v>280595.82480356551</v>
      </c>
      <c r="AE12" s="19">
        <f t="shared" si="6"/>
        <v>280125.01742158108</v>
      </c>
      <c r="AF12" s="19">
        <f t="shared" si="6"/>
        <v>279654.99999999994</v>
      </c>
    </row>
    <row r="13" spans="1:32">
      <c r="A13">
        <v>12</v>
      </c>
      <c r="B13" t="s">
        <v>346</v>
      </c>
      <c r="C13">
        <v>1483502</v>
      </c>
      <c r="D13">
        <v>1473695</v>
      </c>
      <c r="E13">
        <v>1443146</v>
      </c>
      <c r="F13">
        <v>1406711</v>
      </c>
      <c r="G13">
        <v>1373116</v>
      </c>
      <c r="H13" s="9">
        <f t="shared" si="0"/>
        <v>-1.3256518463572453E-3</v>
      </c>
      <c r="I13" s="10">
        <f t="shared" si="0"/>
        <v>-4.1807162987459456E-3</v>
      </c>
      <c r="J13" s="11">
        <f t="shared" si="0"/>
        <v>-5.1011641058991142E-3</v>
      </c>
      <c r="K13" s="12">
        <f t="shared" si="0"/>
        <v>-4.8226824875629015E-3</v>
      </c>
      <c r="L13" s="17">
        <f t="shared" si="7"/>
        <v>1483502</v>
      </c>
      <c r="M13" s="18">
        <f t="shared" si="8"/>
        <v>1481535.3928346254</v>
      </c>
      <c r="N13" s="18">
        <f t="shared" si="1"/>
        <v>1479571.3927056706</v>
      </c>
      <c r="O13" s="18">
        <f t="shared" si="1"/>
        <v>1477609.996157113</v>
      </c>
      <c r="P13" s="18">
        <f t="shared" si="1"/>
        <v>1475651.1997375113</v>
      </c>
      <c r="Q13" s="18">
        <f t="shared" si="1"/>
        <v>1473695</v>
      </c>
      <c r="R13" s="14">
        <f t="shared" si="9"/>
        <v>1467533.8992941196</v>
      </c>
      <c r="S13" s="14">
        <f t="shared" si="2"/>
        <v>1461398.5564023785</v>
      </c>
      <c r="T13" s="14">
        <f t="shared" si="2"/>
        <v>1455288.8636386632</v>
      </c>
      <c r="U13" s="14">
        <f t="shared" si="2"/>
        <v>1449204.7137670657</v>
      </c>
      <c r="V13" s="14">
        <f t="shared" si="2"/>
        <v>1443146.0000000002</v>
      </c>
      <c r="W13" s="15">
        <f t="shared" si="3"/>
        <v>1435784.2754252281</v>
      </c>
      <c r="X13" s="15">
        <f t="shared" si="4"/>
        <v>1428460.1042156145</v>
      </c>
      <c r="Y13" s="15">
        <f t="shared" si="4"/>
        <v>1421173.2948052809</v>
      </c>
      <c r="Z13" s="15">
        <f t="shared" si="4"/>
        <v>1413923.6566055578</v>
      </c>
      <c r="AA13" s="15">
        <f t="shared" si="4"/>
        <v>1406710.9999999998</v>
      </c>
      <c r="AB13" s="19">
        <f t="shared" si="5"/>
        <v>1399926.879495238</v>
      </c>
      <c r="AC13" s="19">
        <f t="shared" si="6"/>
        <v>1393175.4766496278</v>
      </c>
      <c r="AD13" s="19">
        <f t="shared" si="6"/>
        <v>1386456.6336762875</v>
      </c>
      <c r="AE13" s="19">
        <f t="shared" si="6"/>
        <v>1379770.1935492915</v>
      </c>
      <c r="AF13" s="19">
        <f t="shared" si="6"/>
        <v>1373116</v>
      </c>
    </row>
    <row r="14" spans="1:32">
      <c r="A14">
        <v>13</v>
      </c>
      <c r="B14" t="s">
        <v>347</v>
      </c>
      <c r="C14">
        <v>1014499</v>
      </c>
      <c r="D14">
        <v>1039804</v>
      </c>
      <c r="E14">
        <v>1061190</v>
      </c>
      <c r="F14">
        <v>1078270</v>
      </c>
      <c r="G14">
        <v>1091505</v>
      </c>
      <c r="H14" s="9">
        <f t="shared" si="0"/>
        <v>4.9396277896334162E-3</v>
      </c>
      <c r="I14" s="10">
        <f t="shared" si="0"/>
        <v>4.0800380021561722E-3</v>
      </c>
      <c r="J14" s="11">
        <f t="shared" si="0"/>
        <v>3.198501325176073E-3</v>
      </c>
      <c r="K14" s="12">
        <f t="shared" si="0"/>
        <v>2.4428935942408803E-3</v>
      </c>
      <c r="L14" s="17">
        <f t="shared" si="7"/>
        <v>1014499</v>
      </c>
      <c r="M14" s="18">
        <f t="shared" si="8"/>
        <v>1019510.2474529553</v>
      </c>
      <c r="N14" s="18">
        <f t="shared" si="1"/>
        <v>1024546.2486030899</v>
      </c>
      <c r="O14" s="18">
        <f t="shared" si="1"/>
        <v>1029607.1257244544</v>
      </c>
      <c r="P14" s="18">
        <f t="shared" si="1"/>
        <v>1034693.0016950875</v>
      </c>
      <c r="Q14" s="18">
        <f t="shared" si="1"/>
        <v>1039803.9999999998</v>
      </c>
      <c r="R14" s="14">
        <f t="shared" si="9"/>
        <v>1044046.439834794</v>
      </c>
      <c r="S14" s="14">
        <f t="shared" si="2"/>
        <v>1048306.1889853359</v>
      </c>
      <c r="T14" s="14">
        <f t="shared" si="2"/>
        <v>1052583.3180742916</v>
      </c>
      <c r="U14" s="14">
        <f t="shared" si="2"/>
        <v>1056877.8980124702</v>
      </c>
      <c r="V14" s="14">
        <f t="shared" si="2"/>
        <v>1061190</v>
      </c>
      <c r="W14" s="15">
        <f t="shared" si="3"/>
        <v>1064584.2176212636</v>
      </c>
      <c r="X14" s="15">
        <f t="shared" si="4"/>
        <v>1067989.2916520867</v>
      </c>
      <c r="Y14" s="15">
        <f t="shared" si="4"/>
        <v>1071405.2568167096</v>
      </c>
      <c r="Z14" s="15">
        <f t="shared" si="4"/>
        <v>1074832.1479504385</v>
      </c>
      <c r="AA14" s="15">
        <f t="shared" si="4"/>
        <v>1078269.9999999998</v>
      </c>
      <c r="AB14" s="19">
        <f t="shared" si="5"/>
        <v>1080904.0988758621</v>
      </c>
      <c r="AC14" s="19">
        <f t="shared" si="6"/>
        <v>1083544.6325749946</v>
      </c>
      <c r="AD14" s="19">
        <f t="shared" si="6"/>
        <v>1086191.6168169861</v>
      </c>
      <c r="AE14" s="19">
        <f t="shared" si="6"/>
        <v>1088845.0673598265</v>
      </c>
      <c r="AF14" s="19">
        <f t="shared" si="6"/>
        <v>1091505.0000000007</v>
      </c>
    </row>
    <row r="15" spans="1:32">
      <c r="A15">
        <v>14</v>
      </c>
      <c r="B15" t="s">
        <v>348</v>
      </c>
      <c r="C15">
        <v>662075</v>
      </c>
      <c r="D15">
        <v>640896</v>
      </c>
      <c r="E15">
        <v>626524</v>
      </c>
      <c r="F15">
        <v>615414</v>
      </c>
      <c r="G15">
        <v>605227</v>
      </c>
      <c r="H15" s="9">
        <f t="shared" si="0"/>
        <v>-6.4812346648116526E-3</v>
      </c>
      <c r="I15" s="10">
        <f t="shared" si="0"/>
        <v>-4.525750905537862E-3</v>
      </c>
      <c r="J15" s="11">
        <f t="shared" si="0"/>
        <v>-3.5719791704389436E-3</v>
      </c>
      <c r="K15" s="12">
        <f t="shared" si="0"/>
        <v>-3.3327575514293661E-3</v>
      </c>
      <c r="L15" s="17">
        <f t="shared" si="7"/>
        <v>662075</v>
      </c>
      <c r="M15" s="18">
        <f t="shared" si="8"/>
        <v>657783.93655929482</v>
      </c>
      <c r="N15" s="18">
        <f t="shared" si="1"/>
        <v>653520.68450771039</v>
      </c>
      <c r="O15" s="18">
        <f t="shared" si="1"/>
        <v>649285.06359310762</v>
      </c>
      <c r="P15" s="18">
        <f t="shared" si="1"/>
        <v>645076.89473160356</v>
      </c>
      <c r="Q15" s="18">
        <f t="shared" si="1"/>
        <v>640896</v>
      </c>
      <c r="R15" s="14">
        <f t="shared" si="9"/>
        <v>637995.46434764436</v>
      </c>
      <c r="S15" s="14">
        <f t="shared" si="2"/>
        <v>635108.05579714396</v>
      </c>
      <c r="T15" s="14">
        <f t="shared" si="2"/>
        <v>632233.71493850567</v>
      </c>
      <c r="U15" s="14">
        <f t="shared" si="2"/>
        <v>629372.38263061119</v>
      </c>
      <c r="V15" s="14">
        <f t="shared" si="2"/>
        <v>626524.00000000023</v>
      </c>
      <c r="W15" s="15">
        <f t="shared" si="3"/>
        <v>624286.06932221993</v>
      </c>
      <c r="X15" s="15">
        <f t="shared" si="4"/>
        <v>622056.13248620578</v>
      </c>
      <c r="Y15" s="15">
        <f t="shared" si="4"/>
        <v>619834.16093812126</v>
      </c>
      <c r="Z15" s="15">
        <f t="shared" si="4"/>
        <v>617620.12622612377</v>
      </c>
      <c r="AA15" s="15">
        <f t="shared" si="4"/>
        <v>615414.00000000023</v>
      </c>
      <c r="AB15" s="19">
        <f t="shared" si="5"/>
        <v>613362.97434424469</v>
      </c>
      <c r="AC15" s="19">
        <f t="shared" si="6"/>
        <v>611318.78425973176</v>
      </c>
      <c r="AD15" s="19">
        <f t="shared" si="6"/>
        <v>609281.40696515958</v>
      </c>
      <c r="AE15" s="19">
        <f t="shared" si="6"/>
        <v>607250.81975515094</v>
      </c>
      <c r="AF15" s="19">
        <f t="shared" si="6"/>
        <v>605227.00000000023</v>
      </c>
    </row>
    <row r="16" spans="1:32">
      <c r="A16">
        <v>15</v>
      </c>
      <c r="B16" t="s">
        <v>349</v>
      </c>
      <c r="C16">
        <v>91437</v>
      </c>
      <c r="D16">
        <v>85702</v>
      </c>
      <c r="E16">
        <v>83005</v>
      </c>
      <c r="F16">
        <v>81961</v>
      </c>
      <c r="G16">
        <v>81494</v>
      </c>
      <c r="H16" s="9">
        <f t="shared" si="0"/>
        <v>-1.2871257243937118E-2</v>
      </c>
      <c r="I16" s="10">
        <f t="shared" si="0"/>
        <v>-6.3746582255230777E-3</v>
      </c>
      <c r="J16" s="11">
        <f t="shared" si="0"/>
        <v>-2.528263060945557E-3</v>
      </c>
      <c r="K16" s="12">
        <f t="shared" si="0"/>
        <v>-1.1421725168889729E-3</v>
      </c>
      <c r="L16" s="17">
        <f t="shared" si="7"/>
        <v>91437</v>
      </c>
      <c r="M16" s="18">
        <f t="shared" si="8"/>
        <v>90260.090851386121</v>
      </c>
      <c r="N16" s="18">
        <f t="shared" si="1"/>
        <v>89098.330003176801</v>
      </c>
      <c r="O16" s="18">
        <f t="shared" si="1"/>
        <v>87951.52247770071</v>
      </c>
      <c r="P16" s="18">
        <f t="shared" si="1"/>
        <v>86819.475806894305</v>
      </c>
      <c r="Q16" s="18">
        <f t="shared" si="1"/>
        <v>85702</v>
      </c>
      <c r="R16" s="14">
        <f t="shared" si="9"/>
        <v>85155.679040756222</v>
      </c>
      <c r="S16" s="14">
        <f t="shared" si="2"/>
        <v>84612.840690909055</v>
      </c>
      <c r="T16" s="14">
        <f t="shared" si="2"/>
        <v>84073.462750013874</v>
      </c>
      <c r="U16" s="14">
        <f t="shared" si="2"/>
        <v>83537.523159146294</v>
      </c>
      <c r="V16" s="14">
        <f t="shared" si="2"/>
        <v>83005.000000000015</v>
      </c>
      <c r="W16" s="15">
        <f t="shared" si="3"/>
        <v>82795.141524626219</v>
      </c>
      <c r="X16" s="15">
        <f t="shared" si="4"/>
        <v>82585.813626683754</v>
      </c>
      <c r="Y16" s="15">
        <f t="shared" si="4"/>
        <v>82377.014964733273</v>
      </c>
      <c r="Z16" s="15">
        <f t="shared" si="4"/>
        <v>82168.744200726971</v>
      </c>
      <c r="AA16" s="15">
        <f t="shared" si="4"/>
        <v>81960.999999999985</v>
      </c>
      <c r="AB16" s="19">
        <f t="shared" si="5"/>
        <v>81867.386398343268</v>
      </c>
      <c r="AC16" s="19">
        <f t="shared" si="6"/>
        <v>81773.879719569552</v>
      </c>
      <c r="AD16" s="19">
        <f t="shared" si="6"/>
        <v>81680.479841554479</v>
      </c>
      <c r="AE16" s="19">
        <f t="shared" si="6"/>
        <v>81587.186642313158</v>
      </c>
      <c r="AF16" s="19">
        <f t="shared" si="6"/>
        <v>81494.000000000015</v>
      </c>
    </row>
    <row r="17" spans="1:32">
      <c r="A17">
        <v>16</v>
      </c>
      <c r="B17" t="s">
        <v>350</v>
      </c>
      <c r="C17">
        <v>57076</v>
      </c>
      <c r="D17">
        <v>56456</v>
      </c>
      <c r="E17">
        <v>57302</v>
      </c>
      <c r="F17">
        <v>58250</v>
      </c>
      <c r="G17">
        <v>59418</v>
      </c>
      <c r="H17" s="9">
        <f t="shared" si="0"/>
        <v>-2.1820437476915977E-3</v>
      </c>
      <c r="I17" s="10">
        <f t="shared" si="0"/>
        <v>2.9792197659836983E-3</v>
      </c>
      <c r="J17" s="11">
        <f t="shared" si="0"/>
        <v>3.2871037796888825E-3</v>
      </c>
      <c r="K17" s="12">
        <f t="shared" si="0"/>
        <v>3.9785170341664067E-3</v>
      </c>
      <c r="L17" s="17">
        <f t="shared" si="7"/>
        <v>57076</v>
      </c>
      <c r="M17" s="18">
        <f t="shared" si="8"/>
        <v>56951.457671056756</v>
      </c>
      <c r="N17" s="18">
        <f t="shared" si="1"/>
        <v>56827.187098923707</v>
      </c>
      <c r="O17" s="18">
        <f t="shared" si="1"/>
        <v>56703.187690615603</v>
      </c>
      <c r="P17" s="18">
        <f t="shared" si="1"/>
        <v>56579.458854441109</v>
      </c>
      <c r="Q17" s="18">
        <f t="shared" si="1"/>
        <v>56456</v>
      </c>
      <c r="R17" s="14">
        <f t="shared" si="9"/>
        <v>56624.194831108376</v>
      </c>
      <c r="S17" s="14">
        <f t="shared" si="2"/>
        <v>56792.890751582127</v>
      </c>
      <c r="T17" s="14">
        <f t="shared" si="2"/>
        <v>56962.089254276594</v>
      </c>
      <c r="U17" s="14">
        <f t="shared" si="2"/>
        <v>57131.79183649466</v>
      </c>
      <c r="V17" s="14">
        <f t="shared" si="2"/>
        <v>57302.000000000015</v>
      </c>
      <c r="W17" s="15">
        <f t="shared" si="3"/>
        <v>57490.357620783732</v>
      </c>
      <c r="X17" s="15">
        <f t="shared" si="4"/>
        <v>57679.334392614677</v>
      </c>
      <c r="Y17" s="15">
        <f t="shared" si="4"/>
        <v>57868.932350706578</v>
      </c>
      <c r="Z17" s="15">
        <f t="shared" si="4"/>
        <v>58059.153536963146</v>
      </c>
      <c r="AA17" s="15">
        <f t="shared" si="4"/>
        <v>58250.000000000036</v>
      </c>
      <c r="AB17" s="19">
        <f t="shared" si="5"/>
        <v>58481.748617240191</v>
      </c>
      <c r="AC17" s="19">
        <f t="shared" si="6"/>
        <v>58714.419250301718</v>
      </c>
      <c r="AD17" s="19">
        <f t="shared" si="6"/>
        <v>58948.015567440234</v>
      </c>
      <c r="AE17" s="19">
        <f t="shared" si="6"/>
        <v>59182.541251505601</v>
      </c>
      <c r="AF17" s="19">
        <f t="shared" si="6"/>
        <v>59417.999999999971</v>
      </c>
    </row>
    <row r="18" spans="1:32">
      <c r="A18">
        <v>17</v>
      </c>
      <c r="B18" t="s">
        <v>351</v>
      </c>
      <c r="C18">
        <v>393253</v>
      </c>
      <c r="D18">
        <v>381392</v>
      </c>
      <c r="E18">
        <v>373760</v>
      </c>
      <c r="F18">
        <v>367610</v>
      </c>
      <c r="G18">
        <v>363220</v>
      </c>
      <c r="H18" s="9">
        <f t="shared" si="0"/>
        <v>-6.1063704831966215E-3</v>
      </c>
      <c r="I18" s="10">
        <f t="shared" si="0"/>
        <v>-4.0346064954269734E-3</v>
      </c>
      <c r="J18" s="11">
        <f t="shared" si="0"/>
        <v>-3.3127579898364345E-3</v>
      </c>
      <c r="K18" s="12">
        <f t="shared" si="0"/>
        <v>-2.3998921039007914E-3</v>
      </c>
      <c r="L18" s="17">
        <f t="shared" si="7"/>
        <v>393253</v>
      </c>
      <c r="M18" s="18">
        <f t="shared" si="8"/>
        <v>390851.65148837148</v>
      </c>
      <c r="N18" s="18">
        <f t="shared" si="1"/>
        <v>388464.96650041424</v>
      </c>
      <c r="O18" s="18">
        <f t="shared" si="1"/>
        <v>386092.85549522017</v>
      </c>
      <c r="P18" s="18">
        <f t="shared" si="1"/>
        <v>383735.22947865108</v>
      </c>
      <c r="Q18" s="18">
        <f t="shared" si="1"/>
        <v>381391.99999999994</v>
      </c>
      <c r="R18" s="14">
        <f t="shared" si="9"/>
        <v>379853.23335949611</v>
      </c>
      <c r="S18" s="14">
        <f t="shared" si="2"/>
        <v>378320.67503687495</v>
      </c>
      <c r="T18" s="14">
        <f t="shared" si="2"/>
        <v>376794.29998401686</v>
      </c>
      <c r="U18" s="14">
        <f t="shared" si="2"/>
        <v>375274.08325386146</v>
      </c>
      <c r="V18" s="14">
        <f t="shared" si="2"/>
        <v>373760.00000000006</v>
      </c>
      <c r="W18" s="15">
        <f t="shared" si="3"/>
        <v>372521.82357371872</v>
      </c>
      <c r="X18" s="15">
        <f t="shared" si="4"/>
        <v>371287.74892628647</v>
      </c>
      <c r="Y18" s="15">
        <f t="shared" si="4"/>
        <v>370057.76246950252</v>
      </c>
      <c r="Z18" s="15">
        <f t="shared" si="4"/>
        <v>368831.85066018067</v>
      </c>
      <c r="AA18" s="15">
        <f t="shared" si="4"/>
        <v>367610</v>
      </c>
      <c r="AB18" s="19">
        <f t="shared" si="5"/>
        <v>366727.77566368505</v>
      </c>
      <c r="AC18" s="19">
        <f t="shared" si="6"/>
        <v>365847.66857058869</v>
      </c>
      <c r="AD18" s="19">
        <f t="shared" si="6"/>
        <v>364969.67363955564</v>
      </c>
      <c r="AE18" s="19">
        <f t="shared" si="6"/>
        <v>364093.78580162482</v>
      </c>
      <c r="AF18" s="19">
        <f t="shared" si="6"/>
        <v>363220.00000000017</v>
      </c>
    </row>
    <row r="19" spans="1:32">
      <c r="A19">
        <v>18</v>
      </c>
      <c r="B19" t="s">
        <v>352</v>
      </c>
      <c r="C19">
        <v>265014</v>
      </c>
      <c r="D19">
        <v>306009</v>
      </c>
      <c r="E19">
        <v>323846</v>
      </c>
      <c r="F19">
        <v>334609</v>
      </c>
      <c r="G19">
        <v>342963</v>
      </c>
      <c r="H19" s="9">
        <f t="shared" si="0"/>
        <v>2.9184119850134804E-2</v>
      </c>
      <c r="I19" s="10">
        <f t="shared" si="0"/>
        <v>1.1395151876258058E-2</v>
      </c>
      <c r="J19" s="11">
        <f t="shared" si="0"/>
        <v>6.5603437656802654E-3</v>
      </c>
      <c r="K19" s="12">
        <f t="shared" si="0"/>
        <v>4.9441589460383906E-3</v>
      </c>
      <c r="L19" s="17">
        <f t="shared" si="7"/>
        <v>265014</v>
      </c>
      <c r="M19" s="18">
        <f t="shared" si="8"/>
        <v>272748.20033796364</v>
      </c>
      <c r="N19" s="18">
        <f t="shared" si="1"/>
        <v>280708.11650553538</v>
      </c>
      <c r="O19" s="18">
        <f t="shared" si="1"/>
        <v>288900.33582053852</v>
      </c>
      <c r="P19" s="18">
        <f t="shared" si="1"/>
        <v>297331.63784586929</v>
      </c>
      <c r="Q19" s="18">
        <f t="shared" si="1"/>
        <v>306009</v>
      </c>
      <c r="R19" s="14">
        <f t="shared" si="9"/>
        <v>309496.01903050183</v>
      </c>
      <c r="S19" s="14">
        <f t="shared" si="2"/>
        <v>313022.77317245165</v>
      </c>
      <c r="T19" s="14">
        <f t="shared" si="2"/>
        <v>316589.71521347918</v>
      </c>
      <c r="U19" s="14">
        <f t="shared" si="2"/>
        <v>320197.30310079805</v>
      </c>
      <c r="V19" s="14">
        <f t="shared" si="2"/>
        <v>323845.99999999988</v>
      </c>
      <c r="W19" s="15">
        <f t="shared" si="3"/>
        <v>325970.5410871405</v>
      </c>
      <c r="X19" s="15">
        <f t="shared" si="4"/>
        <v>328109.01989415695</v>
      </c>
      <c r="Y19" s="15">
        <f t="shared" si="4"/>
        <v>330261.52785728307</v>
      </c>
      <c r="Z19" s="15">
        <f t="shared" si="4"/>
        <v>332428.15701260563</v>
      </c>
      <c r="AA19" s="15">
        <f t="shared" si="4"/>
        <v>334608.99999999988</v>
      </c>
      <c r="AB19" s="19">
        <f t="shared" si="5"/>
        <v>336263.36008077493</v>
      </c>
      <c r="AC19" s="19">
        <f t="shared" si="6"/>
        <v>337925.89958074322</v>
      </c>
      <c r="AD19" s="19">
        <f t="shared" si="6"/>
        <v>339596.65894025343</v>
      </c>
      <c r="AE19" s="19">
        <f t="shared" si="6"/>
        <v>341275.6787995976</v>
      </c>
      <c r="AF19" s="19">
        <f t="shared" si="6"/>
        <v>342962.99999999994</v>
      </c>
    </row>
    <row r="20" spans="1:32">
      <c r="A20">
        <v>19</v>
      </c>
      <c r="B20" t="s">
        <v>353</v>
      </c>
      <c r="C20">
        <v>279198</v>
      </c>
      <c r="D20">
        <v>291219</v>
      </c>
      <c r="E20">
        <v>302456</v>
      </c>
      <c r="F20">
        <v>310946</v>
      </c>
      <c r="G20">
        <v>317210</v>
      </c>
      <c r="H20" s="9">
        <f t="shared" si="0"/>
        <v>8.4665106606629514E-3</v>
      </c>
      <c r="I20" s="10">
        <f t="shared" si="0"/>
        <v>7.6007906474138132E-3</v>
      </c>
      <c r="J20" s="11">
        <f t="shared" si="0"/>
        <v>5.5520460599089994E-3</v>
      </c>
      <c r="K20" s="12">
        <f t="shared" si="0"/>
        <v>3.9969167417350793E-3</v>
      </c>
      <c r="L20" s="17">
        <f t="shared" si="7"/>
        <v>279198</v>
      </c>
      <c r="M20" s="18">
        <f t="shared" si="8"/>
        <v>281561.83284343575</v>
      </c>
      <c r="N20" s="18">
        <f t="shared" si="1"/>
        <v>283945.67910284048</v>
      </c>
      <c r="O20" s="18">
        <f t="shared" si="1"/>
        <v>286349.70822201384</v>
      </c>
      <c r="P20" s="18">
        <f t="shared" si="1"/>
        <v>288774.09107935324</v>
      </c>
      <c r="Q20" s="18">
        <f t="shared" si="1"/>
        <v>291218.99999999983</v>
      </c>
      <c r="R20" s="14">
        <f t="shared" si="9"/>
        <v>293432.4946515492</v>
      </c>
      <c r="S20" s="14">
        <f t="shared" si="2"/>
        <v>295662.81361254398</v>
      </c>
      <c r="T20" s="14">
        <f t="shared" si="2"/>
        <v>297910.08476103825</v>
      </c>
      <c r="U20" s="14">
        <f t="shared" si="2"/>
        <v>300174.43694706023</v>
      </c>
      <c r="V20" s="14">
        <f t="shared" si="2"/>
        <v>302456.00000000017</v>
      </c>
      <c r="W20" s="15">
        <f t="shared" si="3"/>
        <v>304135.24964309583</v>
      </c>
      <c r="X20" s="15">
        <f t="shared" si="4"/>
        <v>305823.82255755621</v>
      </c>
      <c r="Y20" s="15">
        <f t="shared" si="4"/>
        <v>307521.77050661319</v>
      </c>
      <c r="Z20" s="15">
        <f t="shared" si="4"/>
        <v>309229.14554089069</v>
      </c>
      <c r="AA20" s="15">
        <f t="shared" si="4"/>
        <v>310946</v>
      </c>
      <c r="AB20" s="19">
        <f t="shared" si="5"/>
        <v>312188.82527317555</v>
      </c>
      <c r="AC20" s="19">
        <f t="shared" si="6"/>
        <v>313436.61801549251</v>
      </c>
      <c r="AD20" s="19">
        <f t="shared" si="6"/>
        <v>314689.39808151143</v>
      </c>
      <c r="AE20" s="19">
        <f t="shared" si="6"/>
        <v>315947.18540514994</v>
      </c>
      <c r="AF20" s="19">
        <f t="shared" si="6"/>
        <v>317209.99999999988</v>
      </c>
    </row>
    <row r="21" spans="1:32">
      <c r="A21">
        <v>20</v>
      </c>
      <c r="B21" t="s">
        <v>354</v>
      </c>
      <c r="C21">
        <v>380150</v>
      </c>
      <c r="D21">
        <v>340382</v>
      </c>
      <c r="E21">
        <v>332449</v>
      </c>
      <c r="F21">
        <v>323896</v>
      </c>
      <c r="G21">
        <v>316688</v>
      </c>
      <c r="H21" s="9">
        <f t="shared" si="0"/>
        <v>-2.1857074535300502E-2</v>
      </c>
      <c r="I21" s="10">
        <f t="shared" si="0"/>
        <v>-4.7053054945648265E-3</v>
      </c>
      <c r="J21" s="11">
        <f t="shared" si="0"/>
        <v>-5.1992346001746848E-3</v>
      </c>
      <c r="K21" s="12">
        <f t="shared" si="0"/>
        <v>-4.4909682141278662E-3</v>
      </c>
      <c r="L21" s="17">
        <f t="shared" si="7"/>
        <v>380150</v>
      </c>
      <c r="M21" s="18">
        <f t="shared" si="8"/>
        <v>371841.03311540553</v>
      </c>
      <c r="N21" s="18">
        <f t="shared" si="1"/>
        <v>363713.67593931896</v>
      </c>
      <c r="O21" s="18">
        <f t="shared" si="1"/>
        <v>355763.95901480515</v>
      </c>
      <c r="P21" s="18">
        <f t="shared" si="1"/>
        <v>347987.99964564497</v>
      </c>
      <c r="Q21" s="18">
        <f t="shared" si="1"/>
        <v>340382</v>
      </c>
      <c r="R21" s="14">
        <f t="shared" si="9"/>
        <v>338780.39870514901</v>
      </c>
      <c r="S21" s="14">
        <f t="shared" si="2"/>
        <v>337186.33343367081</v>
      </c>
      <c r="T21" s="14">
        <f t="shared" si="2"/>
        <v>335599.76872627321</v>
      </c>
      <c r="U21" s="14">
        <f t="shared" si="2"/>
        <v>334020.66929051076</v>
      </c>
      <c r="V21" s="14">
        <f t="shared" si="2"/>
        <v>332448.99999999988</v>
      </c>
      <c r="W21" s="15">
        <f t="shared" si="3"/>
        <v>330720.51965640654</v>
      </c>
      <c r="X21" s="15">
        <f t="shared" si="4"/>
        <v>329001.02608762123</v>
      </c>
      <c r="Y21" s="15">
        <f t="shared" si="4"/>
        <v>327290.47256929352</v>
      </c>
      <c r="Z21" s="15">
        <f t="shared" si="4"/>
        <v>325588.81262000371</v>
      </c>
      <c r="AA21" s="15">
        <f t="shared" si="4"/>
        <v>323896</v>
      </c>
      <c r="AB21" s="19">
        <f t="shared" si="5"/>
        <v>322441.39335931686</v>
      </c>
      <c r="AC21" s="19">
        <f t="shared" si="6"/>
        <v>320993.31931082107</v>
      </c>
      <c r="AD21" s="19">
        <f t="shared" si="6"/>
        <v>319551.74851684878</v>
      </c>
      <c r="AE21" s="19">
        <f t="shared" si="6"/>
        <v>318116.65177149064</v>
      </c>
      <c r="AF21" s="19">
        <f t="shared" si="6"/>
        <v>316688.00000000012</v>
      </c>
    </row>
    <row r="22" spans="1:32">
      <c r="A22">
        <v>21</v>
      </c>
      <c r="B22" t="s">
        <v>355</v>
      </c>
      <c r="C22">
        <v>368538</v>
      </c>
      <c r="D22">
        <v>344685</v>
      </c>
      <c r="E22">
        <v>328080</v>
      </c>
      <c r="F22">
        <v>323774</v>
      </c>
      <c r="G22">
        <v>327094</v>
      </c>
      <c r="H22" s="9">
        <f t="shared" si="0"/>
        <v>-1.3293425596502373E-2</v>
      </c>
      <c r="I22" s="10">
        <f t="shared" si="0"/>
        <v>-9.8261003610056186E-3</v>
      </c>
      <c r="J22" s="11">
        <f t="shared" si="0"/>
        <v>-2.6388599802502632E-3</v>
      </c>
      <c r="K22" s="12">
        <f t="shared" si="0"/>
        <v>2.0424529355205223E-3</v>
      </c>
      <c r="L22" s="17">
        <f t="shared" si="7"/>
        <v>368538</v>
      </c>
      <c r="M22" s="18">
        <f t="shared" si="8"/>
        <v>363638.86751751619</v>
      </c>
      <c r="N22" s="18">
        <f t="shared" si="1"/>
        <v>358804.86128817569</v>
      </c>
      <c r="O22" s="18">
        <f t="shared" si="1"/>
        <v>354035.11556097795</v>
      </c>
      <c r="P22" s="18">
        <f t="shared" si="1"/>
        <v>349328.77609371895</v>
      </c>
      <c r="Q22" s="18">
        <f t="shared" si="1"/>
        <v>344684.99999999988</v>
      </c>
      <c r="R22" s="14">
        <f t="shared" si="9"/>
        <v>341298.0905970668</v>
      </c>
      <c r="S22" s="14">
        <f t="shared" si="2"/>
        <v>337944.46130584041</v>
      </c>
      <c r="T22" s="14">
        <f t="shared" si="2"/>
        <v>334623.78511260322</v>
      </c>
      <c r="U22" s="14">
        <f t="shared" si="2"/>
        <v>331335.73821690719</v>
      </c>
      <c r="V22" s="14">
        <f t="shared" si="2"/>
        <v>328080</v>
      </c>
      <c r="W22" s="15">
        <f t="shared" si="3"/>
        <v>327214.24281767948</v>
      </c>
      <c r="X22" s="15">
        <f t="shared" si="4"/>
        <v>326350.77024734003</v>
      </c>
      <c r="Y22" s="15">
        <f t="shared" si="4"/>
        <v>325489.57626021048</v>
      </c>
      <c r="Z22" s="15">
        <f t="shared" si="4"/>
        <v>324630.65484342881</v>
      </c>
      <c r="AA22" s="15">
        <f t="shared" si="4"/>
        <v>323774.00000000006</v>
      </c>
      <c r="AB22" s="19">
        <f t="shared" si="5"/>
        <v>324435.2931567452</v>
      </c>
      <c r="AC22" s="19">
        <f t="shared" si="6"/>
        <v>325097.93697363965</v>
      </c>
      <c r="AD22" s="19">
        <f t="shared" si="6"/>
        <v>325761.9342093431</v>
      </c>
      <c r="AE22" s="19">
        <f t="shared" si="6"/>
        <v>326427.28762814985</v>
      </c>
      <c r="AF22" s="19">
        <f t="shared" si="6"/>
        <v>327093.99999999994</v>
      </c>
    </row>
    <row r="23" spans="1:32">
      <c r="A23">
        <v>22</v>
      </c>
      <c r="B23" t="s">
        <v>356</v>
      </c>
      <c r="C23">
        <v>139266</v>
      </c>
      <c r="D23">
        <v>151416</v>
      </c>
      <c r="E23">
        <v>158748</v>
      </c>
      <c r="F23">
        <v>159793</v>
      </c>
      <c r="G23">
        <v>162221</v>
      </c>
      <c r="H23" s="9">
        <f t="shared" si="0"/>
        <v>1.6869762561645629E-2</v>
      </c>
      <c r="I23" s="10">
        <f t="shared" si="0"/>
        <v>9.5022672745039838E-3</v>
      </c>
      <c r="J23" s="11">
        <f t="shared" si="0"/>
        <v>1.3130990302856471E-3</v>
      </c>
      <c r="K23" s="12">
        <f t="shared" si="0"/>
        <v>3.020628025551586E-3</v>
      </c>
      <c r="L23" s="17">
        <f t="shared" si="7"/>
        <v>139266</v>
      </c>
      <c r="M23" s="18">
        <f t="shared" si="8"/>
        <v>141615.38435291013</v>
      </c>
      <c r="N23" s="18">
        <f t="shared" si="1"/>
        <v>144004.4022620199</v>
      </c>
      <c r="O23" s="18">
        <f t="shared" si="1"/>
        <v>146433.72233601188</v>
      </c>
      <c r="P23" s="18">
        <f t="shared" si="1"/>
        <v>148904.02446283834</v>
      </c>
      <c r="Q23" s="18">
        <f t="shared" si="1"/>
        <v>151415.99999999988</v>
      </c>
      <c r="R23" s="14">
        <f t="shared" si="9"/>
        <v>152854.7953016363</v>
      </c>
      <c r="S23" s="14">
        <f t="shared" si="2"/>
        <v>154307.26242078203</v>
      </c>
      <c r="T23" s="14">
        <f t="shared" si="2"/>
        <v>155773.53127070132</v>
      </c>
      <c r="U23" s="14">
        <f t="shared" si="2"/>
        <v>157253.73299912884</v>
      </c>
      <c r="V23" s="14">
        <f t="shared" si="2"/>
        <v>158748.00000000006</v>
      </c>
      <c r="W23" s="15">
        <f t="shared" si="3"/>
        <v>158956.45184485978</v>
      </c>
      <c r="X23" s="15">
        <f t="shared" si="4"/>
        <v>159165.17740763491</v>
      </c>
      <c r="Y23" s="15">
        <f t="shared" si="4"/>
        <v>159374.17704774413</v>
      </c>
      <c r="Z23" s="15">
        <f t="shared" si="4"/>
        <v>159583.45112507811</v>
      </c>
      <c r="AA23" s="15">
        <f t="shared" si="4"/>
        <v>159793.00000000009</v>
      </c>
      <c r="AB23" s="19">
        <f t="shared" si="5"/>
        <v>160275.67521408695</v>
      </c>
      <c r="AC23" s="19">
        <f t="shared" si="6"/>
        <v>160759.80841045282</v>
      </c>
      <c r="AD23" s="19">
        <f t="shared" si="6"/>
        <v>161245.40399311975</v>
      </c>
      <c r="AE23" s="19">
        <f t="shared" si="6"/>
        <v>161732.46637941274</v>
      </c>
      <c r="AF23" s="19">
        <f t="shared" si="6"/>
        <v>162220.99999999997</v>
      </c>
    </row>
    <row r="24" spans="1:32">
      <c r="A24">
        <v>23</v>
      </c>
      <c r="B24" t="s">
        <v>357</v>
      </c>
      <c r="C24">
        <v>34910</v>
      </c>
      <c r="D24">
        <v>38755</v>
      </c>
      <c r="E24">
        <v>42503</v>
      </c>
      <c r="F24">
        <v>46217</v>
      </c>
      <c r="G24">
        <v>49913</v>
      </c>
      <c r="H24" s="9">
        <f t="shared" si="0"/>
        <v>2.1117169066729335E-2</v>
      </c>
      <c r="I24" s="10">
        <f t="shared" si="0"/>
        <v>1.8634470944194126E-2</v>
      </c>
      <c r="J24" s="11">
        <f t="shared" si="0"/>
        <v>1.6895752422411148E-2</v>
      </c>
      <c r="K24" s="12">
        <f t="shared" si="0"/>
        <v>1.550574447741937E-2</v>
      </c>
      <c r="L24" s="17">
        <f t="shared" si="7"/>
        <v>34910</v>
      </c>
      <c r="M24" s="18">
        <f t="shared" si="8"/>
        <v>35647.200372119521</v>
      </c>
      <c r="N24" s="18">
        <f t="shared" si="1"/>
        <v>36399.968329133146</v>
      </c>
      <c r="O24" s="18">
        <f t="shared" si="1"/>
        <v>37168.632614363043</v>
      </c>
      <c r="P24" s="18">
        <f t="shared" si="1"/>
        <v>37953.528913259695</v>
      </c>
      <c r="Q24" s="18">
        <f t="shared" si="1"/>
        <v>38755</v>
      </c>
      <c r="R24" s="14">
        <f t="shared" si="9"/>
        <v>39477.178921442246</v>
      </c>
      <c r="S24" s="14">
        <f t="shared" si="2"/>
        <v>40212.815265012614</v>
      </c>
      <c r="T24" s="14">
        <f t="shared" si="2"/>
        <v>40962.159802652735</v>
      </c>
      <c r="U24" s="14">
        <f t="shared" si="2"/>
        <v>41725.467979306704</v>
      </c>
      <c r="V24" s="14">
        <f t="shared" si="2"/>
        <v>42503</v>
      </c>
      <c r="W24" s="15">
        <f t="shared" si="3"/>
        <v>43221.120165209744</v>
      </c>
      <c r="X24" s="15">
        <f t="shared" si="4"/>
        <v>43951.373510940408</v>
      </c>
      <c r="Y24" s="15">
        <f t="shared" si="4"/>
        <v>44693.965036406174</v>
      </c>
      <c r="Z24" s="15">
        <f t="shared" si="4"/>
        <v>45449.103204437197</v>
      </c>
      <c r="AA24" s="15">
        <f t="shared" si="4"/>
        <v>46216.999999999978</v>
      </c>
      <c r="AB24" s="19">
        <f t="shared" si="5"/>
        <v>46933.628992512888</v>
      </c>
      <c r="AC24" s="19">
        <f t="shared" si="6"/>
        <v>47661.369851068797</v>
      </c>
      <c r="AD24" s="19">
        <f t="shared" si="6"/>
        <v>48400.394873423247</v>
      </c>
      <c r="AE24" s="19">
        <f t="shared" si="6"/>
        <v>49150.879028936746</v>
      </c>
      <c r="AF24" s="19">
        <f t="shared" si="6"/>
        <v>49912.999999999993</v>
      </c>
    </row>
    <row r="25" spans="1:32">
      <c r="A25">
        <v>24</v>
      </c>
      <c r="B25" t="s">
        <v>358</v>
      </c>
      <c r="C25">
        <v>110096</v>
      </c>
      <c r="D25">
        <v>109092</v>
      </c>
      <c r="E25">
        <v>105909</v>
      </c>
      <c r="F25">
        <v>105979</v>
      </c>
      <c r="G25">
        <v>108759</v>
      </c>
      <c r="H25" s="9">
        <f t="shared" si="0"/>
        <v>-1.8305523979489369E-3</v>
      </c>
      <c r="I25" s="10">
        <f t="shared" si="0"/>
        <v>-5.9047635717556224E-3</v>
      </c>
      <c r="J25" s="11">
        <f t="shared" si="0"/>
        <v>1.321540206820071E-4</v>
      </c>
      <c r="K25" s="12">
        <f t="shared" si="0"/>
        <v>5.1921253847480031E-3</v>
      </c>
      <c r="L25" s="17">
        <f t="shared" si="7"/>
        <v>110096</v>
      </c>
      <c r="M25" s="18">
        <f t="shared" si="8"/>
        <v>109894.46350319541</v>
      </c>
      <c r="N25" s="18">
        <f t="shared" si="1"/>
        <v>109693.29592950833</v>
      </c>
      <c r="O25" s="18">
        <f t="shared" si="1"/>
        <v>109492.49660360564</v>
      </c>
      <c r="P25" s="18">
        <f t="shared" si="1"/>
        <v>109292.0648513905</v>
      </c>
      <c r="Q25" s="18">
        <f t="shared" si="1"/>
        <v>109092</v>
      </c>
      <c r="R25" s="14">
        <f t="shared" si="9"/>
        <v>108447.83753243003</v>
      </c>
      <c r="S25" s="14">
        <f t="shared" si="2"/>
        <v>107807.47869193286</v>
      </c>
      <c r="T25" s="14">
        <f t="shared" si="2"/>
        <v>107170.90101898991</v>
      </c>
      <c r="U25" s="14">
        <f t="shared" si="2"/>
        <v>106538.08218670075</v>
      </c>
      <c r="V25" s="14">
        <f t="shared" si="2"/>
        <v>105909.00000000001</v>
      </c>
      <c r="W25" s="15">
        <f t="shared" si="3"/>
        <v>105922.99630017641</v>
      </c>
      <c r="X25" s="15">
        <f t="shared" si="4"/>
        <v>105936.99445002017</v>
      </c>
      <c r="Y25" s="15">
        <f t="shared" si="4"/>
        <v>105950.99444977571</v>
      </c>
      <c r="Z25" s="15">
        <f t="shared" si="4"/>
        <v>105964.99629968751</v>
      </c>
      <c r="AA25" s="15">
        <f t="shared" si="4"/>
        <v>105979.00000000007</v>
      </c>
      <c r="AB25" s="19">
        <f t="shared" si="5"/>
        <v>106529.25625615021</v>
      </c>
      <c r="AC25" s="19">
        <f t="shared" si="6"/>
        <v>107082.36951177609</v>
      </c>
      <c r="AD25" s="19">
        <f t="shared" si="6"/>
        <v>107638.35460077715</v>
      </c>
      <c r="AE25" s="19">
        <f t="shared" si="6"/>
        <v>108197.22643407235</v>
      </c>
      <c r="AF25" s="19">
        <f t="shared" si="6"/>
        <v>108759.00000000003</v>
      </c>
    </row>
    <row r="26" spans="1:32">
      <c r="A26">
        <v>25</v>
      </c>
      <c r="B26" t="s">
        <v>359</v>
      </c>
      <c r="C26">
        <v>168478</v>
      </c>
      <c r="D26">
        <v>184485</v>
      </c>
      <c r="E26">
        <v>200619</v>
      </c>
      <c r="F26">
        <v>216799</v>
      </c>
      <c r="G26">
        <v>232950</v>
      </c>
      <c r="H26" s="9">
        <f t="shared" si="0"/>
        <v>1.8318356227608579E-2</v>
      </c>
      <c r="I26" s="10">
        <f t="shared" si="0"/>
        <v>1.6909255552259195E-2</v>
      </c>
      <c r="J26" s="11">
        <f t="shared" si="0"/>
        <v>1.5633559202324454E-2</v>
      </c>
      <c r="K26" s="12">
        <f t="shared" si="0"/>
        <v>1.4474390251853819E-2</v>
      </c>
      <c r="L26" s="17">
        <f t="shared" si="7"/>
        <v>168478</v>
      </c>
      <c r="M26" s="18">
        <f t="shared" si="8"/>
        <v>171564.24002051505</v>
      </c>
      <c r="N26" s="18">
        <f t="shared" si="1"/>
        <v>174707.01488512979</v>
      </c>
      <c r="O26" s="18">
        <f t="shared" si="1"/>
        <v>177907.36021925771</v>
      </c>
      <c r="P26" s="18">
        <f t="shared" si="1"/>
        <v>181166.33061926754</v>
      </c>
      <c r="Q26" s="18">
        <f t="shared" si="1"/>
        <v>184485</v>
      </c>
      <c r="R26" s="14">
        <f t="shared" si="9"/>
        <v>187604.50401055854</v>
      </c>
      <c r="S26" s="14">
        <f t="shared" si="2"/>
        <v>190776.7565116279</v>
      </c>
      <c r="T26" s="14">
        <f t="shared" si="2"/>
        <v>194002.64944091413</v>
      </c>
      <c r="U26" s="14">
        <f t="shared" si="2"/>
        <v>197283.08981812591</v>
      </c>
      <c r="V26" s="14">
        <f t="shared" si="2"/>
        <v>200618.99999999991</v>
      </c>
      <c r="W26" s="15">
        <f t="shared" si="3"/>
        <v>203755.38901361113</v>
      </c>
      <c r="X26" s="15">
        <f t="shared" si="4"/>
        <v>206940.81095054807</v>
      </c>
      <c r="Y26" s="15">
        <f t="shared" si="4"/>
        <v>210176.03236992049</v>
      </c>
      <c r="Z26" s="15">
        <f t="shared" si="4"/>
        <v>213461.83181488531</v>
      </c>
      <c r="AA26" s="15">
        <f t="shared" si="4"/>
        <v>216798.99999999994</v>
      </c>
      <c r="AB26" s="19">
        <f t="shared" si="5"/>
        <v>219937.03333221166</v>
      </c>
      <c r="AC26" s="19">
        <f t="shared" si="6"/>
        <v>223120.48778349708</v>
      </c>
      <c r="AD26" s="19">
        <f t="shared" si="6"/>
        <v>226350.0207968594</v>
      </c>
      <c r="AE26" s="19">
        <f t="shared" si="6"/>
        <v>229626.29933138838</v>
      </c>
      <c r="AF26" s="19">
        <f t="shared" si="6"/>
        <v>232949.99999999988</v>
      </c>
    </row>
    <row r="27" spans="1:32">
      <c r="A27">
        <v>26</v>
      </c>
      <c r="B27" t="s">
        <v>360</v>
      </c>
      <c r="C27">
        <v>108508</v>
      </c>
      <c r="D27">
        <v>114045</v>
      </c>
      <c r="E27">
        <v>119721</v>
      </c>
      <c r="F27">
        <v>125031</v>
      </c>
      <c r="G27">
        <v>129436</v>
      </c>
      <c r="H27" s="9">
        <f t="shared" si="0"/>
        <v>1.0003545126701319E-2</v>
      </c>
      <c r="I27" s="10">
        <f t="shared" si="0"/>
        <v>9.7615215388970888E-3</v>
      </c>
      <c r="J27" s="11">
        <f t="shared" si="0"/>
        <v>8.7173105277611462E-3</v>
      </c>
      <c r="K27" s="12">
        <f t="shared" si="0"/>
        <v>6.9490018260771613E-3</v>
      </c>
      <c r="L27" s="17">
        <f t="shared" si="7"/>
        <v>108508</v>
      </c>
      <c r="M27" s="18">
        <f t="shared" si="8"/>
        <v>109593.46467460811</v>
      </c>
      <c r="N27" s="18">
        <f t="shared" ref="N27:Q28" si="10">M27*(1+$H27)</f>
        <v>110689.7878440721</v>
      </c>
      <c r="O27" s="18">
        <f t="shared" si="10"/>
        <v>111797.07813183527</v>
      </c>
      <c r="P27" s="18">
        <f t="shared" si="10"/>
        <v>112915.44524796044</v>
      </c>
      <c r="Q27" s="18">
        <f t="shared" si="10"/>
        <v>114044.99999999999</v>
      </c>
      <c r="R27" s="14">
        <f t="shared" si="9"/>
        <v>115158.25272390351</v>
      </c>
      <c r="S27" s="14">
        <f t="shared" ref="S27:V28" si="11">R27*(1+$I27)</f>
        <v>116282.37248824965</v>
      </c>
      <c r="T27" s="14">
        <f t="shared" si="11"/>
        <v>117417.46537188775</v>
      </c>
      <c r="U27" s="14">
        <f t="shared" si="11"/>
        <v>118563.63848915814</v>
      </c>
      <c r="V27" s="14">
        <f t="shared" si="11"/>
        <v>119721.00000000006</v>
      </c>
      <c r="W27" s="15">
        <f t="shared" si="3"/>
        <v>120764.6451336941</v>
      </c>
      <c r="X27" s="15">
        <f t="shared" ref="X27:AA28" si="12">W27*(1+$J27)</f>
        <v>121817.38804609938</v>
      </c>
      <c r="Y27" s="15">
        <f t="shared" si="12"/>
        <v>122879.30804537801</v>
      </c>
      <c r="Z27" s="15">
        <f t="shared" si="12"/>
        <v>123950.48513104599</v>
      </c>
      <c r="AA27" s="15">
        <f t="shared" si="12"/>
        <v>125030.99999999996</v>
      </c>
      <c r="AB27" s="19">
        <f t="shared" si="5"/>
        <v>125899.84064731625</v>
      </c>
      <c r="AC27" s="19">
        <f t="shared" ref="AC27:AF28" si="13">AB27*(1+$K27)</f>
        <v>126774.71886987727</v>
      </c>
      <c r="AD27" s="19">
        <f t="shared" si="13"/>
        <v>127655.67662280446</v>
      </c>
      <c r="AE27" s="19">
        <f t="shared" si="13"/>
        <v>128542.75615276545</v>
      </c>
      <c r="AF27" s="19">
        <f t="shared" si="13"/>
        <v>129436</v>
      </c>
    </row>
    <row r="28" spans="1:32">
      <c r="A28">
        <v>27</v>
      </c>
      <c r="B28" t="s">
        <v>361</v>
      </c>
      <c r="C28">
        <v>165172</v>
      </c>
      <c r="D28">
        <v>165001</v>
      </c>
      <c r="E28">
        <v>165001</v>
      </c>
      <c r="F28">
        <v>165001</v>
      </c>
      <c r="G28">
        <v>165001</v>
      </c>
      <c r="H28" s="9">
        <f t="shared" si="0"/>
        <v>-2.0714268456423213E-4</v>
      </c>
      <c r="I28" s="10">
        <f t="shared" si="0"/>
        <v>0</v>
      </c>
      <c r="J28" s="11">
        <f t="shared" si="0"/>
        <v>0</v>
      </c>
      <c r="K28" s="12">
        <f t="shared" si="0"/>
        <v>0</v>
      </c>
      <c r="L28" s="17">
        <f t="shared" si="7"/>
        <v>165172</v>
      </c>
      <c r="M28" s="18">
        <f t="shared" si="8"/>
        <v>165137.78582850515</v>
      </c>
      <c r="N28" s="18">
        <f t="shared" si="10"/>
        <v>165103.57874422564</v>
      </c>
      <c r="O28" s="18">
        <f t="shared" si="10"/>
        <v>165069.37874569339</v>
      </c>
      <c r="P28" s="18">
        <f t="shared" si="10"/>
        <v>165035.18583144067</v>
      </c>
      <c r="Q28" s="18">
        <f t="shared" si="10"/>
        <v>165001</v>
      </c>
      <c r="R28" s="14">
        <f t="shared" si="9"/>
        <v>165001</v>
      </c>
      <c r="S28" s="14">
        <f t="shared" si="11"/>
        <v>165001</v>
      </c>
      <c r="T28" s="14">
        <f t="shared" si="11"/>
        <v>165001</v>
      </c>
      <c r="U28" s="14">
        <f t="shared" si="11"/>
        <v>165001</v>
      </c>
      <c r="V28" s="14">
        <f t="shared" si="11"/>
        <v>165001</v>
      </c>
      <c r="W28" s="15">
        <f t="shared" si="3"/>
        <v>165001</v>
      </c>
      <c r="X28" s="15">
        <f t="shared" si="12"/>
        <v>165001</v>
      </c>
      <c r="Y28" s="15">
        <f t="shared" si="12"/>
        <v>165001</v>
      </c>
      <c r="Z28" s="15">
        <f t="shared" si="12"/>
        <v>165001</v>
      </c>
      <c r="AA28" s="15">
        <f t="shared" si="12"/>
        <v>165001</v>
      </c>
      <c r="AB28" s="19">
        <f t="shared" si="5"/>
        <v>165001</v>
      </c>
      <c r="AC28" s="19">
        <f t="shared" si="13"/>
        <v>165001</v>
      </c>
      <c r="AD28" s="19">
        <f t="shared" si="13"/>
        <v>165001</v>
      </c>
      <c r="AE28" s="19">
        <f t="shared" si="13"/>
        <v>165001</v>
      </c>
      <c r="AF28" s="19">
        <f t="shared" si="13"/>
        <v>165001</v>
      </c>
    </row>
    <row r="30" spans="1:32">
      <c r="Q30" s="18" t="b">
        <f>Q2=D2</f>
        <v>1</v>
      </c>
      <c r="V30" s="18" t="b">
        <f>V2=E2</f>
        <v>1</v>
      </c>
      <c r="AA30" s="18" t="b">
        <f>AA2=F2</f>
        <v>1</v>
      </c>
      <c r="AF30" s="18" t="b">
        <f>AF2=G2</f>
        <v>1</v>
      </c>
    </row>
    <row r="32" spans="1:32">
      <c r="B32" t="s">
        <v>448</v>
      </c>
    </row>
    <row r="33" spans="1:23">
      <c r="A33" t="str">
        <f>A1</f>
        <v>ID</v>
      </c>
      <c r="B33" t="str">
        <f>B1</f>
        <v>Land Cover</v>
      </c>
      <c r="C33" s="29">
        <f>L1</f>
        <v>2025</v>
      </c>
      <c r="D33" s="29">
        <f t="shared" ref="D33:W45" si="14">M1</f>
        <v>2026</v>
      </c>
      <c r="E33" s="29">
        <f t="shared" si="14"/>
        <v>2027</v>
      </c>
      <c r="F33" s="29">
        <f t="shared" si="14"/>
        <v>2028</v>
      </c>
      <c r="G33" s="29">
        <f t="shared" si="14"/>
        <v>2029</v>
      </c>
      <c r="H33" s="29">
        <f t="shared" si="14"/>
        <v>2030</v>
      </c>
      <c r="I33" s="29">
        <f t="shared" si="14"/>
        <v>2031</v>
      </c>
      <c r="J33" s="29">
        <f t="shared" si="14"/>
        <v>2032</v>
      </c>
      <c r="K33" s="29">
        <f t="shared" si="14"/>
        <v>2033</v>
      </c>
      <c r="L33" s="29">
        <f t="shared" si="14"/>
        <v>2034</v>
      </c>
      <c r="M33" s="29">
        <f t="shared" si="14"/>
        <v>2035</v>
      </c>
      <c r="N33" s="29">
        <f t="shared" si="14"/>
        <v>2036</v>
      </c>
      <c r="O33" s="29">
        <f t="shared" si="14"/>
        <v>2037</v>
      </c>
      <c r="P33" s="29">
        <f t="shared" si="14"/>
        <v>2038</v>
      </c>
      <c r="Q33" s="29">
        <f t="shared" si="14"/>
        <v>2039</v>
      </c>
      <c r="R33" s="29">
        <f t="shared" si="14"/>
        <v>2040</v>
      </c>
      <c r="S33" s="29">
        <f t="shared" si="14"/>
        <v>2041</v>
      </c>
      <c r="T33" s="29">
        <f t="shared" si="14"/>
        <v>2042</v>
      </c>
      <c r="U33" s="29">
        <f t="shared" si="14"/>
        <v>2043</v>
      </c>
      <c r="V33" s="29">
        <f t="shared" si="14"/>
        <v>2044</v>
      </c>
      <c r="W33" s="29">
        <f t="shared" si="14"/>
        <v>2045</v>
      </c>
    </row>
    <row r="34" spans="1:23">
      <c r="A34">
        <f t="shared" ref="A34:B49" si="15">A2</f>
        <v>1</v>
      </c>
      <c r="B34" t="str">
        <f t="shared" si="15"/>
        <v>Hutan lahan kering primer</v>
      </c>
      <c r="C34" s="29">
        <f>L2</f>
        <v>281147</v>
      </c>
      <c r="D34" s="29">
        <f t="shared" si="14"/>
        <v>275961.40519691119</v>
      </c>
      <c r="E34" s="29">
        <f t="shared" si="14"/>
        <v>270871.45570912655</v>
      </c>
      <c r="F34" s="29">
        <f t="shared" si="14"/>
        <v>265875.38741378515</v>
      </c>
      <c r="G34" s="29">
        <f t="shared" si="14"/>
        <v>260971.46872625817</v>
      </c>
      <c r="H34" s="29">
        <f t="shared" si="14"/>
        <v>256157.99999999991</v>
      </c>
      <c r="I34" s="29">
        <f t="shared" si="14"/>
        <v>253404.43412886368</v>
      </c>
      <c r="J34" s="29">
        <f t="shared" si="14"/>
        <v>250680.46766515044</v>
      </c>
      <c r="K34" s="29">
        <f t="shared" si="14"/>
        <v>247985.78243055596</v>
      </c>
      <c r="L34" s="29">
        <f t="shared" si="14"/>
        <v>245320.06366702792</v>
      </c>
      <c r="M34" s="29">
        <f t="shared" si="14"/>
        <v>242683.00000000006</v>
      </c>
      <c r="N34" s="29">
        <f t="shared" si="14"/>
        <v>241125.12683951354</v>
      </c>
      <c r="O34" s="29">
        <f t="shared" si="14"/>
        <v>239577.25425090134</v>
      </c>
      <c r="P34" s="29">
        <f t="shared" si="14"/>
        <v>238039.31803674327</v>
      </c>
      <c r="Q34" s="29">
        <f t="shared" si="14"/>
        <v>236511.25441172649</v>
      </c>
      <c r="R34" s="29">
        <f t="shared" si="14"/>
        <v>234993.00000000003</v>
      </c>
      <c r="S34" s="29">
        <f t="shared" si="14"/>
        <v>234148.75562838794</v>
      </c>
      <c r="T34" s="29">
        <f t="shared" si="14"/>
        <v>233307.54431971392</v>
      </c>
      <c r="U34" s="29">
        <f t="shared" si="14"/>
        <v>232469.35517728608</v>
      </c>
      <c r="V34" s="29">
        <f t="shared" si="14"/>
        <v>231634.17734356035</v>
      </c>
      <c r="W34" s="29">
        <f t="shared" si="14"/>
        <v>230801.99999999994</v>
      </c>
    </row>
    <row r="35" spans="1:23">
      <c r="A35">
        <f t="shared" si="15"/>
        <v>2</v>
      </c>
      <c r="B35" t="str">
        <f t="shared" si="15"/>
        <v>Hutan sekunder kerapatan tinggi</v>
      </c>
      <c r="C35" s="29">
        <f t="shared" ref="C35:R49" si="16">L3</f>
        <v>268650</v>
      </c>
      <c r="D35" s="29">
        <f t="shared" si="14"/>
        <v>267129.48541786231</v>
      </c>
      <c r="E35" s="29">
        <f t="shared" si="14"/>
        <v>265617.57669686177</v>
      </c>
      <c r="F35" s="29">
        <f t="shared" si="14"/>
        <v>264114.22512924718</v>
      </c>
      <c r="G35" s="29">
        <f t="shared" si="14"/>
        <v>262619.38228294521</v>
      </c>
      <c r="H35" s="29">
        <f t="shared" si="14"/>
        <v>261133.00000000006</v>
      </c>
      <c r="I35" s="29">
        <f t="shared" si="14"/>
        <v>260189.81113874738</v>
      </c>
      <c r="J35" s="29">
        <f t="shared" si="14"/>
        <v>259250.02899065622</v>
      </c>
      <c r="K35" s="29">
        <f t="shared" si="14"/>
        <v>258313.64125098562</v>
      </c>
      <c r="L35" s="29">
        <f t="shared" si="14"/>
        <v>257380.63565943827</v>
      </c>
      <c r="M35" s="29">
        <f t="shared" si="14"/>
        <v>256450.99999999997</v>
      </c>
      <c r="N35" s="29">
        <f t="shared" si="14"/>
        <v>255203.11457979825</v>
      </c>
      <c r="O35" s="29">
        <f t="shared" si="14"/>
        <v>253961.30134501183</v>
      </c>
      <c r="P35" s="29">
        <f t="shared" si="14"/>
        <v>252725.53074850838</v>
      </c>
      <c r="Q35" s="29">
        <f t="shared" si="14"/>
        <v>251495.77338693125</v>
      </c>
      <c r="R35" s="29">
        <f t="shared" si="14"/>
        <v>250271.99999999994</v>
      </c>
      <c r="S35" s="29">
        <f t="shared" si="14"/>
        <v>248683.15416504233</v>
      </c>
      <c r="T35" s="29">
        <f t="shared" si="14"/>
        <v>247104.39508004973</v>
      </c>
      <c r="U35" s="29">
        <f t="shared" si="14"/>
        <v>245535.65870953017</v>
      </c>
      <c r="V35" s="29">
        <f t="shared" si="14"/>
        <v>243976.88142451935</v>
      </c>
      <c r="W35" s="29">
        <f t="shared" si="14"/>
        <v>242427.99999999997</v>
      </c>
    </row>
    <row r="36" spans="1:23">
      <c r="A36">
        <f t="shared" si="15"/>
        <v>3</v>
      </c>
      <c r="B36" t="str">
        <f t="shared" si="15"/>
        <v>Hutan sekunder kerapatan rendah</v>
      </c>
      <c r="C36" s="29">
        <f t="shared" si="16"/>
        <v>182483</v>
      </c>
      <c r="D36" s="29">
        <f t="shared" si="14"/>
        <v>187204.83533475158</v>
      </c>
      <c r="E36" s="29">
        <f t="shared" si="14"/>
        <v>192048.85042832184</v>
      </c>
      <c r="F36" s="29">
        <f t="shared" si="14"/>
        <v>197018.20674069543</v>
      </c>
      <c r="G36" s="29">
        <f t="shared" si="14"/>
        <v>202116.14753615367</v>
      </c>
      <c r="H36" s="29">
        <f t="shared" si="14"/>
        <v>207346</v>
      </c>
      <c r="I36" s="29">
        <f t="shared" si="14"/>
        <v>211010.93116647884</v>
      </c>
      <c r="J36" s="29">
        <f t="shared" si="14"/>
        <v>214740.64159301107</v>
      </c>
      <c r="K36" s="29">
        <f t="shared" si="14"/>
        <v>218536.27628132861</v>
      </c>
      <c r="L36" s="29">
        <f t="shared" si="14"/>
        <v>222399.00047156942</v>
      </c>
      <c r="M36" s="29">
        <f t="shared" si="14"/>
        <v>226330.00000000015</v>
      </c>
      <c r="N36" s="29">
        <f t="shared" si="14"/>
        <v>228860.95806921681</v>
      </c>
      <c r="O36" s="29">
        <f t="shared" si="14"/>
        <v>231420.2188325004</v>
      </c>
      <c r="P36" s="29">
        <f t="shared" si="14"/>
        <v>234008.09878758385</v>
      </c>
      <c r="Q36" s="29">
        <f t="shared" si="14"/>
        <v>236624.91797146809</v>
      </c>
      <c r="R36" s="29">
        <f t="shared" si="14"/>
        <v>239271.00000000012</v>
      </c>
      <c r="S36" s="29">
        <f t="shared" si="14"/>
        <v>241436.64114649958</v>
      </c>
      <c r="T36" s="29">
        <f t="shared" si="14"/>
        <v>243621.88350491121</v>
      </c>
      <c r="U36" s="29">
        <f t="shared" si="14"/>
        <v>245826.90448574867</v>
      </c>
      <c r="V36" s="29">
        <f t="shared" si="14"/>
        <v>248051.88310526777</v>
      </c>
      <c r="W36" s="29">
        <f t="shared" si="14"/>
        <v>250296.99999999997</v>
      </c>
    </row>
    <row r="37" spans="1:23">
      <c r="A37">
        <f t="shared" si="15"/>
        <v>4</v>
      </c>
      <c r="B37" t="str">
        <f t="shared" si="15"/>
        <v>Hutan rawa primer</v>
      </c>
      <c r="C37" s="29">
        <f t="shared" si="16"/>
        <v>34376</v>
      </c>
      <c r="D37" s="29">
        <f t="shared" si="14"/>
        <v>34119.603714164594</v>
      </c>
      <c r="E37" s="29">
        <f t="shared" si="14"/>
        <v>33865.119781581168</v>
      </c>
      <c r="F37" s="29">
        <f t="shared" si="14"/>
        <v>33612.533938802233</v>
      </c>
      <c r="G37" s="29">
        <f t="shared" si="14"/>
        <v>33361.832028765421</v>
      </c>
      <c r="H37" s="29">
        <f t="shared" si="14"/>
        <v>33113</v>
      </c>
      <c r="I37" s="29">
        <f t="shared" si="14"/>
        <v>32957.75105257854</v>
      </c>
      <c r="J37" s="29">
        <f t="shared" si="14"/>
        <v>32803.22998350321</v>
      </c>
      <c r="K37" s="29">
        <f t="shared" si="14"/>
        <v>32649.433380146129</v>
      </c>
      <c r="L37" s="29">
        <f t="shared" si="14"/>
        <v>32496.357845879382</v>
      </c>
      <c r="M37" s="29">
        <f t="shared" si="14"/>
        <v>32344</v>
      </c>
      <c r="N37" s="29">
        <f t="shared" si="14"/>
        <v>32233.852333576491</v>
      </c>
      <c r="O37" s="29">
        <f t="shared" si="14"/>
        <v>32124.079775624989</v>
      </c>
      <c r="P37" s="29">
        <f t="shared" si="14"/>
        <v>32014.681048711569</v>
      </c>
      <c r="Q37" s="29">
        <f t="shared" si="14"/>
        <v>31905.654879752612</v>
      </c>
      <c r="R37" s="29">
        <f t="shared" si="14"/>
        <v>31797</v>
      </c>
      <c r="S37" s="29">
        <f t="shared" si="14"/>
        <v>31702.034439527859</v>
      </c>
      <c r="T37" s="29">
        <f t="shared" si="14"/>
        <v>31607.352505110874</v>
      </c>
      <c r="U37" s="29">
        <f t="shared" si="14"/>
        <v>31512.953349665757</v>
      </c>
      <c r="V37" s="29">
        <f t="shared" si="14"/>
        <v>31418.836128639137</v>
      </c>
      <c r="W37" s="29">
        <f t="shared" si="14"/>
        <v>31325</v>
      </c>
    </row>
    <row r="38" spans="1:23">
      <c r="A38">
        <f t="shared" si="15"/>
        <v>5</v>
      </c>
      <c r="B38" t="str">
        <f t="shared" si="15"/>
        <v>Hutan rawa sekunder</v>
      </c>
      <c r="C38" s="29">
        <f t="shared" si="16"/>
        <v>436939</v>
      </c>
      <c r="D38" s="29">
        <f t="shared" si="14"/>
        <v>436782.08734014427</v>
      </c>
      <c r="E38" s="29">
        <f t="shared" si="14"/>
        <v>436625.2310304491</v>
      </c>
      <c r="F38" s="29">
        <f t="shared" si="14"/>
        <v>436468.43105067819</v>
      </c>
      <c r="G38" s="29">
        <f t="shared" si="14"/>
        <v>436311.68738060247</v>
      </c>
      <c r="H38" s="29">
        <f t="shared" si="14"/>
        <v>436155.00000000006</v>
      </c>
      <c r="I38" s="29">
        <f t="shared" si="14"/>
        <v>435974.04991871933</v>
      </c>
      <c r="J38" s="29">
        <f t="shared" si="14"/>
        <v>435793.17490921798</v>
      </c>
      <c r="K38" s="29">
        <f t="shared" si="14"/>
        <v>435612.37494035048</v>
      </c>
      <c r="L38" s="29">
        <f t="shared" si="14"/>
        <v>435431.64998098434</v>
      </c>
      <c r="M38" s="29">
        <f t="shared" si="14"/>
        <v>435250.99999999994</v>
      </c>
      <c r="N38" s="29">
        <f t="shared" si="14"/>
        <v>435046.80850308534</v>
      </c>
      <c r="O38" s="29">
        <f t="shared" si="14"/>
        <v>434842.71279955748</v>
      </c>
      <c r="P38" s="29">
        <f t="shared" si="14"/>
        <v>434638.71284447645</v>
      </c>
      <c r="Q38" s="29">
        <f t="shared" si="14"/>
        <v>434434.80859292328</v>
      </c>
      <c r="R38" s="29">
        <f t="shared" si="14"/>
        <v>434231.00000000006</v>
      </c>
      <c r="S38" s="29">
        <f t="shared" si="14"/>
        <v>434019.59425404365</v>
      </c>
      <c r="T38" s="29">
        <f t="shared" si="14"/>
        <v>433808.29143116146</v>
      </c>
      <c r="U38" s="29">
        <f t="shared" si="14"/>
        <v>433597.0914812453</v>
      </c>
      <c r="V38" s="29">
        <f t="shared" si="14"/>
        <v>433385.99435421132</v>
      </c>
      <c r="W38" s="29">
        <f t="shared" si="14"/>
        <v>433175.00000000012</v>
      </c>
    </row>
    <row r="39" spans="1:23">
      <c r="A39">
        <f t="shared" si="15"/>
        <v>6</v>
      </c>
      <c r="B39" t="str">
        <f t="shared" si="15"/>
        <v>Hutan mangrove primer</v>
      </c>
      <c r="C39" s="29">
        <f t="shared" si="16"/>
        <v>99848</v>
      </c>
      <c r="D39" s="29">
        <f t="shared" si="14"/>
        <v>100099.33153706881</v>
      </c>
      <c r="E39" s="29">
        <f t="shared" si="14"/>
        <v>100351.29571116115</v>
      </c>
      <c r="F39" s="29">
        <f t="shared" si="14"/>
        <v>100603.89411471387</v>
      </c>
      <c r="G39" s="29">
        <f t="shared" si="14"/>
        <v>100857.12834417223</v>
      </c>
      <c r="H39" s="29">
        <f t="shared" si="14"/>
        <v>101110.99999999996</v>
      </c>
      <c r="I39" s="29">
        <f t="shared" si="14"/>
        <v>100906.17180754028</v>
      </c>
      <c r="J39" s="29">
        <f t="shared" si="14"/>
        <v>100701.75855102646</v>
      </c>
      <c r="K39" s="29">
        <f t="shared" si="14"/>
        <v>100497.75938989145</v>
      </c>
      <c r="L39" s="29">
        <f t="shared" si="14"/>
        <v>100294.17348527095</v>
      </c>
      <c r="M39" s="29">
        <f t="shared" si="14"/>
        <v>100091.00000000001</v>
      </c>
      <c r="N39" s="29">
        <f t="shared" si="14"/>
        <v>99932.700069592829</v>
      </c>
      <c r="O39" s="29">
        <f t="shared" si="14"/>
        <v>99774.650500036951</v>
      </c>
      <c r="P39" s="29">
        <f t="shared" si="14"/>
        <v>99616.850895371637</v>
      </c>
      <c r="Q39" s="29">
        <f t="shared" si="14"/>
        <v>99459.300860262403</v>
      </c>
      <c r="R39" s="29">
        <f t="shared" si="14"/>
        <v>99301.999999999985</v>
      </c>
      <c r="S39" s="29">
        <f t="shared" si="14"/>
        <v>99149.532523685339</v>
      </c>
      <c r="T39" s="29">
        <f t="shared" si="14"/>
        <v>98997.299144683246</v>
      </c>
      <c r="U39" s="29">
        <f t="shared" si="14"/>
        <v>98845.299503562652</v>
      </c>
      <c r="V39" s="29">
        <f t="shared" si="14"/>
        <v>98693.533241444311</v>
      </c>
      <c r="W39" s="29">
        <f t="shared" si="14"/>
        <v>98542.000000000029</v>
      </c>
    </row>
    <row r="40" spans="1:23">
      <c r="A40">
        <f t="shared" si="15"/>
        <v>7</v>
      </c>
      <c r="B40" t="str">
        <f t="shared" si="15"/>
        <v>Hutan mangrove sekunder</v>
      </c>
      <c r="C40" s="29">
        <f t="shared" si="16"/>
        <v>109515</v>
      </c>
      <c r="D40" s="29">
        <f t="shared" si="14"/>
        <v>107112.69327735881</v>
      </c>
      <c r="E40" s="29">
        <f t="shared" si="14"/>
        <v>104763.08324092175</v>
      </c>
      <c r="F40" s="29">
        <f t="shared" si="14"/>
        <v>102465.01394306954</v>
      </c>
      <c r="G40" s="29">
        <f t="shared" si="14"/>
        <v>100217.3547928987</v>
      </c>
      <c r="H40" s="29">
        <f t="shared" si="14"/>
        <v>98019.000000000015</v>
      </c>
      <c r="I40" s="29">
        <f t="shared" si="14"/>
        <v>97141.218718306365</v>
      </c>
      <c r="J40" s="29">
        <f t="shared" si="14"/>
        <v>96271.298157273952</v>
      </c>
      <c r="K40" s="29">
        <f t="shared" si="14"/>
        <v>95409.167922454144</v>
      </c>
      <c r="L40" s="29">
        <f t="shared" si="14"/>
        <v>94554.758249795836</v>
      </c>
      <c r="M40" s="29">
        <f t="shared" si="14"/>
        <v>93708</v>
      </c>
      <c r="N40" s="29">
        <f t="shared" si="14"/>
        <v>93040.971318267009</v>
      </c>
      <c r="O40" s="29">
        <f t="shared" si="14"/>
        <v>92378.690654443417</v>
      </c>
      <c r="P40" s="29">
        <f t="shared" si="14"/>
        <v>91721.124211370741</v>
      </c>
      <c r="Q40" s="29">
        <f t="shared" si="14"/>
        <v>91068.238432464146</v>
      </c>
      <c r="R40" s="29">
        <f t="shared" si="14"/>
        <v>90419.999999999971</v>
      </c>
      <c r="S40" s="29">
        <f t="shared" si="14"/>
        <v>89960.758678637852</v>
      </c>
      <c r="T40" s="29">
        <f t="shared" si="14"/>
        <v>89503.849834506924</v>
      </c>
      <c r="U40" s="29">
        <f t="shared" si="14"/>
        <v>89049.261621003301</v>
      </c>
      <c r="V40" s="29">
        <f t="shared" si="14"/>
        <v>88596.982251691734</v>
      </c>
      <c r="W40" s="29">
        <f t="shared" si="14"/>
        <v>88147.000000000015</v>
      </c>
    </row>
    <row r="41" spans="1:23">
      <c r="A41">
        <f t="shared" si="15"/>
        <v>8</v>
      </c>
      <c r="B41" t="str">
        <f t="shared" si="15"/>
        <v>Tanaman kayu industri</v>
      </c>
      <c r="C41" s="29">
        <f t="shared" si="16"/>
        <v>417121</v>
      </c>
      <c r="D41" s="29">
        <f t="shared" si="14"/>
        <v>422038.28890604404</v>
      </c>
      <c r="E41" s="29">
        <f t="shared" si="14"/>
        <v>427013.54595606908</v>
      </c>
      <c r="F41" s="29">
        <f t="shared" si="14"/>
        <v>432047.45451560046</v>
      </c>
      <c r="G41" s="29">
        <f t="shared" si="14"/>
        <v>437140.70600611309</v>
      </c>
      <c r="H41" s="29">
        <f t="shared" si="14"/>
        <v>442294</v>
      </c>
      <c r="I41" s="29">
        <f t="shared" si="14"/>
        <v>442677.13564490434</v>
      </c>
      <c r="J41" s="29">
        <f t="shared" si="14"/>
        <v>443060.6031797335</v>
      </c>
      <c r="K41" s="29">
        <f t="shared" si="14"/>
        <v>443444.40289198596</v>
      </c>
      <c r="L41" s="29">
        <f t="shared" si="14"/>
        <v>443828.53506940923</v>
      </c>
      <c r="M41" s="29">
        <f t="shared" si="14"/>
        <v>444213.00000000012</v>
      </c>
      <c r="N41" s="29">
        <f t="shared" si="14"/>
        <v>443388.34382428735</v>
      </c>
      <c r="O41" s="29">
        <f t="shared" si="14"/>
        <v>442565.21857587341</v>
      </c>
      <c r="P41" s="29">
        <f t="shared" si="14"/>
        <v>441743.62141267874</v>
      </c>
      <c r="Q41" s="29">
        <f t="shared" si="14"/>
        <v>440923.54949789995</v>
      </c>
      <c r="R41" s="29">
        <f t="shared" si="14"/>
        <v>440105.00000000012</v>
      </c>
      <c r="S41" s="29">
        <f t="shared" si="14"/>
        <v>438010.76380207005</v>
      </c>
      <c r="T41" s="29">
        <f t="shared" si="14"/>
        <v>435926.49301069696</v>
      </c>
      <c r="U41" s="29">
        <f t="shared" si="14"/>
        <v>433852.14020557166</v>
      </c>
      <c r="V41" s="29">
        <f t="shared" si="14"/>
        <v>431787.65819203423</v>
      </c>
      <c r="W41" s="29">
        <f t="shared" si="14"/>
        <v>429733.00000000012</v>
      </c>
    </row>
    <row r="42" spans="1:23">
      <c r="A42">
        <f t="shared" si="15"/>
        <v>9</v>
      </c>
      <c r="B42" t="str">
        <f t="shared" si="15"/>
        <v>Kebun campuran</v>
      </c>
      <c r="C42" s="29">
        <f t="shared" si="16"/>
        <v>204935</v>
      </c>
      <c r="D42" s="29">
        <f t="shared" si="14"/>
        <v>200658.17930130687</v>
      </c>
      <c r="E42" s="29">
        <f t="shared" si="14"/>
        <v>196470.6122454213</v>
      </c>
      <c r="F42" s="29">
        <f t="shared" si="14"/>
        <v>192370.43618405488</v>
      </c>
      <c r="G42" s="29">
        <f t="shared" si="14"/>
        <v>188355.82734081877</v>
      </c>
      <c r="H42" s="29">
        <f t="shared" si="14"/>
        <v>184425.00000000006</v>
      </c>
      <c r="I42" s="29">
        <f t="shared" si="14"/>
        <v>184466.38142543961</v>
      </c>
      <c r="J42" s="29">
        <f t="shared" si="14"/>
        <v>184507.77213607577</v>
      </c>
      <c r="K42" s="29">
        <f t="shared" si="14"/>
        <v>184549.17213399187</v>
      </c>
      <c r="L42" s="29">
        <f t="shared" si="14"/>
        <v>184590.58142127184</v>
      </c>
      <c r="M42" s="29">
        <f t="shared" si="14"/>
        <v>184632</v>
      </c>
      <c r="N42" s="29">
        <f t="shared" si="14"/>
        <v>185059.0201865196</v>
      </c>
      <c r="O42" s="29">
        <f t="shared" si="14"/>
        <v>185487.02799295174</v>
      </c>
      <c r="P42" s="29">
        <f t="shared" si="14"/>
        <v>185916.02570348143</v>
      </c>
      <c r="Q42" s="29">
        <f t="shared" si="14"/>
        <v>186346.0156075765</v>
      </c>
      <c r="R42" s="29">
        <f t="shared" si="14"/>
        <v>186776.99999999997</v>
      </c>
      <c r="S42" s="29">
        <f t="shared" si="14"/>
        <v>186923.76915659828</v>
      </c>
      <c r="T42" s="29">
        <f t="shared" si="14"/>
        <v>187070.65364423482</v>
      </c>
      <c r="U42" s="29">
        <f t="shared" si="14"/>
        <v>187217.65355353657</v>
      </c>
      <c r="V42" s="29">
        <f t="shared" si="14"/>
        <v>187364.76897520179</v>
      </c>
      <c r="W42" s="29">
        <f t="shared" si="14"/>
        <v>187511.99999999994</v>
      </c>
    </row>
    <row r="43" spans="1:23">
      <c r="A43">
        <f t="shared" si="15"/>
        <v>10</v>
      </c>
      <c r="B43" t="str">
        <f t="shared" si="15"/>
        <v>Agroforestri kopi</v>
      </c>
      <c r="C43" s="29">
        <f t="shared" si="16"/>
        <v>532082</v>
      </c>
      <c r="D43" s="29">
        <f t="shared" si="14"/>
        <v>541483.07330048934</v>
      </c>
      <c r="E43" s="29">
        <f t="shared" si="14"/>
        <v>551050.24915509846</v>
      </c>
      <c r="F43" s="29">
        <f t="shared" si="14"/>
        <v>560786.46234133665</v>
      </c>
      <c r="G43" s="29">
        <f t="shared" si="14"/>
        <v>570694.69948973297</v>
      </c>
      <c r="H43" s="29">
        <f t="shared" si="14"/>
        <v>580777.99999999965</v>
      </c>
      <c r="I43" s="29">
        <f t="shared" si="14"/>
        <v>585177.63499021984</v>
      </c>
      <c r="J43" s="29">
        <f t="shared" si="14"/>
        <v>589610.59904601576</v>
      </c>
      <c r="K43" s="29">
        <f t="shared" si="14"/>
        <v>594077.14464892657</v>
      </c>
      <c r="L43" s="29">
        <f t="shared" si="14"/>
        <v>598577.52619314368</v>
      </c>
      <c r="M43" s="29">
        <f t="shared" si="14"/>
        <v>603112.00000000035</v>
      </c>
      <c r="N43" s="29">
        <f t="shared" si="14"/>
        <v>606356.89492446627</v>
      </c>
      <c r="O43" s="29">
        <f t="shared" si="14"/>
        <v>609619.2482033855</v>
      </c>
      <c r="P43" s="29">
        <f t="shared" si="14"/>
        <v>612899.1537671152</v>
      </c>
      <c r="Q43" s="29">
        <f t="shared" si="14"/>
        <v>616196.70605138177</v>
      </c>
      <c r="R43" s="29">
        <f t="shared" si="14"/>
        <v>619511.99999999988</v>
      </c>
      <c r="S43" s="29">
        <f t="shared" si="14"/>
        <v>621816.98401161213</v>
      </c>
      <c r="T43" s="29">
        <f t="shared" si="14"/>
        <v>624130.54404966731</v>
      </c>
      <c r="U43" s="29">
        <f t="shared" si="14"/>
        <v>626452.71202251245</v>
      </c>
      <c r="V43" s="29">
        <f t="shared" si="14"/>
        <v>628783.51995721413</v>
      </c>
      <c r="W43" s="29">
        <f t="shared" si="14"/>
        <v>631123.00000000023</v>
      </c>
    </row>
    <row r="44" spans="1:23">
      <c r="A44">
        <f t="shared" si="15"/>
        <v>11</v>
      </c>
      <c r="B44" t="str">
        <f t="shared" si="15"/>
        <v>Karet agroforestri</v>
      </c>
      <c r="C44" s="29">
        <f t="shared" si="16"/>
        <v>341390</v>
      </c>
      <c r="D44" s="29">
        <f t="shared" si="14"/>
        <v>333865.1052428371</v>
      </c>
      <c r="E44" s="29">
        <f t="shared" si="14"/>
        <v>326506.07369521866</v>
      </c>
      <c r="F44" s="29">
        <f t="shared" si="14"/>
        <v>319309.24941175693</v>
      </c>
      <c r="G44" s="29">
        <f t="shared" si="14"/>
        <v>312271.05703115952</v>
      </c>
      <c r="H44" s="29">
        <f t="shared" si="14"/>
        <v>305388.00000000017</v>
      </c>
      <c r="I44" s="29">
        <f t="shared" si="14"/>
        <v>301382.70667751809</v>
      </c>
      <c r="J44" s="29">
        <f t="shared" si="14"/>
        <v>297429.94447806367</v>
      </c>
      <c r="K44" s="29">
        <f t="shared" si="14"/>
        <v>293529.02443364757</v>
      </c>
      <c r="L44" s="29">
        <f t="shared" si="14"/>
        <v>289679.26661238837</v>
      </c>
      <c r="M44" s="29">
        <f t="shared" si="14"/>
        <v>285880.00000000006</v>
      </c>
      <c r="N44" s="29">
        <f t="shared" si="14"/>
        <v>285102.38110700197</v>
      </c>
      <c r="O44" s="29">
        <f t="shared" si="14"/>
        <v>284326.87740619207</v>
      </c>
      <c r="P44" s="29">
        <f t="shared" si="14"/>
        <v>283553.48314406042</v>
      </c>
      <c r="Q44" s="29">
        <f t="shared" si="14"/>
        <v>282782.1925827472</v>
      </c>
      <c r="R44" s="29">
        <f t="shared" si="14"/>
        <v>282013.00000000006</v>
      </c>
      <c r="S44" s="29">
        <f t="shared" si="14"/>
        <v>281539.81476173591</v>
      </c>
      <c r="T44" s="29">
        <f t="shared" si="14"/>
        <v>281067.42347364331</v>
      </c>
      <c r="U44" s="29">
        <f t="shared" si="14"/>
        <v>280595.82480356551</v>
      </c>
      <c r="V44" s="29">
        <f t="shared" si="14"/>
        <v>280125.01742158108</v>
      </c>
      <c r="W44" s="29">
        <f t="shared" si="14"/>
        <v>279654.99999999994</v>
      </c>
    </row>
    <row r="45" spans="1:23">
      <c r="A45">
        <f t="shared" si="15"/>
        <v>12</v>
      </c>
      <c r="B45" t="str">
        <f t="shared" si="15"/>
        <v>Karet monokultur</v>
      </c>
      <c r="C45" s="29">
        <f t="shared" si="16"/>
        <v>1483502</v>
      </c>
      <c r="D45" s="29">
        <f t="shared" si="14"/>
        <v>1481535.3928346254</v>
      </c>
      <c r="E45" s="29">
        <f t="shared" si="14"/>
        <v>1479571.3927056706</v>
      </c>
      <c r="F45" s="29">
        <f t="shared" si="14"/>
        <v>1477609.996157113</v>
      </c>
      <c r="G45" s="29">
        <f t="shared" si="14"/>
        <v>1475651.1997375113</v>
      </c>
      <c r="H45" s="29">
        <f t="shared" si="14"/>
        <v>1473695</v>
      </c>
      <c r="I45" s="29">
        <f t="shared" si="14"/>
        <v>1467533.8992941196</v>
      </c>
      <c r="J45" s="29">
        <f t="shared" si="14"/>
        <v>1461398.5564023785</v>
      </c>
      <c r="K45" s="29">
        <f t="shared" si="14"/>
        <v>1455288.8636386632</v>
      </c>
      <c r="L45" s="29">
        <f t="shared" si="14"/>
        <v>1449204.7137670657</v>
      </c>
      <c r="M45" s="29">
        <f t="shared" si="14"/>
        <v>1443146.0000000002</v>
      </c>
      <c r="N45" s="29">
        <f t="shared" si="14"/>
        <v>1435784.2754252281</v>
      </c>
      <c r="O45" s="29">
        <f t="shared" si="14"/>
        <v>1428460.1042156145</v>
      </c>
      <c r="P45" s="29">
        <f t="shared" si="14"/>
        <v>1421173.2948052809</v>
      </c>
      <c r="Q45" s="29">
        <f t="shared" si="14"/>
        <v>1413923.6566055578</v>
      </c>
      <c r="R45" s="29">
        <f t="shared" si="14"/>
        <v>1406710.9999999998</v>
      </c>
      <c r="S45" s="29">
        <f t="shared" ref="S45:W60" si="17">AB13</f>
        <v>1399926.879495238</v>
      </c>
      <c r="T45" s="29">
        <f t="shared" si="17"/>
        <v>1393175.4766496278</v>
      </c>
      <c r="U45" s="29">
        <f t="shared" si="17"/>
        <v>1386456.6336762875</v>
      </c>
      <c r="V45" s="29">
        <f t="shared" si="17"/>
        <v>1379770.1935492915</v>
      </c>
      <c r="W45" s="29">
        <f t="shared" si="17"/>
        <v>1373116</v>
      </c>
    </row>
    <row r="46" spans="1:23">
      <c r="A46">
        <f t="shared" si="15"/>
        <v>13</v>
      </c>
      <c r="B46" t="str">
        <f t="shared" si="15"/>
        <v>Kelapa sawit skala besar</v>
      </c>
      <c r="C46" s="29">
        <f t="shared" si="16"/>
        <v>1014499</v>
      </c>
      <c r="D46" s="29">
        <f t="shared" si="16"/>
        <v>1019510.2474529553</v>
      </c>
      <c r="E46" s="29">
        <f t="shared" si="16"/>
        <v>1024546.2486030899</v>
      </c>
      <c r="F46" s="29">
        <f t="shared" si="16"/>
        <v>1029607.1257244544</v>
      </c>
      <c r="G46" s="29">
        <f t="shared" si="16"/>
        <v>1034693.0016950875</v>
      </c>
      <c r="H46" s="29">
        <f t="shared" si="16"/>
        <v>1039803.9999999998</v>
      </c>
      <c r="I46" s="29">
        <f t="shared" si="16"/>
        <v>1044046.439834794</v>
      </c>
      <c r="J46" s="29">
        <f t="shared" si="16"/>
        <v>1048306.1889853359</v>
      </c>
      <c r="K46" s="29">
        <f t="shared" si="16"/>
        <v>1052583.3180742916</v>
      </c>
      <c r="L46" s="29">
        <f t="shared" si="16"/>
        <v>1056877.8980124702</v>
      </c>
      <c r="M46" s="29">
        <f t="shared" si="16"/>
        <v>1061190</v>
      </c>
      <c r="N46" s="29">
        <f t="shared" si="16"/>
        <v>1064584.2176212636</v>
      </c>
      <c r="O46" s="29">
        <f t="shared" si="16"/>
        <v>1067989.2916520867</v>
      </c>
      <c r="P46" s="29">
        <f t="shared" si="16"/>
        <v>1071405.2568167096</v>
      </c>
      <c r="Q46" s="29">
        <f t="shared" si="16"/>
        <v>1074832.1479504385</v>
      </c>
      <c r="R46" s="29">
        <f t="shared" si="16"/>
        <v>1078269.9999999998</v>
      </c>
      <c r="S46" s="29">
        <f t="shared" si="17"/>
        <v>1080904.0988758621</v>
      </c>
      <c r="T46" s="29">
        <f t="shared" si="17"/>
        <v>1083544.6325749946</v>
      </c>
      <c r="U46" s="29">
        <f t="shared" si="17"/>
        <v>1086191.6168169861</v>
      </c>
      <c r="V46" s="29">
        <f t="shared" si="17"/>
        <v>1088845.0673598265</v>
      </c>
      <c r="W46" s="29">
        <f t="shared" si="17"/>
        <v>1091505.0000000007</v>
      </c>
    </row>
    <row r="47" spans="1:23">
      <c r="A47">
        <f t="shared" si="15"/>
        <v>14</v>
      </c>
      <c r="B47" t="str">
        <f t="shared" si="15"/>
        <v>Kelapa sawit skala kecil</v>
      </c>
      <c r="C47" s="29">
        <f t="shared" si="16"/>
        <v>662075</v>
      </c>
      <c r="D47" s="29">
        <f t="shared" si="16"/>
        <v>657783.93655929482</v>
      </c>
      <c r="E47" s="29">
        <f t="shared" si="16"/>
        <v>653520.68450771039</v>
      </c>
      <c r="F47" s="29">
        <f t="shared" si="16"/>
        <v>649285.06359310762</v>
      </c>
      <c r="G47" s="29">
        <f t="shared" si="16"/>
        <v>645076.89473160356</v>
      </c>
      <c r="H47" s="29">
        <f t="shared" si="16"/>
        <v>640896</v>
      </c>
      <c r="I47" s="29">
        <f t="shared" si="16"/>
        <v>637995.46434764436</v>
      </c>
      <c r="J47" s="29">
        <f t="shared" si="16"/>
        <v>635108.05579714396</v>
      </c>
      <c r="K47" s="29">
        <f t="shared" si="16"/>
        <v>632233.71493850567</v>
      </c>
      <c r="L47" s="29">
        <f t="shared" si="16"/>
        <v>629372.38263061119</v>
      </c>
      <c r="M47" s="29">
        <f t="shared" si="16"/>
        <v>626524.00000000023</v>
      </c>
      <c r="N47" s="29">
        <f t="shared" si="16"/>
        <v>624286.06932221993</v>
      </c>
      <c r="O47" s="29">
        <f t="shared" si="16"/>
        <v>622056.13248620578</v>
      </c>
      <c r="P47" s="29">
        <f t="shared" si="16"/>
        <v>619834.16093812126</v>
      </c>
      <c r="Q47" s="29">
        <f t="shared" si="16"/>
        <v>617620.12622612377</v>
      </c>
      <c r="R47" s="29">
        <f t="shared" si="16"/>
        <v>615414.00000000023</v>
      </c>
      <c r="S47" s="29">
        <f t="shared" si="17"/>
        <v>613362.97434424469</v>
      </c>
      <c r="T47" s="29">
        <f t="shared" si="17"/>
        <v>611318.78425973176</v>
      </c>
      <c r="U47" s="29">
        <f t="shared" si="17"/>
        <v>609281.40696515958</v>
      </c>
      <c r="V47" s="29">
        <f t="shared" si="17"/>
        <v>607250.81975515094</v>
      </c>
      <c r="W47" s="29">
        <f t="shared" si="17"/>
        <v>605227.00000000023</v>
      </c>
    </row>
    <row r="48" spans="1:23">
      <c r="A48">
        <f t="shared" si="15"/>
        <v>15</v>
      </c>
      <c r="B48" t="str">
        <f t="shared" si="15"/>
        <v>Kelapa</v>
      </c>
      <c r="C48" s="29">
        <f t="shared" si="16"/>
        <v>91437</v>
      </c>
      <c r="D48" s="29">
        <f t="shared" si="16"/>
        <v>90260.090851386121</v>
      </c>
      <c r="E48" s="29">
        <f t="shared" si="16"/>
        <v>89098.330003176801</v>
      </c>
      <c r="F48" s="29">
        <f t="shared" si="16"/>
        <v>87951.52247770071</v>
      </c>
      <c r="G48" s="29">
        <f t="shared" si="16"/>
        <v>86819.475806894305</v>
      </c>
      <c r="H48" s="29">
        <f t="shared" si="16"/>
        <v>85702</v>
      </c>
      <c r="I48" s="29">
        <f t="shared" si="16"/>
        <v>85155.679040756222</v>
      </c>
      <c r="J48" s="29">
        <f t="shared" si="16"/>
        <v>84612.840690909055</v>
      </c>
      <c r="K48" s="29">
        <f t="shared" si="16"/>
        <v>84073.462750013874</v>
      </c>
      <c r="L48" s="29">
        <f t="shared" si="16"/>
        <v>83537.523159146294</v>
      </c>
      <c r="M48" s="29">
        <f t="shared" si="16"/>
        <v>83005.000000000015</v>
      </c>
      <c r="N48" s="29">
        <f t="shared" si="16"/>
        <v>82795.141524626219</v>
      </c>
      <c r="O48" s="29">
        <f t="shared" si="16"/>
        <v>82585.813626683754</v>
      </c>
      <c r="P48" s="29">
        <f t="shared" si="16"/>
        <v>82377.014964733273</v>
      </c>
      <c r="Q48" s="29">
        <f t="shared" si="16"/>
        <v>82168.744200726971</v>
      </c>
      <c r="R48" s="29">
        <f t="shared" si="16"/>
        <v>81960.999999999985</v>
      </c>
      <c r="S48" s="29">
        <f t="shared" si="17"/>
        <v>81867.386398343268</v>
      </c>
      <c r="T48" s="29">
        <f t="shared" si="17"/>
        <v>81773.879719569552</v>
      </c>
      <c r="U48" s="29">
        <f t="shared" si="17"/>
        <v>81680.479841554479</v>
      </c>
      <c r="V48" s="29">
        <f t="shared" si="17"/>
        <v>81587.186642313158</v>
      </c>
      <c r="W48" s="29">
        <f t="shared" si="17"/>
        <v>81494.000000000015</v>
      </c>
    </row>
    <row r="49" spans="1:23">
      <c r="A49">
        <f t="shared" si="15"/>
        <v>16</v>
      </c>
      <c r="B49" t="str">
        <f t="shared" si="15"/>
        <v>Teh</v>
      </c>
      <c r="C49" s="29">
        <f t="shared" si="16"/>
        <v>57076</v>
      </c>
      <c r="D49" s="29">
        <f t="shared" si="16"/>
        <v>56951.457671056756</v>
      </c>
      <c r="E49" s="29">
        <f t="shared" si="16"/>
        <v>56827.187098923707</v>
      </c>
      <c r="F49" s="29">
        <f t="shared" si="16"/>
        <v>56703.187690615603</v>
      </c>
      <c r="G49" s="29">
        <f t="shared" si="16"/>
        <v>56579.458854441109</v>
      </c>
      <c r="H49" s="29">
        <f t="shared" si="16"/>
        <v>56456</v>
      </c>
      <c r="I49" s="29">
        <f t="shared" si="16"/>
        <v>56624.194831108376</v>
      </c>
      <c r="J49" s="29">
        <f t="shared" si="16"/>
        <v>56792.890751582127</v>
      </c>
      <c r="K49" s="29">
        <f t="shared" si="16"/>
        <v>56962.089254276594</v>
      </c>
      <c r="L49" s="29">
        <f t="shared" si="16"/>
        <v>57131.79183649466</v>
      </c>
      <c r="M49" s="29">
        <f t="shared" si="16"/>
        <v>57302.000000000015</v>
      </c>
      <c r="N49" s="29">
        <f t="shared" si="16"/>
        <v>57490.357620783732</v>
      </c>
      <c r="O49" s="29">
        <f t="shared" si="16"/>
        <v>57679.334392614677</v>
      </c>
      <c r="P49" s="29">
        <f t="shared" si="16"/>
        <v>57868.932350706578</v>
      </c>
      <c r="Q49" s="29">
        <f t="shared" si="16"/>
        <v>58059.153536963146</v>
      </c>
      <c r="R49" s="29">
        <f t="shared" si="16"/>
        <v>58250.000000000036</v>
      </c>
      <c r="S49" s="29">
        <f t="shared" si="17"/>
        <v>58481.748617240191</v>
      </c>
      <c r="T49" s="29">
        <f t="shared" si="17"/>
        <v>58714.419250301718</v>
      </c>
      <c r="U49" s="29">
        <f t="shared" si="17"/>
        <v>58948.015567440234</v>
      </c>
      <c r="V49" s="29">
        <f t="shared" si="17"/>
        <v>59182.541251505601</v>
      </c>
      <c r="W49" s="29">
        <f t="shared" si="17"/>
        <v>59417.999999999971</v>
      </c>
    </row>
    <row r="50" spans="1:23">
      <c r="A50">
        <f t="shared" ref="A50:B60" si="18">A18</f>
        <v>17</v>
      </c>
      <c r="B50" t="str">
        <f t="shared" si="18"/>
        <v>Sawah irigasi</v>
      </c>
      <c r="C50" s="29">
        <f t="shared" ref="C50:R60" si="19">L18</f>
        <v>393253</v>
      </c>
      <c r="D50" s="29">
        <f t="shared" si="19"/>
        <v>390851.65148837148</v>
      </c>
      <c r="E50" s="29">
        <f t="shared" si="19"/>
        <v>388464.96650041424</v>
      </c>
      <c r="F50" s="29">
        <f t="shared" si="19"/>
        <v>386092.85549522017</v>
      </c>
      <c r="G50" s="29">
        <f t="shared" si="19"/>
        <v>383735.22947865108</v>
      </c>
      <c r="H50" s="29">
        <f t="shared" si="19"/>
        <v>381391.99999999994</v>
      </c>
      <c r="I50" s="29">
        <f t="shared" si="19"/>
        <v>379853.23335949611</v>
      </c>
      <c r="J50" s="29">
        <f t="shared" si="19"/>
        <v>378320.67503687495</v>
      </c>
      <c r="K50" s="29">
        <f t="shared" si="19"/>
        <v>376794.29998401686</v>
      </c>
      <c r="L50" s="29">
        <f t="shared" si="19"/>
        <v>375274.08325386146</v>
      </c>
      <c r="M50" s="29">
        <f t="shared" si="19"/>
        <v>373760.00000000006</v>
      </c>
      <c r="N50" s="29">
        <f t="shared" si="19"/>
        <v>372521.82357371872</v>
      </c>
      <c r="O50" s="29">
        <f t="shared" si="19"/>
        <v>371287.74892628647</v>
      </c>
      <c r="P50" s="29">
        <f t="shared" si="19"/>
        <v>370057.76246950252</v>
      </c>
      <c r="Q50" s="29">
        <f t="shared" si="19"/>
        <v>368831.85066018067</v>
      </c>
      <c r="R50" s="29">
        <f t="shared" si="19"/>
        <v>367610</v>
      </c>
      <c r="S50" s="29">
        <f t="shared" si="17"/>
        <v>366727.77566368505</v>
      </c>
      <c r="T50" s="29">
        <f t="shared" si="17"/>
        <v>365847.66857058869</v>
      </c>
      <c r="U50" s="29">
        <f t="shared" si="17"/>
        <v>364969.67363955564</v>
      </c>
      <c r="V50" s="29">
        <f t="shared" si="17"/>
        <v>364093.78580162482</v>
      </c>
      <c r="W50" s="29">
        <f t="shared" si="17"/>
        <v>363220.00000000017</v>
      </c>
    </row>
    <row r="51" spans="1:23">
      <c r="A51">
        <f t="shared" si="18"/>
        <v>18</v>
      </c>
      <c r="B51" t="str">
        <f t="shared" si="18"/>
        <v>Sawah tadah hujan</v>
      </c>
      <c r="C51" s="29">
        <f t="shared" si="19"/>
        <v>265014</v>
      </c>
      <c r="D51" s="29">
        <f t="shared" si="19"/>
        <v>272748.20033796364</v>
      </c>
      <c r="E51" s="29">
        <f t="shared" si="19"/>
        <v>280708.11650553538</v>
      </c>
      <c r="F51" s="29">
        <f t="shared" si="19"/>
        <v>288900.33582053852</v>
      </c>
      <c r="G51" s="29">
        <f t="shared" si="19"/>
        <v>297331.63784586929</v>
      </c>
      <c r="H51" s="29">
        <f t="shared" si="19"/>
        <v>306009</v>
      </c>
      <c r="I51" s="29">
        <f t="shared" si="19"/>
        <v>309496.01903050183</v>
      </c>
      <c r="J51" s="29">
        <f t="shared" si="19"/>
        <v>313022.77317245165</v>
      </c>
      <c r="K51" s="29">
        <f t="shared" si="19"/>
        <v>316589.71521347918</v>
      </c>
      <c r="L51" s="29">
        <f t="shared" si="19"/>
        <v>320197.30310079805</v>
      </c>
      <c r="M51" s="29">
        <f t="shared" si="19"/>
        <v>323845.99999999988</v>
      </c>
      <c r="N51" s="29">
        <f t="shared" si="19"/>
        <v>325970.5410871405</v>
      </c>
      <c r="O51" s="29">
        <f t="shared" si="19"/>
        <v>328109.01989415695</v>
      </c>
      <c r="P51" s="29">
        <f t="shared" si="19"/>
        <v>330261.52785728307</v>
      </c>
      <c r="Q51" s="29">
        <f t="shared" si="19"/>
        <v>332428.15701260563</v>
      </c>
      <c r="R51" s="29">
        <f t="shared" si="19"/>
        <v>334608.99999999988</v>
      </c>
      <c r="S51" s="29">
        <f t="shared" si="17"/>
        <v>336263.36008077493</v>
      </c>
      <c r="T51" s="29">
        <f t="shared" si="17"/>
        <v>337925.89958074322</v>
      </c>
      <c r="U51" s="29">
        <f t="shared" si="17"/>
        <v>339596.65894025343</v>
      </c>
      <c r="V51" s="29">
        <f t="shared" si="17"/>
        <v>341275.6787995976</v>
      </c>
      <c r="W51" s="29">
        <f t="shared" si="17"/>
        <v>342962.99999999994</v>
      </c>
    </row>
    <row r="52" spans="1:23">
      <c r="A52">
        <f t="shared" si="18"/>
        <v>19</v>
      </c>
      <c r="B52" t="str">
        <f t="shared" si="18"/>
        <v>Tebu</v>
      </c>
      <c r="C52" s="29">
        <f t="shared" si="19"/>
        <v>279198</v>
      </c>
      <c r="D52" s="29">
        <f t="shared" si="19"/>
        <v>281561.83284343575</v>
      </c>
      <c r="E52" s="29">
        <f t="shared" si="19"/>
        <v>283945.67910284048</v>
      </c>
      <c r="F52" s="29">
        <f t="shared" si="19"/>
        <v>286349.70822201384</v>
      </c>
      <c r="G52" s="29">
        <f t="shared" si="19"/>
        <v>288774.09107935324</v>
      </c>
      <c r="H52" s="29">
        <f t="shared" si="19"/>
        <v>291218.99999999983</v>
      </c>
      <c r="I52" s="29">
        <f t="shared" si="19"/>
        <v>293432.4946515492</v>
      </c>
      <c r="J52" s="29">
        <f t="shared" si="19"/>
        <v>295662.81361254398</v>
      </c>
      <c r="K52" s="29">
        <f t="shared" si="19"/>
        <v>297910.08476103825</v>
      </c>
      <c r="L52" s="29">
        <f t="shared" si="19"/>
        <v>300174.43694706023</v>
      </c>
      <c r="M52" s="29">
        <f t="shared" si="19"/>
        <v>302456.00000000017</v>
      </c>
      <c r="N52" s="29">
        <f t="shared" si="19"/>
        <v>304135.24964309583</v>
      </c>
      <c r="O52" s="29">
        <f t="shared" si="19"/>
        <v>305823.82255755621</v>
      </c>
      <c r="P52" s="29">
        <f t="shared" si="19"/>
        <v>307521.77050661319</v>
      </c>
      <c r="Q52" s="29">
        <f t="shared" si="19"/>
        <v>309229.14554089069</v>
      </c>
      <c r="R52" s="29">
        <f t="shared" si="19"/>
        <v>310946</v>
      </c>
      <c r="S52" s="29">
        <f t="shared" si="17"/>
        <v>312188.82527317555</v>
      </c>
      <c r="T52" s="29">
        <f t="shared" si="17"/>
        <v>313436.61801549251</v>
      </c>
      <c r="U52" s="29">
        <f t="shared" si="17"/>
        <v>314689.39808151143</v>
      </c>
      <c r="V52" s="29">
        <f t="shared" si="17"/>
        <v>315947.18540514994</v>
      </c>
      <c r="W52" s="29">
        <f t="shared" si="17"/>
        <v>317209.99999999988</v>
      </c>
    </row>
    <row r="53" spans="1:23">
      <c r="A53">
        <f t="shared" si="18"/>
        <v>20</v>
      </c>
      <c r="B53" t="str">
        <f t="shared" si="18"/>
        <v>Tanaman semusim lain</v>
      </c>
      <c r="C53" s="29">
        <f t="shared" si="19"/>
        <v>380150</v>
      </c>
      <c r="D53" s="29">
        <f t="shared" si="19"/>
        <v>371841.03311540553</v>
      </c>
      <c r="E53" s="29">
        <f t="shared" si="19"/>
        <v>363713.67593931896</v>
      </c>
      <c r="F53" s="29">
        <f t="shared" si="19"/>
        <v>355763.95901480515</v>
      </c>
      <c r="G53" s="29">
        <f t="shared" si="19"/>
        <v>347987.99964564497</v>
      </c>
      <c r="H53" s="29">
        <f t="shared" si="19"/>
        <v>340382</v>
      </c>
      <c r="I53" s="29">
        <f t="shared" si="19"/>
        <v>338780.39870514901</v>
      </c>
      <c r="J53" s="29">
        <f t="shared" si="19"/>
        <v>337186.33343367081</v>
      </c>
      <c r="K53" s="29">
        <f t="shared" si="19"/>
        <v>335599.76872627321</v>
      </c>
      <c r="L53" s="29">
        <f t="shared" si="19"/>
        <v>334020.66929051076</v>
      </c>
      <c r="M53" s="29">
        <f t="shared" si="19"/>
        <v>332448.99999999988</v>
      </c>
      <c r="N53" s="29">
        <f t="shared" si="19"/>
        <v>330720.51965640654</v>
      </c>
      <c r="O53" s="29">
        <f t="shared" si="19"/>
        <v>329001.02608762123</v>
      </c>
      <c r="P53" s="29">
        <f t="shared" si="19"/>
        <v>327290.47256929352</v>
      </c>
      <c r="Q53" s="29">
        <f t="shared" si="19"/>
        <v>325588.81262000371</v>
      </c>
      <c r="R53" s="29">
        <f t="shared" si="19"/>
        <v>323896</v>
      </c>
      <c r="S53" s="29">
        <f t="shared" si="17"/>
        <v>322441.39335931686</v>
      </c>
      <c r="T53" s="29">
        <f t="shared" si="17"/>
        <v>320993.31931082107</v>
      </c>
      <c r="U53" s="29">
        <f t="shared" si="17"/>
        <v>319551.74851684878</v>
      </c>
      <c r="V53" s="29">
        <f t="shared" si="17"/>
        <v>318116.65177149064</v>
      </c>
      <c r="W53" s="29">
        <f t="shared" si="17"/>
        <v>316688.00000000012</v>
      </c>
    </row>
    <row r="54" spans="1:23">
      <c r="A54">
        <f t="shared" si="18"/>
        <v>21</v>
      </c>
      <c r="B54" t="str">
        <f t="shared" si="18"/>
        <v>Semak belukar</v>
      </c>
      <c r="C54" s="29">
        <f t="shared" si="19"/>
        <v>368538</v>
      </c>
      <c r="D54" s="29">
        <f t="shared" si="19"/>
        <v>363638.86751751619</v>
      </c>
      <c r="E54" s="29">
        <f t="shared" si="19"/>
        <v>358804.86128817569</v>
      </c>
      <c r="F54" s="29">
        <f t="shared" si="19"/>
        <v>354035.11556097795</v>
      </c>
      <c r="G54" s="29">
        <f t="shared" si="19"/>
        <v>349328.77609371895</v>
      </c>
      <c r="H54" s="29">
        <f t="shared" si="19"/>
        <v>344684.99999999988</v>
      </c>
      <c r="I54" s="29">
        <f t="shared" si="19"/>
        <v>341298.0905970668</v>
      </c>
      <c r="J54" s="29">
        <f t="shared" si="19"/>
        <v>337944.46130584041</v>
      </c>
      <c r="K54" s="29">
        <f t="shared" si="19"/>
        <v>334623.78511260322</v>
      </c>
      <c r="L54" s="29">
        <f t="shared" si="19"/>
        <v>331335.73821690719</v>
      </c>
      <c r="M54" s="29">
        <f t="shared" si="19"/>
        <v>328080</v>
      </c>
      <c r="N54" s="29">
        <f t="shared" si="19"/>
        <v>327214.24281767948</v>
      </c>
      <c r="O54" s="29">
        <f t="shared" si="19"/>
        <v>326350.77024734003</v>
      </c>
      <c r="P54" s="29">
        <f t="shared" si="19"/>
        <v>325489.57626021048</v>
      </c>
      <c r="Q54" s="29">
        <f t="shared" si="19"/>
        <v>324630.65484342881</v>
      </c>
      <c r="R54" s="29">
        <f t="shared" si="19"/>
        <v>323774.00000000006</v>
      </c>
      <c r="S54" s="29">
        <f t="shared" si="17"/>
        <v>324435.2931567452</v>
      </c>
      <c r="T54" s="29">
        <f t="shared" si="17"/>
        <v>325097.93697363965</v>
      </c>
      <c r="U54" s="29">
        <f t="shared" si="17"/>
        <v>325761.9342093431</v>
      </c>
      <c r="V54" s="29">
        <f t="shared" si="17"/>
        <v>326427.28762814985</v>
      </c>
      <c r="W54" s="29">
        <f t="shared" si="17"/>
        <v>327093.99999999994</v>
      </c>
    </row>
    <row r="55" spans="1:23">
      <c r="A55">
        <f t="shared" si="18"/>
        <v>22</v>
      </c>
      <c r="B55" t="str">
        <f t="shared" si="18"/>
        <v>Rerumputan</v>
      </c>
      <c r="C55" s="29">
        <f t="shared" si="19"/>
        <v>139266</v>
      </c>
      <c r="D55" s="29">
        <f t="shared" si="19"/>
        <v>141615.38435291013</v>
      </c>
      <c r="E55" s="29">
        <f t="shared" si="19"/>
        <v>144004.4022620199</v>
      </c>
      <c r="F55" s="29">
        <f t="shared" si="19"/>
        <v>146433.72233601188</v>
      </c>
      <c r="G55" s="29">
        <f t="shared" si="19"/>
        <v>148904.02446283834</v>
      </c>
      <c r="H55" s="29">
        <f t="shared" si="19"/>
        <v>151415.99999999988</v>
      </c>
      <c r="I55" s="29">
        <f t="shared" si="19"/>
        <v>152854.7953016363</v>
      </c>
      <c r="J55" s="29">
        <f t="shared" si="19"/>
        <v>154307.26242078203</v>
      </c>
      <c r="K55" s="29">
        <f t="shared" si="19"/>
        <v>155773.53127070132</v>
      </c>
      <c r="L55" s="29">
        <f t="shared" si="19"/>
        <v>157253.73299912884</v>
      </c>
      <c r="M55" s="29">
        <f t="shared" si="19"/>
        <v>158748.00000000006</v>
      </c>
      <c r="N55" s="29">
        <f t="shared" si="19"/>
        <v>158956.45184485978</v>
      </c>
      <c r="O55" s="29">
        <f t="shared" si="19"/>
        <v>159165.17740763491</v>
      </c>
      <c r="P55" s="29">
        <f t="shared" si="19"/>
        <v>159374.17704774413</v>
      </c>
      <c r="Q55" s="29">
        <f t="shared" si="19"/>
        <v>159583.45112507811</v>
      </c>
      <c r="R55" s="29">
        <f t="shared" si="19"/>
        <v>159793.00000000009</v>
      </c>
      <c r="S55" s="29">
        <f t="shared" si="17"/>
        <v>160275.67521408695</v>
      </c>
      <c r="T55" s="29">
        <f t="shared" si="17"/>
        <v>160759.80841045282</v>
      </c>
      <c r="U55" s="29">
        <f t="shared" si="17"/>
        <v>161245.40399311975</v>
      </c>
      <c r="V55" s="29">
        <f t="shared" si="17"/>
        <v>161732.46637941274</v>
      </c>
      <c r="W55" s="29">
        <f t="shared" si="17"/>
        <v>162220.99999999997</v>
      </c>
    </row>
    <row r="56" spans="1:23">
      <c r="A56">
        <f t="shared" si="18"/>
        <v>23</v>
      </c>
      <c r="B56" t="str">
        <f t="shared" si="18"/>
        <v>Tambang</v>
      </c>
      <c r="C56" s="29">
        <f t="shared" si="19"/>
        <v>34910</v>
      </c>
      <c r="D56" s="29">
        <f t="shared" si="19"/>
        <v>35647.200372119521</v>
      </c>
      <c r="E56" s="29">
        <f t="shared" si="19"/>
        <v>36399.968329133146</v>
      </c>
      <c r="F56" s="29">
        <f t="shared" si="19"/>
        <v>37168.632614363043</v>
      </c>
      <c r="G56" s="29">
        <f t="shared" si="19"/>
        <v>37953.528913259695</v>
      </c>
      <c r="H56" s="29">
        <f t="shared" si="19"/>
        <v>38755</v>
      </c>
      <c r="I56" s="29">
        <f t="shared" si="19"/>
        <v>39477.178921442246</v>
      </c>
      <c r="J56" s="29">
        <f t="shared" si="19"/>
        <v>40212.815265012614</v>
      </c>
      <c r="K56" s="29">
        <f t="shared" si="19"/>
        <v>40962.159802652735</v>
      </c>
      <c r="L56" s="29">
        <f t="shared" si="19"/>
        <v>41725.467979306704</v>
      </c>
      <c r="M56" s="29">
        <f t="shared" si="19"/>
        <v>42503</v>
      </c>
      <c r="N56" s="29">
        <f t="shared" si="19"/>
        <v>43221.120165209744</v>
      </c>
      <c r="O56" s="29">
        <f t="shared" si="19"/>
        <v>43951.373510940408</v>
      </c>
      <c r="P56" s="29">
        <f t="shared" si="19"/>
        <v>44693.965036406174</v>
      </c>
      <c r="Q56" s="29">
        <f t="shared" si="19"/>
        <v>45449.103204437197</v>
      </c>
      <c r="R56" s="29">
        <f t="shared" si="19"/>
        <v>46216.999999999978</v>
      </c>
      <c r="S56" s="29">
        <f t="shared" si="17"/>
        <v>46933.628992512888</v>
      </c>
      <c r="T56" s="29">
        <f t="shared" si="17"/>
        <v>47661.369851068797</v>
      </c>
      <c r="U56" s="29">
        <f t="shared" si="17"/>
        <v>48400.394873423247</v>
      </c>
      <c r="V56" s="29">
        <f t="shared" si="17"/>
        <v>49150.879028936746</v>
      </c>
      <c r="W56" s="29">
        <f t="shared" si="17"/>
        <v>49912.999999999993</v>
      </c>
    </row>
    <row r="57" spans="1:23">
      <c r="A57">
        <f t="shared" si="18"/>
        <v>24</v>
      </c>
      <c r="B57" t="str">
        <f t="shared" si="18"/>
        <v>Lahan terbuka</v>
      </c>
      <c r="C57" s="29">
        <f t="shared" si="19"/>
        <v>110096</v>
      </c>
      <c r="D57" s="29">
        <f t="shared" si="19"/>
        <v>109894.46350319541</v>
      </c>
      <c r="E57" s="29">
        <f t="shared" si="19"/>
        <v>109693.29592950833</v>
      </c>
      <c r="F57" s="29">
        <f t="shared" si="19"/>
        <v>109492.49660360564</v>
      </c>
      <c r="G57" s="29">
        <f t="shared" si="19"/>
        <v>109292.0648513905</v>
      </c>
      <c r="H57" s="29">
        <f t="shared" si="19"/>
        <v>109092</v>
      </c>
      <c r="I57" s="29">
        <f t="shared" si="19"/>
        <v>108447.83753243003</v>
      </c>
      <c r="J57" s="29">
        <f t="shared" si="19"/>
        <v>107807.47869193286</v>
      </c>
      <c r="K57" s="29">
        <f t="shared" si="19"/>
        <v>107170.90101898991</v>
      </c>
      <c r="L57" s="29">
        <f t="shared" si="19"/>
        <v>106538.08218670075</v>
      </c>
      <c r="M57" s="29">
        <f t="shared" si="19"/>
        <v>105909.00000000001</v>
      </c>
      <c r="N57" s="29">
        <f t="shared" si="19"/>
        <v>105922.99630017641</v>
      </c>
      <c r="O57" s="29">
        <f t="shared" si="19"/>
        <v>105936.99445002017</v>
      </c>
      <c r="P57" s="29">
        <f t="shared" si="19"/>
        <v>105950.99444977571</v>
      </c>
      <c r="Q57" s="29">
        <f t="shared" si="19"/>
        <v>105964.99629968751</v>
      </c>
      <c r="R57" s="29">
        <f t="shared" si="19"/>
        <v>105979.00000000007</v>
      </c>
      <c r="S57" s="29">
        <f t="shared" si="17"/>
        <v>106529.25625615021</v>
      </c>
      <c r="T57" s="29">
        <f t="shared" si="17"/>
        <v>107082.36951177609</v>
      </c>
      <c r="U57" s="29">
        <f t="shared" si="17"/>
        <v>107638.35460077715</v>
      </c>
      <c r="V57" s="29">
        <f t="shared" si="17"/>
        <v>108197.22643407235</v>
      </c>
      <c r="W57" s="29">
        <f t="shared" si="17"/>
        <v>108759.00000000003</v>
      </c>
    </row>
    <row r="58" spans="1:23">
      <c r="A58">
        <f t="shared" si="18"/>
        <v>25</v>
      </c>
      <c r="B58" t="str">
        <f t="shared" si="18"/>
        <v>Pemukiman</v>
      </c>
      <c r="C58" s="29">
        <f t="shared" si="19"/>
        <v>168478</v>
      </c>
      <c r="D58" s="29">
        <f t="shared" si="19"/>
        <v>171564.24002051505</v>
      </c>
      <c r="E58" s="29">
        <f t="shared" si="19"/>
        <v>174707.01488512979</v>
      </c>
      <c r="F58" s="29">
        <f t="shared" si="19"/>
        <v>177907.36021925771</v>
      </c>
      <c r="G58" s="29">
        <f t="shared" si="19"/>
        <v>181166.33061926754</v>
      </c>
      <c r="H58" s="29">
        <f t="shared" si="19"/>
        <v>184485</v>
      </c>
      <c r="I58" s="29">
        <f t="shared" si="19"/>
        <v>187604.50401055854</v>
      </c>
      <c r="J58" s="29">
        <f t="shared" si="19"/>
        <v>190776.7565116279</v>
      </c>
      <c r="K58" s="29">
        <f t="shared" si="19"/>
        <v>194002.64944091413</v>
      </c>
      <c r="L58" s="29">
        <f t="shared" si="19"/>
        <v>197283.08981812591</v>
      </c>
      <c r="M58" s="29">
        <f t="shared" si="19"/>
        <v>200618.99999999991</v>
      </c>
      <c r="N58" s="29">
        <f t="shared" si="19"/>
        <v>203755.38901361113</v>
      </c>
      <c r="O58" s="29">
        <f t="shared" si="19"/>
        <v>206940.81095054807</v>
      </c>
      <c r="P58" s="29">
        <f t="shared" si="19"/>
        <v>210176.03236992049</v>
      </c>
      <c r="Q58" s="29">
        <f t="shared" si="19"/>
        <v>213461.83181488531</v>
      </c>
      <c r="R58" s="29">
        <f t="shared" si="19"/>
        <v>216798.99999999994</v>
      </c>
      <c r="S58" s="29">
        <f t="shared" si="17"/>
        <v>219937.03333221166</v>
      </c>
      <c r="T58" s="29">
        <f t="shared" si="17"/>
        <v>223120.48778349708</v>
      </c>
      <c r="U58" s="29">
        <f t="shared" si="17"/>
        <v>226350.0207968594</v>
      </c>
      <c r="V58" s="29">
        <f t="shared" si="17"/>
        <v>229626.29933138838</v>
      </c>
      <c r="W58" s="29">
        <f t="shared" si="17"/>
        <v>232949.99999999988</v>
      </c>
    </row>
    <row r="59" spans="1:23">
      <c r="A59">
        <f t="shared" si="18"/>
        <v>26</v>
      </c>
      <c r="B59" t="str">
        <f t="shared" si="18"/>
        <v>Tambak</v>
      </c>
      <c r="C59" s="29">
        <f t="shared" si="19"/>
        <v>108508</v>
      </c>
      <c r="D59" s="29">
        <f t="shared" si="19"/>
        <v>109593.46467460811</v>
      </c>
      <c r="E59" s="29">
        <f t="shared" si="19"/>
        <v>110689.7878440721</v>
      </c>
      <c r="F59" s="29">
        <f t="shared" si="19"/>
        <v>111797.07813183527</v>
      </c>
      <c r="G59" s="29">
        <f t="shared" si="19"/>
        <v>112915.44524796044</v>
      </c>
      <c r="H59" s="29">
        <f t="shared" si="19"/>
        <v>114044.99999999999</v>
      </c>
      <c r="I59" s="29">
        <f t="shared" si="19"/>
        <v>115158.25272390351</v>
      </c>
      <c r="J59" s="29">
        <f t="shared" si="19"/>
        <v>116282.37248824965</v>
      </c>
      <c r="K59" s="29">
        <f t="shared" si="19"/>
        <v>117417.46537188775</v>
      </c>
      <c r="L59" s="29">
        <f t="shared" si="19"/>
        <v>118563.63848915814</v>
      </c>
      <c r="M59" s="29">
        <f t="shared" si="19"/>
        <v>119721.00000000006</v>
      </c>
      <c r="N59" s="29">
        <f t="shared" si="19"/>
        <v>120764.6451336941</v>
      </c>
      <c r="O59" s="29">
        <f t="shared" si="19"/>
        <v>121817.38804609938</v>
      </c>
      <c r="P59" s="29">
        <f t="shared" si="19"/>
        <v>122879.30804537801</v>
      </c>
      <c r="Q59" s="29">
        <f t="shared" si="19"/>
        <v>123950.48513104599</v>
      </c>
      <c r="R59" s="29">
        <f t="shared" si="19"/>
        <v>125030.99999999996</v>
      </c>
      <c r="S59" s="29">
        <f t="shared" si="17"/>
        <v>125899.84064731625</v>
      </c>
      <c r="T59" s="29">
        <f t="shared" si="17"/>
        <v>126774.71886987727</v>
      </c>
      <c r="U59" s="29">
        <f t="shared" si="17"/>
        <v>127655.67662280446</v>
      </c>
      <c r="V59" s="29">
        <f t="shared" si="17"/>
        <v>128542.75615276545</v>
      </c>
      <c r="W59" s="29">
        <f t="shared" si="17"/>
        <v>129436</v>
      </c>
    </row>
    <row r="60" spans="1:23">
      <c r="A60">
        <f t="shared" si="18"/>
        <v>27</v>
      </c>
      <c r="B60" t="str">
        <f t="shared" si="18"/>
        <v>Tubuh air</v>
      </c>
      <c r="C60" s="29">
        <f t="shared" si="19"/>
        <v>165172</v>
      </c>
      <c r="D60" s="29">
        <f t="shared" si="19"/>
        <v>165137.78582850515</v>
      </c>
      <c r="E60" s="29">
        <f t="shared" si="19"/>
        <v>165103.57874422564</v>
      </c>
      <c r="F60" s="29">
        <f t="shared" si="19"/>
        <v>165069.37874569339</v>
      </c>
      <c r="G60" s="29">
        <f t="shared" si="19"/>
        <v>165035.18583144067</v>
      </c>
      <c r="H60" s="29">
        <f t="shared" si="19"/>
        <v>165001</v>
      </c>
      <c r="I60" s="29">
        <f t="shared" si="19"/>
        <v>165001</v>
      </c>
      <c r="J60" s="29">
        <f t="shared" si="19"/>
        <v>165001</v>
      </c>
      <c r="K60" s="29">
        <f t="shared" si="19"/>
        <v>165001</v>
      </c>
      <c r="L60" s="29">
        <f t="shared" si="19"/>
        <v>165001</v>
      </c>
      <c r="M60" s="29">
        <f t="shared" si="19"/>
        <v>165001</v>
      </c>
      <c r="N60" s="29">
        <f t="shared" si="19"/>
        <v>165001</v>
      </c>
      <c r="O60" s="29">
        <f t="shared" si="19"/>
        <v>165001</v>
      </c>
      <c r="P60" s="29">
        <f t="shared" si="19"/>
        <v>165001</v>
      </c>
      <c r="Q60" s="29">
        <f t="shared" si="19"/>
        <v>165001</v>
      </c>
      <c r="R60" s="29">
        <f t="shared" si="19"/>
        <v>165001</v>
      </c>
      <c r="S60" s="29">
        <f t="shared" si="17"/>
        <v>165001</v>
      </c>
      <c r="T60" s="29">
        <f t="shared" si="17"/>
        <v>165001</v>
      </c>
      <c r="U60" s="29">
        <f t="shared" si="17"/>
        <v>165001</v>
      </c>
      <c r="V60" s="29">
        <f t="shared" si="17"/>
        <v>165001</v>
      </c>
      <c r="W60" s="29">
        <f t="shared" si="17"/>
        <v>165001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98009-0DF6-4BB3-B890-CF30441E949E}">
  <dimension ref="A1:AF31"/>
  <sheetViews>
    <sheetView zoomScale="66" workbookViewId="0">
      <selection activeCell="K13" sqref="K13"/>
    </sheetView>
  </sheetViews>
  <sheetFormatPr defaultRowHeight="14.5"/>
  <cols>
    <col min="1" max="1" width="31.453125" bestFit="1" customWidth="1"/>
    <col min="2" max="2" width="13.7265625" bestFit="1" customWidth="1"/>
    <col min="3" max="16" width="10.1796875" bestFit="1" customWidth="1"/>
    <col min="17" max="17" width="8.81640625" customWidth="1"/>
    <col min="18" max="21" width="10.1796875" bestFit="1" customWidth="1"/>
    <col min="22" max="32" width="11.08984375" bestFit="1" customWidth="1"/>
  </cols>
  <sheetData>
    <row r="1" spans="1:32">
      <c r="A1" t="s">
        <v>485</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s="23" t="s">
        <v>484</v>
      </c>
      <c r="B2" s="47">
        <v>8447760</v>
      </c>
      <c r="C2" s="47">
        <v>8548610</v>
      </c>
      <c r="D2" s="47">
        <v>8647260</v>
      </c>
      <c r="E2" s="47">
        <v>8743520</v>
      </c>
      <c r="F2" s="47">
        <v>8837300</v>
      </c>
      <c r="G2" s="47">
        <v>8928520</v>
      </c>
      <c r="H2" s="47">
        <v>9017140</v>
      </c>
      <c r="I2" s="47">
        <v>9103180</v>
      </c>
      <c r="J2" s="47">
        <v>9186600</v>
      </c>
      <c r="K2" s="47">
        <v>9267400</v>
      </c>
      <c r="L2" s="47">
        <v>9345650</v>
      </c>
      <c r="M2" s="47">
        <v>9421670</v>
      </c>
      <c r="N2" s="47">
        <v>9495790</v>
      </c>
      <c r="O2" s="47">
        <v>9568080</v>
      </c>
      <c r="P2" s="47">
        <v>9638580</v>
      </c>
      <c r="Q2" s="47">
        <v>9707360</v>
      </c>
      <c r="R2" s="47">
        <v>9774490</v>
      </c>
      <c r="S2" s="47">
        <v>9839900</v>
      </c>
      <c r="T2" s="47">
        <v>9903640</v>
      </c>
      <c r="U2" s="47">
        <v>9965680</v>
      </c>
      <c r="V2" s="47">
        <v>10025960</v>
      </c>
      <c r="W2" s="47">
        <v>10084270</v>
      </c>
      <c r="X2" s="47">
        <v>10140350</v>
      </c>
      <c r="Y2" s="47">
        <v>10194060</v>
      </c>
      <c r="Z2" s="47">
        <v>10245340</v>
      </c>
      <c r="AA2" s="47">
        <v>10294090</v>
      </c>
      <c r="AB2" s="47">
        <v>10340150</v>
      </c>
      <c r="AC2" s="47">
        <v>10383380</v>
      </c>
      <c r="AD2" s="47">
        <v>10423750</v>
      </c>
      <c r="AE2" s="47">
        <v>10461210</v>
      </c>
      <c r="AF2" s="47">
        <v>10495720</v>
      </c>
    </row>
    <row r="3" spans="1:32" ht="15.5">
      <c r="A3" s="42"/>
    </row>
    <row r="4" spans="1:32">
      <c r="A4" t="s">
        <v>486</v>
      </c>
      <c r="B4" t="s">
        <v>487</v>
      </c>
    </row>
    <row r="5" spans="1:32" ht="15.5">
      <c r="A5" s="42"/>
      <c r="D5" s="44"/>
      <c r="E5" s="44"/>
      <c r="F5" s="44"/>
      <c r="G5" s="44"/>
      <c r="H5" s="44"/>
      <c r="I5" s="44"/>
      <c r="J5" s="44"/>
      <c r="K5" s="44"/>
      <c r="L5" s="44"/>
      <c r="M5" s="44"/>
      <c r="N5" s="44"/>
      <c r="O5" s="44"/>
      <c r="P5" s="44"/>
      <c r="Q5" s="44"/>
      <c r="R5" s="44"/>
      <c r="S5" s="44"/>
      <c r="T5" s="44"/>
      <c r="U5" s="44"/>
      <c r="V5" s="44"/>
      <c r="W5" s="44"/>
      <c r="X5" s="44"/>
      <c r="Y5" s="44"/>
      <c r="Z5" s="44"/>
      <c r="AA5" s="44"/>
    </row>
    <row r="6" spans="1:32" ht="15.5">
      <c r="A6" s="42"/>
    </row>
    <row r="7" spans="1:32" ht="15.5">
      <c r="A7" s="42"/>
      <c r="Q7" s="43"/>
    </row>
    <row r="9" spans="1:32">
      <c r="A9" t="s">
        <v>488</v>
      </c>
    </row>
    <row r="10" spans="1:32">
      <c r="A10" s="48" t="s">
        <v>489</v>
      </c>
      <c r="B10" s="49" t="s">
        <v>490</v>
      </c>
    </row>
    <row r="11" spans="1:32">
      <c r="A11" cm="1">
        <f t="array" ref="A11:A31">TRANSPOSE(G1:AA1)</f>
        <v>2025</v>
      </c>
      <c r="B11" s="17" cm="1">
        <f t="array" ref="B11:B31">TRANSPOSE(G2:AA2)</f>
        <v>8928520</v>
      </c>
    </row>
    <row r="12" spans="1:32">
      <c r="A12">
        <v>2026</v>
      </c>
      <c r="B12" s="17">
        <v>9017140</v>
      </c>
    </row>
    <row r="13" spans="1:32">
      <c r="A13">
        <v>2027</v>
      </c>
      <c r="B13" s="17">
        <v>9103180</v>
      </c>
    </row>
    <row r="14" spans="1:32">
      <c r="A14">
        <v>2028</v>
      </c>
      <c r="B14" s="17">
        <v>9186600</v>
      </c>
    </row>
    <row r="15" spans="1:32">
      <c r="A15">
        <v>2029</v>
      </c>
      <c r="B15" s="17">
        <v>9267400</v>
      </c>
    </row>
    <row r="16" spans="1:32">
      <c r="A16">
        <v>2030</v>
      </c>
      <c r="B16" s="17">
        <v>9345650</v>
      </c>
    </row>
    <row r="17" spans="1:2">
      <c r="A17">
        <v>2031</v>
      </c>
      <c r="B17" s="17">
        <v>9421670</v>
      </c>
    </row>
    <row r="18" spans="1:2">
      <c r="A18">
        <v>2032</v>
      </c>
      <c r="B18" s="17">
        <v>9495790</v>
      </c>
    </row>
    <row r="19" spans="1:2">
      <c r="A19">
        <v>2033</v>
      </c>
      <c r="B19" s="17">
        <v>9568080</v>
      </c>
    </row>
    <row r="20" spans="1:2">
      <c r="A20">
        <v>2034</v>
      </c>
      <c r="B20" s="17">
        <v>9638580</v>
      </c>
    </row>
    <row r="21" spans="1:2">
      <c r="A21">
        <v>2035</v>
      </c>
      <c r="B21" s="17">
        <v>9707360</v>
      </c>
    </row>
    <row r="22" spans="1:2">
      <c r="A22">
        <v>2036</v>
      </c>
      <c r="B22" s="17">
        <v>9774490</v>
      </c>
    </row>
    <row r="23" spans="1:2">
      <c r="A23">
        <v>2037</v>
      </c>
      <c r="B23" s="17">
        <v>9839900</v>
      </c>
    </row>
    <row r="24" spans="1:2">
      <c r="A24">
        <v>2038</v>
      </c>
      <c r="B24" s="17">
        <v>9903640</v>
      </c>
    </row>
    <row r="25" spans="1:2">
      <c r="A25">
        <v>2039</v>
      </c>
      <c r="B25" s="17">
        <v>9965680</v>
      </c>
    </row>
    <row r="26" spans="1:2">
      <c r="A26">
        <v>2040</v>
      </c>
      <c r="B26" s="17">
        <v>10025960</v>
      </c>
    </row>
    <row r="27" spans="1:2">
      <c r="A27">
        <v>2041</v>
      </c>
      <c r="B27" s="17">
        <v>10084270</v>
      </c>
    </row>
    <row r="28" spans="1:2">
      <c r="A28">
        <v>2042</v>
      </c>
      <c r="B28" s="17">
        <v>10140350</v>
      </c>
    </row>
    <row r="29" spans="1:2">
      <c r="A29">
        <v>2043</v>
      </c>
      <c r="B29" s="17">
        <v>10194060</v>
      </c>
    </row>
    <row r="30" spans="1:2">
      <c r="A30">
        <v>2044</v>
      </c>
      <c r="B30" s="17">
        <v>10245340</v>
      </c>
    </row>
    <row r="31" spans="1:2">
      <c r="A31">
        <v>2045</v>
      </c>
      <c r="B31" s="17">
        <v>10294090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4EDC2-2880-4DCF-ACF6-5EBE3C11CE1C}">
  <dimension ref="A1:AE61"/>
  <sheetViews>
    <sheetView workbookViewId="0">
      <pane xSplit="2" ySplit="1" topLeftCell="H2" activePane="bottomRight" state="frozen"/>
      <selection pane="topRight" activeCell="C1" sqref="C1"/>
      <selection pane="bottomLeft" activeCell="A2" sqref="A2"/>
      <selection pane="bottomRight" activeCell="J28" sqref="J28"/>
    </sheetView>
  </sheetViews>
  <sheetFormatPr defaultRowHeight="14.5"/>
  <cols>
    <col min="2" max="2" width="35.1796875" customWidth="1"/>
  </cols>
  <sheetData>
    <row r="1" spans="1:31">
      <c r="A1" t="s">
        <v>263</v>
      </c>
      <c r="B1" t="s">
        <v>264</v>
      </c>
      <c r="C1" t="s">
        <v>335</v>
      </c>
      <c r="D1" t="s">
        <v>336</v>
      </c>
      <c r="E1" t="s">
        <v>337</v>
      </c>
      <c r="F1" t="s">
        <v>338</v>
      </c>
      <c r="G1" t="s">
        <v>339</v>
      </c>
      <c r="H1" t="s">
        <v>340</v>
      </c>
      <c r="I1" t="s">
        <v>341</v>
      </c>
      <c r="J1" t="s">
        <v>342</v>
      </c>
      <c r="K1" t="s">
        <v>343</v>
      </c>
      <c r="L1" t="s">
        <v>344</v>
      </c>
      <c r="M1" t="s">
        <v>345</v>
      </c>
      <c r="N1" t="s">
        <v>346</v>
      </c>
      <c r="O1" t="s">
        <v>347</v>
      </c>
      <c r="P1" t="s">
        <v>348</v>
      </c>
      <c r="Q1" t="s">
        <v>349</v>
      </c>
      <c r="R1" t="s">
        <v>350</v>
      </c>
      <c r="S1" t="s">
        <v>351</v>
      </c>
      <c r="T1" t="s">
        <v>352</v>
      </c>
      <c r="U1" t="s">
        <v>353</v>
      </c>
      <c r="V1" t="s">
        <v>354</v>
      </c>
      <c r="W1" s="4" t="s">
        <v>355</v>
      </c>
      <c r="X1" s="4" t="s">
        <v>356</v>
      </c>
      <c r="Y1" t="s">
        <v>357</v>
      </c>
      <c r="Z1" t="s">
        <v>358</v>
      </c>
      <c r="AA1" t="s">
        <v>359</v>
      </c>
      <c r="AB1" t="s">
        <v>360</v>
      </c>
      <c r="AC1" t="s">
        <v>361</v>
      </c>
      <c r="AE1" s="35" t="s">
        <v>451</v>
      </c>
    </row>
    <row r="2" spans="1:31">
      <c r="A2">
        <v>1</v>
      </c>
      <c r="B2" t="s">
        <v>69</v>
      </c>
      <c r="K2">
        <v>0.1</v>
      </c>
      <c r="M2">
        <v>0.01</v>
      </c>
      <c r="S2">
        <v>1</v>
      </c>
      <c r="T2">
        <v>1</v>
      </c>
      <c r="AE2" s="35">
        <f>SUM(C2:AC2)</f>
        <v>2.1100000000000003</v>
      </c>
    </row>
    <row r="3" spans="1:31">
      <c r="A3">
        <v>2</v>
      </c>
      <c r="B3" t="s">
        <v>70</v>
      </c>
      <c r="K3">
        <v>0.1</v>
      </c>
      <c r="M3">
        <v>0.01</v>
      </c>
      <c r="V3">
        <v>1</v>
      </c>
      <c r="AE3" s="35">
        <f t="shared" ref="AE3:AE10" si="0">SUM(C3:AC3)</f>
        <v>1.1100000000000001</v>
      </c>
    </row>
    <row r="4" spans="1:31">
      <c r="A4">
        <v>3</v>
      </c>
      <c r="B4" t="s">
        <v>71</v>
      </c>
      <c r="K4">
        <v>0.2</v>
      </c>
      <c r="M4">
        <v>0.9</v>
      </c>
      <c r="N4">
        <v>1</v>
      </c>
      <c r="AE4" s="35">
        <f t="shared" si="0"/>
        <v>2.1</v>
      </c>
    </row>
    <row r="5" spans="1:31">
      <c r="A5">
        <v>4</v>
      </c>
      <c r="B5" t="s">
        <v>72</v>
      </c>
      <c r="O5">
        <v>1</v>
      </c>
      <c r="P5">
        <v>1</v>
      </c>
      <c r="AE5" s="35">
        <f t="shared" si="0"/>
        <v>2</v>
      </c>
    </row>
    <row r="6" spans="1:31">
      <c r="A6">
        <v>5</v>
      </c>
      <c r="B6" t="s">
        <v>73</v>
      </c>
      <c r="K6">
        <v>0.3</v>
      </c>
      <c r="L6">
        <v>1</v>
      </c>
      <c r="M6">
        <v>0.08</v>
      </c>
      <c r="Q6">
        <v>1</v>
      </c>
      <c r="R6">
        <v>1</v>
      </c>
      <c r="U6">
        <v>1</v>
      </c>
      <c r="AE6" s="35">
        <f>SUM(C6:AC6)</f>
        <v>4.38</v>
      </c>
    </row>
    <row r="7" spans="1:31">
      <c r="A7">
        <v>6</v>
      </c>
      <c r="B7" t="s">
        <v>74</v>
      </c>
      <c r="X7">
        <v>0.2</v>
      </c>
      <c r="AE7" s="35">
        <f t="shared" si="0"/>
        <v>0.2</v>
      </c>
    </row>
    <row r="8" spans="1:31">
      <c r="A8">
        <v>7</v>
      </c>
      <c r="B8" t="s">
        <v>75</v>
      </c>
      <c r="AE8" s="36"/>
    </row>
    <row r="9" spans="1:31">
      <c r="A9">
        <v>8</v>
      </c>
      <c r="B9" t="s">
        <v>76</v>
      </c>
      <c r="D9">
        <v>7.0000000000000007E-2</v>
      </c>
      <c r="E9">
        <v>0.1</v>
      </c>
      <c r="J9">
        <v>0.2</v>
      </c>
      <c r="AE9" s="35">
        <f t="shared" si="0"/>
        <v>0.37</v>
      </c>
    </row>
    <row r="10" spans="1:31">
      <c r="A10">
        <v>9</v>
      </c>
      <c r="B10" t="s">
        <v>77</v>
      </c>
      <c r="H10">
        <v>0.03</v>
      </c>
      <c r="I10">
        <v>7.0000000000000007E-2</v>
      </c>
      <c r="AB10">
        <v>1</v>
      </c>
      <c r="AE10" s="35">
        <f t="shared" si="0"/>
        <v>1.1000000000000001</v>
      </c>
    </row>
    <row r="11" spans="1:31">
      <c r="A11">
        <v>10</v>
      </c>
      <c r="B11" t="s">
        <v>78</v>
      </c>
    </row>
    <row r="12" spans="1:31">
      <c r="A12">
        <v>11</v>
      </c>
      <c r="B12" t="s">
        <v>79</v>
      </c>
    </row>
    <row r="13" spans="1:31">
      <c r="A13">
        <v>12</v>
      </c>
      <c r="B13" t="s">
        <v>80</v>
      </c>
    </row>
    <row r="14" spans="1:31">
      <c r="A14">
        <v>13</v>
      </c>
      <c r="B14" t="s">
        <v>81</v>
      </c>
    </row>
    <row r="15" spans="1:31">
      <c r="A15">
        <v>14</v>
      </c>
      <c r="B15" t="s">
        <v>82</v>
      </c>
    </row>
    <row r="16" spans="1:31">
      <c r="A16">
        <v>15</v>
      </c>
      <c r="B16" t="s">
        <v>83</v>
      </c>
    </row>
    <row r="17" spans="1:2">
      <c r="A17">
        <v>16</v>
      </c>
      <c r="B17" t="s">
        <v>84</v>
      </c>
    </row>
    <row r="18" spans="1:2">
      <c r="A18">
        <v>17</v>
      </c>
      <c r="B18" t="s">
        <v>85</v>
      </c>
    </row>
    <row r="19" spans="1:2">
      <c r="A19">
        <v>18</v>
      </c>
      <c r="B19" t="s">
        <v>86</v>
      </c>
    </row>
    <row r="20" spans="1:2">
      <c r="A20">
        <v>19</v>
      </c>
      <c r="B20" t="s">
        <v>87</v>
      </c>
    </row>
    <row r="21" spans="1:2">
      <c r="A21">
        <v>20</v>
      </c>
      <c r="B21" t="s">
        <v>88</v>
      </c>
    </row>
    <row r="22" spans="1:2">
      <c r="A22">
        <v>21</v>
      </c>
      <c r="B22" t="s">
        <v>89</v>
      </c>
    </row>
    <row r="23" spans="1:2">
      <c r="A23">
        <v>22</v>
      </c>
      <c r="B23" t="s">
        <v>90</v>
      </c>
    </row>
    <row r="24" spans="1:2">
      <c r="A24">
        <v>23</v>
      </c>
      <c r="B24" t="s">
        <v>91</v>
      </c>
    </row>
    <row r="25" spans="1:2">
      <c r="A25">
        <v>24</v>
      </c>
      <c r="B25" t="s">
        <v>92</v>
      </c>
    </row>
    <row r="26" spans="1:2">
      <c r="A26">
        <v>25</v>
      </c>
      <c r="B26" t="s">
        <v>93</v>
      </c>
    </row>
    <row r="27" spans="1:2">
      <c r="A27">
        <v>26</v>
      </c>
      <c r="B27" t="s">
        <v>94</v>
      </c>
    </row>
    <row r="28" spans="1:2">
      <c r="A28">
        <v>27</v>
      </c>
      <c r="B28" t="s">
        <v>95</v>
      </c>
    </row>
    <row r="29" spans="1:2">
      <c r="A29">
        <v>28</v>
      </c>
      <c r="B29" t="s">
        <v>96</v>
      </c>
    </row>
    <row r="30" spans="1:2">
      <c r="A30">
        <v>29</v>
      </c>
      <c r="B30" t="s">
        <v>97</v>
      </c>
    </row>
    <row r="31" spans="1:2">
      <c r="A31">
        <v>30</v>
      </c>
      <c r="B31" t="s">
        <v>98</v>
      </c>
    </row>
    <row r="32" spans="1:2">
      <c r="A32">
        <v>31</v>
      </c>
      <c r="B32" t="s">
        <v>99</v>
      </c>
    </row>
    <row r="33" spans="1:2">
      <c r="A33">
        <v>32</v>
      </c>
      <c r="B33" t="s">
        <v>100</v>
      </c>
    </row>
    <row r="34" spans="1:2">
      <c r="A34">
        <v>33</v>
      </c>
      <c r="B34" t="s">
        <v>101</v>
      </c>
    </row>
    <row r="35" spans="1:2">
      <c r="A35">
        <v>34</v>
      </c>
      <c r="B35" t="s">
        <v>102</v>
      </c>
    </row>
    <row r="36" spans="1:2">
      <c r="A36">
        <v>35</v>
      </c>
      <c r="B36" t="s">
        <v>103</v>
      </c>
    </row>
    <row r="37" spans="1:2">
      <c r="A37">
        <v>36</v>
      </c>
      <c r="B37" t="s">
        <v>104</v>
      </c>
    </row>
    <row r="38" spans="1:2">
      <c r="A38">
        <v>37</v>
      </c>
      <c r="B38" t="s">
        <v>105</v>
      </c>
    </row>
    <row r="39" spans="1:2">
      <c r="A39">
        <v>38</v>
      </c>
      <c r="B39" t="s">
        <v>106</v>
      </c>
    </row>
    <row r="40" spans="1:2">
      <c r="A40">
        <v>39</v>
      </c>
      <c r="B40" t="s">
        <v>107</v>
      </c>
    </row>
    <row r="41" spans="1:2">
      <c r="A41">
        <v>40</v>
      </c>
      <c r="B41" t="s">
        <v>108</v>
      </c>
    </row>
    <row r="42" spans="1:2">
      <c r="A42">
        <v>41</v>
      </c>
      <c r="B42" t="s">
        <v>109</v>
      </c>
    </row>
    <row r="43" spans="1:2">
      <c r="A43">
        <v>42</v>
      </c>
      <c r="B43" t="s">
        <v>110</v>
      </c>
    </row>
    <row r="44" spans="1:2">
      <c r="A44">
        <v>43</v>
      </c>
      <c r="B44" t="s">
        <v>111</v>
      </c>
    </row>
    <row r="45" spans="1:2">
      <c r="A45">
        <v>44</v>
      </c>
      <c r="B45" t="s">
        <v>112</v>
      </c>
    </row>
    <row r="46" spans="1:2">
      <c r="A46">
        <v>45</v>
      </c>
      <c r="B46" t="s">
        <v>113</v>
      </c>
    </row>
    <row r="47" spans="1:2">
      <c r="A47">
        <v>46</v>
      </c>
      <c r="B47" t="s">
        <v>114</v>
      </c>
    </row>
    <row r="48" spans="1:2">
      <c r="A48">
        <v>47</v>
      </c>
      <c r="B48" t="s">
        <v>115</v>
      </c>
    </row>
    <row r="49" spans="1:29">
      <c r="A49">
        <v>48</v>
      </c>
      <c r="B49" t="s">
        <v>116</v>
      </c>
    </row>
    <row r="50" spans="1:29">
      <c r="A50">
        <v>49</v>
      </c>
      <c r="B50" t="s">
        <v>117</v>
      </c>
    </row>
    <row r="51" spans="1:29">
      <c r="A51">
        <v>50</v>
      </c>
      <c r="B51" t="s">
        <v>118</v>
      </c>
    </row>
    <row r="52" spans="1:29">
      <c r="A52">
        <v>51</v>
      </c>
      <c r="B52" t="s">
        <v>119</v>
      </c>
    </row>
    <row r="53" spans="1:29">
      <c r="A53">
        <v>52</v>
      </c>
      <c r="B53" t="s">
        <v>120</v>
      </c>
    </row>
    <row r="54" spans="1:29">
      <c r="A54">
        <v>53</v>
      </c>
      <c r="B54" t="s">
        <v>121</v>
      </c>
    </row>
    <row r="55" spans="1:29">
      <c r="A55">
        <v>54</v>
      </c>
      <c r="B55" t="s">
        <v>122</v>
      </c>
    </row>
    <row r="56" spans="1:29">
      <c r="A56" s="30">
        <v>61</v>
      </c>
      <c r="B56" s="31" t="s">
        <v>123</v>
      </c>
      <c r="C56" s="32">
        <f>C60-C61</f>
        <v>1</v>
      </c>
      <c r="D56" s="32">
        <f t="shared" ref="D56:AC56" si="1">D60-D61</f>
        <v>0.92999999999999994</v>
      </c>
      <c r="E56" s="32">
        <f t="shared" si="1"/>
        <v>0.9</v>
      </c>
      <c r="F56" s="32">
        <f t="shared" si="1"/>
        <v>1</v>
      </c>
      <c r="G56" s="32">
        <f t="shared" si="1"/>
        <v>1</v>
      </c>
      <c r="H56" s="32">
        <f t="shared" si="1"/>
        <v>0.97</v>
      </c>
      <c r="I56" s="32">
        <f t="shared" si="1"/>
        <v>0.92999999999999994</v>
      </c>
      <c r="J56" s="32">
        <f t="shared" si="1"/>
        <v>0.8</v>
      </c>
      <c r="K56" s="32">
        <f t="shared" si="1"/>
        <v>0.30000000000000004</v>
      </c>
      <c r="L56" s="32">
        <f t="shared" si="1"/>
        <v>0</v>
      </c>
      <c r="M56" s="32">
        <f>M60-M61</f>
        <v>0</v>
      </c>
      <c r="N56" s="32">
        <f t="shared" si="1"/>
        <v>0</v>
      </c>
      <c r="O56" s="32">
        <f t="shared" si="1"/>
        <v>0</v>
      </c>
      <c r="P56" s="32">
        <f t="shared" si="1"/>
        <v>0</v>
      </c>
      <c r="Q56" s="32">
        <f t="shared" si="1"/>
        <v>0</v>
      </c>
      <c r="R56" s="32">
        <f t="shared" si="1"/>
        <v>0</v>
      </c>
      <c r="S56" s="32">
        <f t="shared" si="1"/>
        <v>0</v>
      </c>
      <c r="T56" s="32">
        <f t="shared" si="1"/>
        <v>0</v>
      </c>
      <c r="U56" s="32">
        <f t="shared" si="1"/>
        <v>0</v>
      </c>
      <c r="V56" s="32">
        <f t="shared" si="1"/>
        <v>0</v>
      </c>
      <c r="W56" s="32">
        <f t="shared" si="1"/>
        <v>1</v>
      </c>
      <c r="X56" s="32">
        <f t="shared" si="1"/>
        <v>0.8</v>
      </c>
      <c r="Y56" s="32">
        <f t="shared" si="1"/>
        <v>1</v>
      </c>
      <c r="Z56" s="32">
        <f t="shared" si="1"/>
        <v>1</v>
      </c>
      <c r="AA56" s="32">
        <f t="shared" si="1"/>
        <v>1</v>
      </c>
      <c r="AB56" s="32">
        <f t="shared" si="1"/>
        <v>0</v>
      </c>
      <c r="AC56" s="32">
        <f t="shared" si="1"/>
        <v>1</v>
      </c>
    </row>
    <row r="58" spans="1:29">
      <c r="C58" s="33">
        <f>SUM(C2:C56)</f>
        <v>1</v>
      </c>
      <c r="D58" s="33">
        <f t="shared" ref="D58:AC58" si="2">SUM(D2:D56)</f>
        <v>1</v>
      </c>
      <c r="E58" s="33">
        <f t="shared" si="2"/>
        <v>1</v>
      </c>
      <c r="F58" s="33">
        <f t="shared" si="2"/>
        <v>1</v>
      </c>
      <c r="G58" s="33">
        <f t="shared" si="2"/>
        <v>1</v>
      </c>
      <c r="H58" s="33">
        <f t="shared" si="2"/>
        <v>1</v>
      </c>
      <c r="I58" s="33">
        <f t="shared" si="2"/>
        <v>1</v>
      </c>
      <c r="J58" s="33">
        <f t="shared" si="2"/>
        <v>1</v>
      </c>
      <c r="K58" s="33">
        <f t="shared" si="2"/>
        <v>1</v>
      </c>
      <c r="L58" s="33">
        <f t="shared" si="2"/>
        <v>1</v>
      </c>
      <c r="M58" s="33">
        <f t="shared" si="2"/>
        <v>1</v>
      </c>
      <c r="N58" s="33">
        <f t="shared" si="2"/>
        <v>1</v>
      </c>
      <c r="O58" s="33">
        <f t="shared" si="2"/>
        <v>1</v>
      </c>
      <c r="P58" s="33">
        <f t="shared" si="2"/>
        <v>1</v>
      </c>
      <c r="Q58" s="33">
        <f t="shared" si="2"/>
        <v>1</v>
      </c>
      <c r="R58" s="33">
        <f t="shared" si="2"/>
        <v>1</v>
      </c>
      <c r="S58" s="33">
        <f t="shared" si="2"/>
        <v>1</v>
      </c>
      <c r="T58" s="33">
        <f t="shared" si="2"/>
        <v>1</v>
      </c>
      <c r="U58" s="33">
        <f t="shared" si="2"/>
        <v>1</v>
      </c>
      <c r="V58" s="33">
        <f t="shared" si="2"/>
        <v>1</v>
      </c>
      <c r="W58" s="33">
        <f t="shared" si="2"/>
        <v>1</v>
      </c>
      <c r="X58" s="33">
        <f t="shared" si="2"/>
        <v>1</v>
      </c>
      <c r="Y58" s="33">
        <f t="shared" si="2"/>
        <v>1</v>
      </c>
      <c r="Z58" s="33">
        <f t="shared" si="2"/>
        <v>1</v>
      </c>
      <c r="AA58" s="33">
        <f t="shared" si="2"/>
        <v>1</v>
      </c>
      <c r="AB58" s="33">
        <f t="shared" si="2"/>
        <v>1</v>
      </c>
      <c r="AC58" s="33">
        <f t="shared" si="2"/>
        <v>1</v>
      </c>
    </row>
    <row r="60" spans="1:29">
      <c r="C60">
        <v>1</v>
      </c>
      <c r="D60">
        <v>1</v>
      </c>
      <c r="E60">
        <v>1</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c r="C61" s="33">
        <f>SUM(C2:C55)</f>
        <v>0</v>
      </c>
      <c r="D61" s="33">
        <f t="shared" ref="D61:AC61" si="3">SUM(D2:D55)</f>
        <v>7.0000000000000007E-2</v>
      </c>
      <c r="E61" s="33">
        <f t="shared" si="3"/>
        <v>0.1</v>
      </c>
      <c r="F61" s="33">
        <f t="shared" si="3"/>
        <v>0</v>
      </c>
      <c r="G61" s="33">
        <f t="shared" si="3"/>
        <v>0</v>
      </c>
      <c r="H61" s="33">
        <f t="shared" si="3"/>
        <v>0.03</v>
      </c>
      <c r="I61" s="33">
        <f t="shared" si="3"/>
        <v>7.0000000000000007E-2</v>
      </c>
      <c r="J61" s="33">
        <f t="shared" si="3"/>
        <v>0.2</v>
      </c>
      <c r="K61" s="33">
        <f t="shared" si="3"/>
        <v>0.7</v>
      </c>
      <c r="L61" s="33">
        <f t="shared" si="3"/>
        <v>1</v>
      </c>
      <c r="M61" s="33">
        <f t="shared" si="3"/>
        <v>1</v>
      </c>
      <c r="N61" s="33">
        <f t="shared" si="3"/>
        <v>1</v>
      </c>
      <c r="O61" s="33">
        <f t="shared" si="3"/>
        <v>1</v>
      </c>
      <c r="P61" s="33">
        <f t="shared" si="3"/>
        <v>1</v>
      </c>
      <c r="Q61" s="33">
        <f t="shared" si="3"/>
        <v>1</v>
      </c>
      <c r="R61" s="33">
        <f t="shared" si="3"/>
        <v>1</v>
      </c>
      <c r="S61" s="33">
        <f t="shared" si="3"/>
        <v>1</v>
      </c>
      <c r="T61" s="33">
        <f t="shared" si="3"/>
        <v>1</v>
      </c>
      <c r="U61" s="33">
        <f t="shared" si="3"/>
        <v>1</v>
      </c>
      <c r="V61" s="33">
        <f t="shared" si="3"/>
        <v>1</v>
      </c>
      <c r="W61" s="33">
        <f t="shared" si="3"/>
        <v>0</v>
      </c>
      <c r="X61" s="33">
        <f t="shared" si="3"/>
        <v>0.2</v>
      </c>
      <c r="Y61" s="33">
        <f t="shared" si="3"/>
        <v>0</v>
      </c>
      <c r="Z61" s="33">
        <f t="shared" si="3"/>
        <v>0</v>
      </c>
      <c r="AA61" s="33">
        <f t="shared" si="3"/>
        <v>0</v>
      </c>
      <c r="AB61" s="33">
        <f t="shared" si="3"/>
        <v>1</v>
      </c>
      <c r="AC61" s="33">
        <f t="shared" si="3"/>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3E0A2-E10C-4D48-A433-9FA5EF0BD6D5}">
  <dimension ref="A1:L56"/>
  <sheetViews>
    <sheetView topLeftCell="A38" workbookViewId="0">
      <selection activeCell="K2" sqref="K2:K56"/>
    </sheetView>
  </sheetViews>
  <sheetFormatPr defaultRowHeight="14.5"/>
  <sheetData>
    <row r="1" spans="1:12">
      <c r="A1" t="s">
        <v>468</v>
      </c>
      <c r="B1" t="s">
        <v>469</v>
      </c>
      <c r="C1" t="s">
        <v>265</v>
      </c>
      <c r="D1" t="s">
        <v>267</v>
      </c>
      <c r="E1" t="s">
        <v>470</v>
      </c>
      <c r="F1" t="s">
        <v>471</v>
      </c>
      <c r="G1" t="s">
        <v>472</v>
      </c>
      <c r="H1" t="s">
        <v>473</v>
      </c>
      <c r="I1" t="s">
        <v>457</v>
      </c>
      <c r="J1" t="s">
        <v>456</v>
      </c>
      <c r="K1" t="s">
        <v>474</v>
      </c>
      <c r="L1" t="s">
        <v>475</v>
      </c>
    </row>
    <row r="2" spans="1:12">
      <c r="A2" t="s">
        <v>2</v>
      </c>
      <c r="B2" t="s">
        <v>69</v>
      </c>
      <c r="C2" t="s">
        <v>368</v>
      </c>
      <c r="D2" t="s">
        <v>269</v>
      </c>
      <c r="E2">
        <v>0.18329999999999999</v>
      </c>
      <c r="F2">
        <v>0.17219999999999999</v>
      </c>
      <c r="G2">
        <v>1.2616000000000001</v>
      </c>
      <c r="H2">
        <v>1.4121999999999999</v>
      </c>
      <c r="I2">
        <v>0.86970000000000003</v>
      </c>
      <c r="J2">
        <v>0.97360000000000002</v>
      </c>
      <c r="K2" t="s">
        <v>476</v>
      </c>
      <c r="L2" t="s">
        <v>477</v>
      </c>
    </row>
    <row r="3" spans="1:12">
      <c r="A3" t="s">
        <v>3</v>
      </c>
      <c r="B3" t="s">
        <v>70</v>
      </c>
      <c r="C3" t="s">
        <v>370</v>
      </c>
      <c r="D3" t="s">
        <v>269</v>
      </c>
      <c r="E3">
        <v>0.18410000000000001</v>
      </c>
      <c r="F3">
        <v>5.5800000000000002E-2</v>
      </c>
      <c r="G3">
        <v>1.2763</v>
      </c>
      <c r="H3">
        <v>1.081</v>
      </c>
      <c r="I3">
        <v>0.87990000000000002</v>
      </c>
      <c r="J3">
        <v>0.74529999999999996</v>
      </c>
      <c r="K3" t="s">
        <v>476</v>
      </c>
      <c r="L3" t="s">
        <v>477</v>
      </c>
    </row>
    <row r="4" spans="1:12">
      <c r="A4" t="s">
        <v>4</v>
      </c>
      <c r="B4" t="s">
        <v>71</v>
      </c>
      <c r="C4" t="s">
        <v>271</v>
      </c>
      <c r="D4" t="s">
        <v>269</v>
      </c>
      <c r="E4">
        <v>0.31180000000000002</v>
      </c>
      <c r="F4">
        <v>0.34870000000000001</v>
      </c>
      <c r="G4">
        <v>1.488</v>
      </c>
      <c r="H4">
        <v>1.4961</v>
      </c>
      <c r="I4">
        <v>1.0258</v>
      </c>
      <c r="J4">
        <v>1.0314000000000001</v>
      </c>
      <c r="K4" t="s">
        <v>478</v>
      </c>
      <c r="L4" t="s">
        <v>479</v>
      </c>
    </row>
    <row r="5" spans="1:12">
      <c r="A5" t="s">
        <v>5</v>
      </c>
      <c r="B5" t="s">
        <v>72</v>
      </c>
      <c r="C5" t="s">
        <v>272</v>
      </c>
      <c r="D5" t="s">
        <v>269</v>
      </c>
      <c r="E5">
        <v>0.26690000000000003</v>
      </c>
      <c r="F5">
        <v>0.20549999999999999</v>
      </c>
      <c r="G5">
        <v>1.4081999999999999</v>
      </c>
      <c r="H5">
        <v>1.5158</v>
      </c>
      <c r="I5">
        <v>0.97089999999999999</v>
      </c>
      <c r="J5">
        <v>1.0449999999999999</v>
      </c>
      <c r="K5" t="s">
        <v>480</v>
      </c>
      <c r="L5" t="s">
        <v>481</v>
      </c>
    </row>
    <row r="6" spans="1:12">
      <c r="A6" t="s">
        <v>6</v>
      </c>
      <c r="B6" t="s">
        <v>73</v>
      </c>
      <c r="C6" t="s">
        <v>273</v>
      </c>
      <c r="D6" t="s">
        <v>269</v>
      </c>
      <c r="E6">
        <v>0.35589999999999999</v>
      </c>
      <c r="F6">
        <v>0.1206</v>
      </c>
      <c r="G6">
        <v>1.5368999999999999</v>
      </c>
      <c r="H6">
        <v>1.2131000000000001</v>
      </c>
      <c r="I6">
        <v>1.0596000000000001</v>
      </c>
      <c r="J6">
        <v>0.83640000000000003</v>
      </c>
      <c r="K6" t="s">
        <v>482</v>
      </c>
      <c r="L6" t="s">
        <v>483</v>
      </c>
    </row>
    <row r="7" spans="1:12">
      <c r="A7" t="s">
        <v>7</v>
      </c>
      <c r="B7" t="s">
        <v>74</v>
      </c>
      <c r="C7" t="s">
        <v>274</v>
      </c>
      <c r="D7" t="s">
        <v>269</v>
      </c>
      <c r="E7">
        <v>0.29649999999999999</v>
      </c>
      <c r="F7">
        <v>0.1178</v>
      </c>
      <c r="G7">
        <v>1.4293</v>
      </c>
      <c r="H7">
        <v>1.2016</v>
      </c>
      <c r="I7">
        <v>0.98540000000000005</v>
      </c>
      <c r="J7">
        <v>0.82840000000000003</v>
      </c>
      <c r="K7" t="s">
        <v>476</v>
      </c>
      <c r="L7" t="s">
        <v>477</v>
      </c>
    </row>
    <row r="8" spans="1:12">
      <c r="A8" t="s">
        <v>8</v>
      </c>
      <c r="B8" t="s">
        <v>75</v>
      </c>
      <c r="C8" t="s">
        <v>275</v>
      </c>
      <c r="D8" t="s">
        <v>269</v>
      </c>
      <c r="E8">
        <v>0.26450000000000001</v>
      </c>
      <c r="F8">
        <v>0.22289999999999999</v>
      </c>
      <c r="G8">
        <v>1.4656</v>
      </c>
      <c r="H8">
        <v>1.2848999999999999</v>
      </c>
      <c r="I8">
        <v>1.0104</v>
      </c>
      <c r="J8">
        <v>0.88590000000000002</v>
      </c>
      <c r="K8" t="s">
        <v>482</v>
      </c>
      <c r="L8" t="s">
        <v>483</v>
      </c>
    </row>
    <row r="9" spans="1:12">
      <c r="A9" t="s">
        <v>9</v>
      </c>
      <c r="B9" t="s">
        <v>76</v>
      </c>
      <c r="C9" t="s">
        <v>276</v>
      </c>
      <c r="D9" t="s">
        <v>269</v>
      </c>
      <c r="E9">
        <v>9.4399999999999998E-2</v>
      </c>
      <c r="F9">
        <v>0.30609999999999998</v>
      </c>
      <c r="G9">
        <v>1.1292</v>
      </c>
      <c r="H9">
        <v>1.3611</v>
      </c>
      <c r="I9">
        <v>0.77849999999999997</v>
      </c>
      <c r="J9">
        <v>0.93840000000000001</v>
      </c>
      <c r="K9" t="s">
        <v>476</v>
      </c>
      <c r="L9" t="s">
        <v>477</v>
      </c>
    </row>
    <row r="10" spans="1:12">
      <c r="A10" t="s">
        <v>10</v>
      </c>
      <c r="B10" t="s">
        <v>77</v>
      </c>
      <c r="C10" t="s">
        <v>375</v>
      </c>
      <c r="D10" t="s">
        <v>269</v>
      </c>
      <c r="E10">
        <v>9.1700000000000004E-2</v>
      </c>
      <c r="F10">
        <v>0.1368</v>
      </c>
      <c r="G10">
        <v>1.1363000000000001</v>
      </c>
      <c r="H10">
        <v>1.2339</v>
      </c>
      <c r="I10">
        <v>0.78339999999999999</v>
      </c>
      <c r="J10">
        <v>0.85070000000000001</v>
      </c>
      <c r="K10" t="s">
        <v>476</v>
      </c>
      <c r="L10" t="s">
        <v>477</v>
      </c>
    </row>
    <row r="11" spans="1:12">
      <c r="A11" t="s">
        <v>11</v>
      </c>
      <c r="B11" t="s">
        <v>78</v>
      </c>
      <c r="C11" t="s">
        <v>277</v>
      </c>
      <c r="D11" t="s">
        <v>278</v>
      </c>
      <c r="E11">
        <v>0.16070000000000001</v>
      </c>
      <c r="F11">
        <v>1.2444999999999999</v>
      </c>
      <c r="G11">
        <v>1.2063999999999999</v>
      </c>
      <c r="H11">
        <v>3.5672999999999999</v>
      </c>
      <c r="I11">
        <v>0.83169999999999999</v>
      </c>
      <c r="J11">
        <v>2.4594</v>
      </c>
      <c r="K11" t="s">
        <v>480</v>
      </c>
      <c r="L11" t="s">
        <v>481</v>
      </c>
    </row>
    <row r="12" spans="1:12">
      <c r="A12" t="s">
        <v>12</v>
      </c>
      <c r="B12" t="s">
        <v>79</v>
      </c>
      <c r="C12" t="s">
        <v>279</v>
      </c>
      <c r="D12" t="s">
        <v>278</v>
      </c>
      <c r="E12">
        <v>0.41199999999999998</v>
      </c>
      <c r="F12">
        <v>0.7026</v>
      </c>
      <c r="G12">
        <v>1.5996999999999999</v>
      </c>
      <c r="H12">
        <v>2.0129000000000001</v>
      </c>
      <c r="I12">
        <v>1.1028</v>
      </c>
      <c r="J12">
        <v>1.3876999999999999</v>
      </c>
      <c r="K12" t="s">
        <v>478</v>
      </c>
      <c r="L12" t="s">
        <v>479</v>
      </c>
    </row>
    <row r="13" spans="1:12">
      <c r="A13" t="s">
        <v>13</v>
      </c>
      <c r="B13" t="s">
        <v>80</v>
      </c>
      <c r="C13" t="s">
        <v>378</v>
      </c>
      <c r="D13" t="s">
        <v>278</v>
      </c>
      <c r="E13">
        <v>0</v>
      </c>
      <c r="F13">
        <v>0</v>
      </c>
      <c r="G13">
        <v>1</v>
      </c>
      <c r="H13">
        <v>1</v>
      </c>
      <c r="I13">
        <v>0.68940000000000001</v>
      </c>
      <c r="J13">
        <v>0.68940000000000001</v>
      </c>
      <c r="K13" t="s">
        <v>476</v>
      </c>
      <c r="L13" t="s">
        <v>477</v>
      </c>
    </row>
    <row r="14" spans="1:12">
      <c r="A14" t="s">
        <v>14</v>
      </c>
      <c r="B14" t="s">
        <v>81</v>
      </c>
      <c r="C14" t="s">
        <v>280</v>
      </c>
      <c r="D14" t="s">
        <v>278</v>
      </c>
      <c r="E14">
        <v>0.224</v>
      </c>
      <c r="F14">
        <v>0.28210000000000002</v>
      </c>
      <c r="G14">
        <v>1.3183</v>
      </c>
      <c r="H14">
        <v>1.5466</v>
      </c>
      <c r="I14">
        <v>0.90890000000000004</v>
      </c>
      <c r="J14">
        <v>1.0662</v>
      </c>
      <c r="K14" t="s">
        <v>480</v>
      </c>
      <c r="L14" t="s">
        <v>481</v>
      </c>
    </row>
    <row r="15" spans="1:12">
      <c r="A15" t="s">
        <v>15</v>
      </c>
      <c r="B15" t="s">
        <v>82</v>
      </c>
      <c r="C15" t="s">
        <v>281</v>
      </c>
      <c r="D15" t="s">
        <v>282</v>
      </c>
      <c r="E15">
        <v>0.22839999999999999</v>
      </c>
      <c r="F15">
        <v>1.5059</v>
      </c>
      <c r="G15">
        <v>1.2813000000000001</v>
      </c>
      <c r="H15">
        <v>3.0329000000000002</v>
      </c>
      <c r="I15">
        <v>0.88339999999999996</v>
      </c>
      <c r="J15">
        <v>2.0909</v>
      </c>
      <c r="K15" t="s">
        <v>480</v>
      </c>
      <c r="L15" t="s">
        <v>481</v>
      </c>
    </row>
    <row r="16" spans="1:12">
      <c r="A16" t="s">
        <v>16</v>
      </c>
      <c r="B16" t="s">
        <v>83</v>
      </c>
      <c r="C16" t="s">
        <v>283</v>
      </c>
      <c r="D16" t="s">
        <v>282</v>
      </c>
      <c r="E16">
        <v>0.55030000000000001</v>
      </c>
      <c r="F16">
        <v>1.5062</v>
      </c>
      <c r="G16">
        <v>1.8259000000000001</v>
      </c>
      <c r="H16">
        <v>3.2408999999999999</v>
      </c>
      <c r="I16">
        <v>1.2587999999999999</v>
      </c>
      <c r="J16">
        <v>2.2343000000000002</v>
      </c>
      <c r="K16" t="s">
        <v>478</v>
      </c>
      <c r="L16" t="s">
        <v>479</v>
      </c>
    </row>
    <row r="17" spans="1:12">
      <c r="A17" t="s">
        <v>17</v>
      </c>
      <c r="B17" t="s">
        <v>84</v>
      </c>
      <c r="C17" t="s">
        <v>284</v>
      </c>
      <c r="D17" t="s">
        <v>282</v>
      </c>
      <c r="E17">
        <v>2.76E-2</v>
      </c>
      <c r="F17">
        <v>8.9999999999999998E-4</v>
      </c>
      <c r="G17">
        <v>1.0373000000000001</v>
      </c>
      <c r="H17">
        <v>1.0008999999999999</v>
      </c>
      <c r="I17">
        <v>0.71509999999999996</v>
      </c>
      <c r="J17">
        <v>0.69010000000000005</v>
      </c>
      <c r="K17" t="s">
        <v>476</v>
      </c>
      <c r="L17" t="s">
        <v>477</v>
      </c>
    </row>
    <row r="18" spans="1:12">
      <c r="A18" t="s">
        <v>18</v>
      </c>
      <c r="B18" t="s">
        <v>85</v>
      </c>
      <c r="C18" t="s">
        <v>285</v>
      </c>
      <c r="D18" t="s">
        <v>282</v>
      </c>
      <c r="E18">
        <v>0.4153</v>
      </c>
      <c r="F18">
        <v>5.0999999999999997E-2</v>
      </c>
      <c r="G18">
        <v>1.6323000000000001</v>
      </c>
      <c r="H18">
        <v>1.0589</v>
      </c>
      <c r="I18">
        <v>1.1253</v>
      </c>
      <c r="J18">
        <v>0.73009999999999997</v>
      </c>
      <c r="K18" t="s">
        <v>482</v>
      </c>
      <c r="L18" t="s">
        <v>483</v>
      </c>
    </row>
    <row r="19" spans="1:12">
      <c r="A19" t="s">
        <v>19</v>
      </c>
      <c r="B19" t="s">
        <v>86</v>
      </c>
      <c r="C19" t="s">
        <v>385</v>
      </c>
      <c r="D19" t="s">
        <v>282</v>
      </c>
      <c r="E19">
        <v>0.4078</v>
      </c>
      <c r="F19">
        <v>1E-4</v>
      </c>
      <c r="G19">
        <v>1.6446000000000001</v>
      </c>
      <c r="H19">
        <v>1.0001</v>
      </c>
      <c r="I19">
        <v>1.1337999999999999</v>
      </c>
      <c r="J19">
        <v>0.6895</v>
      </c>
      <c r="K19" t="s">
        <v>482</v>
      </c>
      <c r="L19" t="s">
        <v>483</v>
      </c>
    </row>
    <row r="20" spans="1:12">
      <c r="A20" t="s">
        <v>20</v>
      </c>
      <c r="B20" t="s">
        <v>87</v>
      </c>
      <c r="C20" t="s">
        <v>387</v>
      </c>
      <c r="D20" t="s">
        <v>282</v>
      </c>
      <c r="E20">
        <v>0.41970000000000002</v>
      </c>
      <c r="F20">
        <v>1.8800000000000001E-2</v>
      </c>
      <c r="G20">
        <v>1.5395000000000001</v>
      </c>
      <c r="H20">
        <v>1.0247999999999999</v>
      </c>
      <c r="I20">
        <v>1.0613999999999999</v>
      </c>
      <c r="J20">
        <v>0.70650000000000002</v>
      </c>
      <c r="K20" t="s">
        <v>482</v>
      </c>
      <c r="L20" t="s">
        <v>483</v>
      </c>
    </row>
    <row r="21" spans="1:12">
      <c r="A21" t="s">
        <v>21</v>
      </c>
      <c r="B21" t="s">
        <v>88</v>
      </c>
      <c r="C21" t="s">
        <v>286</v>
      </c>
      <c r="D21" t="s">
        <v>282</v>
      </c>
      <c r="E21">
        <v>0.4738</v>
      </c>
      <c r="F21">
        <v>0.3453</v>
      </c>
      <c r="G21">
        <v>1.7264999999999999</v>
      </c>
      <c r="H21">
        <v>1.538</v>
      </c>
      <c r="I21">
        <v>1.1902999999999999</v>
      </c>
      <c r="J21">
        <v>1.0604</v>
      </c>
      <c r="K21" t="s">
        <v>478</v>
      </c>
      <c r="L21" t="s">
        <v>479</v>
      </c>
    </row>
    <row r="22" spans="1:12">
      <c r="A22" t="s">
        <v>22</v>
      </c>
      <c r="B22" t="s">
        <v>89</v>
      </c>
      <c r="C22" t="s">
        <v>287</v>
      </c>
      <c r="D22" t="s">
        <v>282</v>
      </c>
      <c r="E22">
        <v>0.44230000000000003</v>
      </c>
      <c r="F22">
        <v>1.6653</v>
      </c>
      <c r="G22">
        <v>1.6231</v>
      </c>
      <c r="H22">
        <v>3.2265999999999999</v>
      </c>
      <c r="I22">
        <v>1.119</v>
      </c>
      <c r="J22">
        <v>2.2244999999999999</v>
      </c>
      <c r="K22" t="s">
        <v>478</v>
      </c>
      <c r="L22" t="s">
        <v>479</v>
      </c>
    </row>
    <row r="23" spans="1:12">
      <c r="A23" t="s">
        <v>23</v>
      </c>
      <c r="B23" t="s">
        <v>90</v>
      </c>
      <c r="C23" t="s">
        <v>391</v>
      </c>
      <c r="D23" t="s">
        <v>282</v>
      </c>
      <c r="E23">
        <v>0.54</v>
      </c>
      <c r="F23">
        <v>0.28939999999999999</v>
      </c>
      <c r="G23">
        <v>1.8152999999999999</v>
      </c>
      <c r="H23">
        <v>1.3971</v>
      </c>
      <c r="I23">
        <v>1.2515000000000001</v>
      </c>
      <c r="J23">
        <v>0.96319999999999995</v>
      </c>
      <c r="K23" t="s">
        <v>482</v>
      </c>
      <c r="L23" t="s">
        <v>483</v>
      </c>
    </row>
    <row r="24" spans="1:12">
      <c r="A24" t="s">
        <v>24</v>
      </c>
      <c r="B24" t="s">
        <v>91</v>
      </c>
      <c r="C24" t="s">
        <v>288</v>
      </c>
      <c r="D24" t="s">
        <v>282</v>
      </c>
      <c r="E24">
        <v>0.50539999999999996</v>
      </c>
      <c r="F24">
        <v>0.1074</v>
      </c>
      <c r="G24">
        <v>1.7729999999999999</v>
      </c>
      <c r="H24">
        <v>1.1404000000000001</v>
      </c>
      <c r="I24">
        <v>1.2223999999999999</v>
      </c>
      <c r="J24">
        <v>0.78620000000000001</v>
      </c>
      <c r="K24" t="s">
        <v>482</v>
      </c>
      <c r="L24" t="s">
        <v>483</v>
      </c>
    </row>
    <row r="25" spans="1:12">
      <c r="A25" t="s">
        <v>25</v>
      </c>
      <c r="B25" t="s">
        <v>92</v>
      </c>
      <c r="C25" t="s">
        <v>289</v>
      </c>
      <c r="D25" t="s">
        <v>282</v>
      </c>
      <c r="E25">
        <v>0.31419999999999998</v>
      </c>
      <c r="F25">
        <v>2.23E-2</v>
      </c>
      <c r="G25">
        <v>1.4505999999999999</v>
      </c>
      <c r="H25">
        <v>1.0251999999999999</v>
      </c>
      <c r="I25">
        <v>1.0001</v>
      </c>
      <c r="J25">
        <v>0.70679999999999998</v>
      </c>
      <c r="K25" t="s">
        <v>482</v>
      </c>
      <c r="L25" t="s">
        <v>483</v>
      </c>
    </row>
    <row r="26" spans="1:12">
      <c r="A26" t="s">
        <v>26</v>
      </c>
      <c r="B26" t="s">
        <v>93</v>
      </c>
      <c r="C26" t="s">
        <v>290</v>
      </c>
      <c r="D26" t="s">
        <v>282</v>
      </c>
      <c r="E26">
        <v>0.26540000000000002</v>
      </c>
      <c r="F26">
        <v>9.7100000000000006E-2</v>
      </c>
      <c r="G26">
        <v>1.3911</v>
      </c>
      <c r="H26">
        <v>1.1208</v>
      </c>
      <c r="I26">
        <v>0.95909999999999995</v>
      </c>
      <c r="J26">
        <v>0.77270000000000005</v>
      </c>
      <c r="K26" t="s">
        <v>476</v>
      </c>
      <c r="L26" t="s">
        <v>477</v>
      </c>
    </row>
    <row r="27" spans="1:12">
      <c r="A27" t="s">
        <v>27</v>
      </c>
      <c r="B27" t="s">
        <v>94</v>
      </c>
      <c r="C27" t="s">
        <v>396</v>
      </c>
      <c r="D27" t="s">
        <v>282</v>
      </c>
      <c r="E27">
        <v>0.13450000000000001</v>
      </c>
      <c r="F27">
        <v>4.0000000000000002E-4</v>
      </c>
      <c r="G27">
        <v>1.1856</v>
      </c>
      <c r="H27">
        <v>1.0005999999999999</v>
      </c>
      <c r="I27">
        <v>0.81740000000000002</v>
      </c>
      <c r="J27">
        <v>0.68979999999999997</v>
      </c>
      <c r="K27" t="s">
        <v>476</v>
      </c>
      <c r="L27" t="s">
        <v>477</v>
      </c>
    </row>
    <row r="28" spans="1:12">
      <c r="A28" t="s">
        <v>28</v>
      </c>
      <c r="B28" t="s">
        <v>95</v>
      </c>
      <c r="C28" t="s">
        <v>291</v>
      </c>
      <c r="D28" t="s">
        <v>282</v>
      </c>
      <c r="E28">
        <v>0.34899999999999998</v>
      </c>
      <c r="F28">
        <v>3.3500000000000002E-2</v>
      </c>
      <c r="G28">
        <v>1.4946999999999999</v>
      </c>
      <c r="H28">
        <v>1.0406</v>
      </c>
      <c r="I28">
        <v>1.0305</v>
      </c>
      <c r="J28">
        <v>0.71740000000000004</v>
      </c>
      <c r="K28" t="s">
        <v>482</v>
      </c>
      <c r="L28" t="s">
        <v>483</v>
      </c>
    </row>
    <row r="29" spans="1:12">
      <c r="A29" t="s">
        <v>29</v>
      </c>
      <c r="B29" t="s">
        <v>96</v>
      </c>
      <c r="C29" t="s">
        <v>292</v>
      </c>
      <c r="D29" t="s">
        <v>282</v>
      </c>
      <c r="E29">
        <v>0.31380000000000002</v>
      </c>
      <c r="F29">
        <v>4.1999999999999997E-3</v>
      </c>
      <c r="G29">
        <v>1.4661999999999999</v>
      </c>
      <c r="H29">
        <v>1.0048999999999999</v>
      </c>
      <c r="I29">
        <v>1.0107999999999999</v>
      </c>
      <c r="J29">
        <v>0.69279999999999997</v>
      </c>
      <c r="K29" t="s">
        <v>482</v>
      </c>
      <c r="L29" t="s">
        <v>483</v>
      </c>
    </row>
    <row r="30" spans="1:12">
      <c r="A30" t="s">
        <v>30</v>
      </c>
      <c r="B30" t="s">
        <v>97</v>
      </c>
      <c r="C30" t="s">
        <v>400</v>
      </c>
      <c r="D30" t="s">
        <v>282</v>
      </c>
      <c r="E30">
        <v>0.3201</v>
      </c>
      <c r="F30">
        <v>5.2900000000000003E-2</v>
      </c>
      <c r="G30">
        <v>1.4753000000000001</v>
      </c>
      <c r="H30">
        <v>1.0663</v>
      </c>
      <c r="I30">
        <v>1.0170999999999999</v>
      </c>
      <c r="J30">
        <v>0.73509999999999998</v>
      </c>
      <c r="K30" t="s">
        <v>482</v>
      </c>
      <c r="L30" t="s">
        <v>483</v>
      </c>
    </row>
    <row r="31" spans="1:12">
      <c r="A31" t="s">
        <v>31</v>
      </c>
      <c r="B31" t="s">
        <v>98</v>
      </c>
      <c r="C31" t="s">
        <v>402</v>
      </c>
      <c r="D31" t="s">
        <v>293</v>
      </c>
      <c r="E31">
        <v>0.83930000000000005</v>
      </c>
      <c r="F31">
        <v>0.41</v>
      </c>
      <c r="G31">
        <v>2.2761999999999998</v>
      </c>
      <c r="H31">
        <v>1.5682</v>
      </c>
      <c r="I31">
        <v>1.5692999999999999</v>
      </c>
      <c r="J31">
        <v>1.0810999999999999</v>
      </c>
      <c r="K31" t="s">
        <v>478</v>
      </c>
      <c r="L31" t="s">
        <v>479</v>
      </c>
    </row>
    <row r="32" spans="1:12">
      <c r="A32" t="s">
        <v>32</v>
      </c>
      <c r="B32" t="s">
        <v>99</v>
      </c>
      <c r="C32" t="s">
        <v>294</v>
      </c>
      <c r="D32" t="s">
        <v>293</v>
      </c>
      <c r="E32">
        <v>0.2848</v>
      </c>
      <c r="F32">
        <v>1.32E-2</v>
      </c>
      <c r="G32">
        <v>1.3707</v>
      </c>
      <c r="H32">
        <v>1.0164</v>
      </c>
      <c r="I32">
        <v>0.94499999999999995</v>
      </c>
      <c r="J32">
        <v>0.70069999999999999</v>
      </c>
      <c r="K32" t="s">
        <v>476</v>
      </c>
      <c r="L32" t="s">
        <v>477</v>
      </c>
    </row>
    <row r="33" spans="1:12">
      <c r="A33" t="s">
        <v>33</v>
      </c>
      <c r="B33" t="s">
        <v>100</v>
      </c>
      <c r="C33" t="s">
        <v>404</v>
      </c>
      <c r="D33" t="s">
        <v>406</v>
      </c>
      <c r="E33">
        <v>0.34079999999999999</v>
      </c>
      <c r="F33">
        <v>5.8700000000000002E-2</v>
      </c>
      <c r="G33">
        <v>1.5385</v>
      </c>
      <c r="H33">
        <v>1.0677000000000001</v>
      </c>
      <c r="I33">
        <v>1.0606</v>
      </c>
      <c r="J33">
        <v>0.73609999999999998</v>
      </c>
      <c r="K33" t="s">
        <v>482</v>
      </c>
      <c r="L33" t="s">
        <v>483</v>
      </c>
    </row>
    <row r="34" spans="1:12">
      <c r="A34" t="s">
        <v>34</v>
      </c>
      <c r="B34" t="s">
        <v>101</v>
      </c>
      <c r="C34" t="s">
        <v>295</v>
      </c>
      <c r="D34" t="s">
        <v>101</v>
      </c>
      <c r="E34">
        <v>0.32279999999999998</v>
      </c>
      <c r="F34">
        <v>0.84330000000000005</v>
      </c>
      <c r="G34">
        <v>1.4522999999999999</v>
      </c>
      <c r="H34">
        <v>2.2265999999999999</v>
      </c>
      <c r="I34">
        <v>1.0013000000000001</v>
      </c>
      <c r="J34">
        <v>1.5349999999999999</v>
      </c>
      <c r="K34" t="s">
        <v>478</v>
      </c>
      <c r="L34" t="s">
        <v>479</v>
      </c>
    </row>
    <row r="35" spans="1:12">
      <c r="A35" t="s">
        <v>35</v>
      </c>
      <c r="B35" t="s">
        <v>102</v>
      </c>
      <c r="C35" t="s">
        <v>407</v>
      </c>
      <c r="D35" t="s">
        <v>297</v>
      </c>
      <c r="E35">
        <v>0.1908</v>
      </c>
      <c r="F35">
        <v>0.3715</v>
      </c>
      <c r="G35">
        <v>1.272</v>
      </c>
      <c r="H35">
        <v>1.5105999999999999</v>
      </c>
      <c r="I35">
        <v>0.877</v>
      </c>
      <c r="J35">
        <v>1.0414000000000001</v>
      </c>
      <c r="K35" t="s">
        <v>480</v>
      </c>
      <c r="L35" t="s">
        <v>481</v>
      </c>
    </row>
    <row r="36" spans="1:12">
      <c r="A36" t="s">
        <v>36</v>
      </c>
      <c r="B36" t="s">
        <v>103</v>
      </c>
      <c r="C36" t="s">
        <v>298</v>
      </c>
      <c r="D36" t="s">
        <v>297</v>
      </c>
      <c r="E36">
        <v>0.24390000000000001</v>
      </c>
      <c r="F36">
        <v>1.8982000000000001</v>
      </c>
      <c r="G36">
        <v>1.3438000000000001</v>
      </c>
      <c r="H36">
        <v>3.58</v>
      </c>
      <c r="I36">
        <v>0.92649999999999999</v>
      </c>
      <c r="J36">
        <v>2.4681000000000002</v>
      </c>
      <c r="K36" t="s">
        <v>480</v>
      </c>
      <c r="L36" t="s">
        <v>481</v>
      </c>
    </row>
    <row r="37" spans="1:12">
      <c r="A37" t="s">
        <v>37</v>
      </c>
      <c r="B37" t="s">
        <v>104</v>
      </c>
      <c r="C37" t="s">
        <v>299</v>
      </c>
      <c r="D37" t="s">
        <v>300</v>
      </c>
      <c r="E37">
        <v>0.503</v>
      </c>
      <c r="F37">
        <v>8.0999999999999996E-3</v>
      </c>
      <c r="G37">
        <v>1.7478</v>
      </c>
      <c r="H37">
        <v>1.0127999999999999</v>
      </c>
      <c r="I37">
        <v>1.2050000000000001</v>
      </c>
      <c r="J37">
        <v>0.69820000000000004</v>
      </c>
      <c r="K37" t="s">
        <v>482</v>
      </c>
      <c r="L37" t="s">
        <v>483</v>
      </c>
    </row>
    <row r="38" spans="1:12">
      <c r="A38" t="s">
        <v>38</v>
      </c>
      <c r="B38" t="s">
        <v>105</v>
      </c>
      <c r="C38" t="s">
        <v>301</v>
      </c>
      <c r="D38" t="s">
        <v>300</v>
      </c>
      <c r="E38">
        <v>0.37819999999999998</v>
      </c>
      <c r="F38">
        <v>0.29559999999999997</v>
      </c>
      <c r="G38">
        <v>1.5022</v>
      </c>
      <c r="H38">
        <v>1.4098999999999999</v>
      </c>
      <c r="I38">
        <v>1.0356000000000001</v>
      </c>
      <c r="J38">
        <v>0.97199999999999998</v>
      </c>
      <c r="K38" t="s">
        <v>482</v>
      </c>
      <c r="L38" t="s">
        <v>483</v>
      </c>
    </row>
    <row r="39" spans="1:12">
      <c r="A39" t="s">
        <v>39</v>
      </c>
      <c r="B39" t="s">
        <v>106</v>
      </c>
      <c r="C39" t="s">
        <v>302</v>
      </c>
      <c r="D39" t="s">
        <v>300</v>
      </c>
      <c r="E39">
        <v>0.56089999999999995</v>
      </c>
      <c r="F39">
        <v>4.3299999999999998E-2</v>
      </c>
      <c r="G39">
        <v>1.7914000000000001</v>
      </c>
      <c r="H39">
        <v>1.0583</v>
      </c>
      <c r="I39">
        <v>1.2350000000000001</v>
      </c>
      <c r="J39">
        <v>0.72960000000000003</v>
      </c>
      <c r="K39" t="s">
        <v>482</v>
      </c>
      <c r="L39" t="s">
        <v>483</v>
      </c>
    </row>
    <row r="40" spans="1:12">
      <c r="A40" t="s">
        <v>40</v>
      </c>
      <c r="B40" t="s">
        <v>107</v>
      </c>
      <c r="C40" t="s">
        <v>413</v>
      </c>
      <c r="D40" t="s">
        <v>300</v>
      </c>
      <c r="E40">
        <v>0.42520000000000002</v>
      </c>
      <c r="F40">
        <v>4.7899999999999998E-2</v>
      </c>
      <c r="G40">
        <v>1.5904</v>
      </c>
      <c r="H40">
        <v>1.0604</v>
      </c>
      <c r="I40">
        <v>1.0965</v>
      </c>
      <c r="J40">
        <v>0.73099999999999998</v>
      </c>
      <c r="K40" t="s">
        <v>482</v>
      </c>
      <c r="L40" t="s">
        <v>483</v>
      </c>
    </row>
    <row r="41" spans="1:12">
      <c r="A41" t="s">
        <v>41</v>
      </c>
      <c r="B41" t="s">
        <v>108</v>
      </c>
      <c r="C41" t="s">
        <v>303</v>
      </c>
      <c r="D41" t="s">
        <v>300</v>
      </c>
      <c r="E41">
        <v>0.443</v>
      </c>
      <c r="F41">
        <v>0.1948</v>
      </c>
      <c r="G41">
        <v>1.6185</v>
      </c>
      <c r="H41">
        <v>1.2714000000000001</v>
      </c>
      <c r="I41">
        <v>1.1157999999999999</v>
      </c>
      <c r="J41">
        <v>0.87649999999999995</v>
      </c>
      <c r="K41" t="s">
        <v>482</v>
      </c>
      <c r="L41" t="s">
        <v>483</v>
      </c>
    </row>
    <row r="42" spans="1:12">
      <c r="A42" t="s">
        <v>42</v>
      </c>
      <c r="B42" t="s">
        <v>109</v>
      </c>
      <c r="C42" t="s">
        <v>416</v>
      </c>
      <c r="D42" t="s">
        <v>300</v>
      </c>
      <c r="E42">
        <v>0.309</v>
      </c>
      <c r="F42">
        <v>0.1381</v>
      </c>
      <c r="G42">
        <v>1.4601</v>
      </c>
      <c r="H42">
        <v>1.1658999999999999</v>
      </c>
      <c r="I42">
        <v>1.0065999999999999</v>
      </c>
      <c r="J42">
        <v>0.80379999999999996</v>
      </c>
      <c r="K42" t="s">
        <v>482</v>
      </c>
      <c r="L42" t="s">
        <v>483</v>
      </c>
    </row>
    <row r="43" spans="1:12">
      <c r="A43" t="s">
        <v>43</v>
      </c>
      <c r="B43" t="s">
        <v>110</v>
      </c>
      <c r="C43" t="s">
        <v>418</v>
      </c>
      <c r="D43" t="s">
        <v>304</v>
      </c>
      <c r="E43">
        <v>0.31040000000000001</v>
      </c>
      <c r="F43">
        <v>0.26779999999999998</v>
      </c>
      <c r="G43">
        <v>1.5075000000000001</v>
      </c>
      <c r="H43">
        <v>1.3197000000000001</v>
      </c>
      <c r="I43">
        <v>1.0392999999999999</v>
      </c>
      <c r="J43">
        <v>0.90980000000000005</v>
      </c>
      <c r="K43" t="s">
        <v>482</v>
      </c>
      <c r="L43" t="s">
        <v>483</v>
      </c>
    </row>
    <row r="44" spans="1:12">
      <c r="A44" t="s">
        <v>44</v>
      </c>
      <c r="B44" t="s">
        <v>111</v>
      </c>
      <c r="C44" t="s">
        <v>296</v>
      </c>
      <c r="D44" t="s">
        <v>304</v>
      </c>
      <c r="E44">
        <v>0.48859999999999998</v>
      </c>
      <c r="F44">
        <v>0.1389</v>
      </c>
      <c r="G44">
        <v>1.7921</v>
      </c>
      <c r="H44">
        <v>1.2025999999999999</v>
      </c>
      <c r="I44">
        <v>1.2355</v>
      </c>
      <c r="J44">
        <v>0.82909999999999995</v>
      </c>
      <c r="K44" t="s">
        <v>482</v>
      </c>
      <c r="L44" t="s">
        <v>483</v>
      </c>
    </row>
    <row r="45" spans="1:12">
      <c r="A45" t="s">
        <v>45</v>
      </c>
      <c r="B45" t="s">
        <v>112</v>
      </c>
      <c r="C45" t="s">
        <v>421</v>
      </c>
      <c r="D45" t="s">
        <v>305</v>
      </c>
      <c r="E45">
        <v>0.25779999999999997</v>
      </c>
      <c r="F45">
        <v>0.90749999999999997</v>
      </c>
      <c r="G45">
        <v>1.3666</v>
      </c>
      <c r="H45">
        <v>2.3210999999999999</v>
      </c>
      <c r="I45">
        <v>0.94220000000000004</v>
      </c>
      <c r="J45">
        <v>1.6002000000000001</v>
      </c>
      <c r="K45" t="s">
        <v>480</v>
      </c>
      <c r="L45" t="s">
        <v>481</v>
      </c>
    </row>
    <row r="46" spans="1:12">
      <c r="A46" t="s">
        <v>46</v>
      </c>
      <c r="B46" t="s">
        <v>113</v>
      </c>
      <c r="C46" t="s">
        <v>306</v>
      </c>
      <c r="D46" t="s">
        <v>307</v>
      </c>
      <c r="E46">
        <v>9.9299999999999999E-2</v>
      </c>
      <c r="F46">
        <v>0.40200000000000002</v>
      </c>
      <c r="G46">
        <v>1.1416999999999999</v>
      </c>
      <c r="H46">
        <v>1.5674999999999999</v>
      </c>
      <c r="I46">
        <v>0.78710000000000002</v>
      </c>
      <c r="J46">
        <v>1.0807</v>
      </c>
      <c r="K46" t="s">
        <v>480</v>
      </c>
      <c r="L46" t="s">
        <v>481</v>
      </c>
    </row>
    <row r="47" spans="1:12">
      <c r="A47" t="s">
        <v>47</v>
      </c>
      <c r="B47" t="s">
        <v>114</v>
      </c>
      <c r="C47" t="s">
        <v>308</v>
      </c>
      <c r="D47" t="s">
        <v>307</v>
      </c>
      <c r="E47">
        <v>0.22850000000000001</v>
      </c>
      <c r="F47">
        <v>0.13009999999999999</v>
      </c>
      <c r="G47">
        <v>1.3247</v>
      </c>
      <c r="H47">
        <v>1.1713</v>
      </c>
      <c r="I47">
        <v>0.9133</v>
      </c>
      <c r="J47">
        <v>0.8075</v>
      </c>
      <c r="K47" t="s">
        <v>476</v>
      </c>
      <c r="L47" t="s">
        <v>477</v>
      </c>
    </row>
    <row r="48" spans="1:12">
      <c r="A48" t="s">
        <v>48</v>
      </c>
      <c r="B48" t="s">
        <v>115</v>
      </c>
      <c r="C48" t="s">
        <v>309</v>
      </c>
      <c r="D48" t="s">
        <v>307</v>
      </c>
      <c r="E48">
        <v>0.2361</v>
      </c>
      <c r="F48">
        <v>0.20649999999999999</v>
      </c>
      <c r="G48">
        <v>1.3120000000000001</v>
      </c>
      <c r="H48">
        <v>1.268</v>
      </c>
      <c r="I48">
        <v>0.90449999999999997</v>
      </c>
      <c r="J48">
        <v>0.87419999999999998</v>
      </c>
      <c r="K48" t="s">
        <v>476</v>
      </c>
      <c r="L48" t="s">
        <v>477</v>
      </c>
    </row>
    <row r="49" spans="1:12">
      <c r="A49" t="s">
        <v>49</v>
      </c>
      <c r="B49" t="s">
        <v>116</v>
      </c>
      <c r="C49" t="s">
        <v>426</v>
      </c>
      <c r="D49" t="s">
        <v>307</v>
      </c>
      <c r="E49">
        <v>0.2467</v>
      </c>
      <c r="F49">
        <v>1.1999999999999999E-3</v>
      </c>
      <c r="G49">
        <v>1.3492999999999999</v>
      </c>
      <c r="H49">
        <v>1.0015000000000001</v>
      </c>
      <c r="I49">
        <v>0.93020000000000003</v>
      </c>
      <c r="J49">
        <v>0.69040000000000001</v>
      </c>
      <c r="K49" t="s">
        <v>476</v>
      </c>
      <c r="L49" t="s">
        <v>477</v>
      </c>
    </row>
    <row r="50" spans="1:12">
      <c r="A50" t="s">
        <v>50</v>
      </c>
      <c r="B50" t="s">
        <v>117</v>
      </c>
      <c r="C50" t="s">
        <v>310</v>
      </c>
      <c r="D50" t="s">
        <v>429</v>
      </c>
      <c r="E50">
        <v>0.14699999999999999</v>
      </c>
      <c r="F50">
        <v>0.18129999999999999</v>
      </c>
      <c r="G50">
        <v>1.2103999999999999</v>
      </c>
      <c r="H50">
        <v>1.2806999999999999</v>
      </c>
      <c r="I50">
        <v>0.83450000000000002</v>
      </c>
      <c r="J50">
        <v>0.88300000000000001</v>
      </c>
      <c r="K50" t="s">
        <v>476</v>
      </c>
      <c r="L50" t="s">
        <v>477</v>
      </c>
    </row>
    <row r="51" spans="1:12">
      <c r="A51" t="s">
        <v>51</v>
      </c>
      <c r="B51" t="s">
        <v>118</v>
      </c>
      <c r="C51" t="s">
        <v>430</v>
      </c>
      <c r="D51" t="s">
        <v>118</v>
      </c>
      <c r="E51">
        <v>0.28110000000000002</v>
      </c>
      <c r="F51">
        <v>6.0600000000000001E-2</v>
      </c>
      <c r="G51">
        <v>1.3974</v>
      </c>
      <c r="H51">
        <v>1.0844</v>
      </c>
      <c r="I51">
        <v>0.96340000000000003</v>
      </c>
      <c r="J51">
        <v>0.74760000000000004</v>
      </c>
      <c r="K51" t="s">
        <v>476</v>
      </c>
      <c r="L51" t="s">
        <v>477</v>
      </c>
    </row>
    <row r="52" spans="1:12">
      <c r="A52" t="s">
        <v>52</v>
      </c>
      <c r="B52" t="s">
        <v>119</v>
      </c>
      <c r="C52" t="s">
        <v>432</v>
      </c>
      <c r="D52" t="s">
        <v>434</v>
      </c>
      <c r="E52">
        <v>0.28460000000000002</v>
      </c>
      <c r="F52">
        <v>0.32840000000000003</v>
      </c>
      <c r="G52">
        <v>1.4412</v>
      </c>
      <c r="H52">
        <v>1.4038999999999999</v>
      </c>
      <c r="I52">
        <v>0.99360000000000004</v>
      </c>
      <c r="J52">
        <v>0.96789999999999998</v>
      </c>
      <c r="K52" t="s">
        <v>476</v>
      </c>
      <c r="L52" t="s">
        <v>477</v>
      </c>
    </row>
    <row r="53" spans="1:12">
      <c r="A53" t="s">
        <v>53</v>
      </c>
      <c r="B53" t="s">
        <v>120</v>
      </c>
      <c r="C53" t="s">
        <v>435</v>
      </c>
      <c r="D53" t="s">
        <v>120</v>
      </c>
      <c r="E53">
        <v>0.22140000000000001</v>
      </c>
      <c r="F53">
        <v>1.7100000000000001E-2</v>
      </c>
      <c r="G53">
        <v>1.3412999999999999</v>
      </c>
      <c r="H53">
        <v>1.0239</v>
      </c>
      <c r="I53">
        <v>0.92469999999999997</v>
      </c>
      <c r="J53">
        <v>0.70589999999999997</v>
      </c>
      <c r="K53" t="s">
        <v>476</v>
      </c>
      <c r="L53" t="s">
        <v>477</v>
      </c>
    </row>
    <row r="54" spans="1:12">
      <c r="A54" t="s">
        <v>54</v>
      </c>
      <c r="B54" t="s">
        <v>121</v>
      </c>
      <c r="C54" t="s">
        <v>437</v>
      </c>
      <c r="D54" t="s">
        <v>121</v>
      </c>
      <c r="E54">
        <v>0.39019999999999999</v>
      </c>
      <c r="F54">
        <v>3.9699999999999999E-2</v>
      </c>
      <c r="G54">
        <v>1.6234999999999999</v>
      </c>
      <c r="H54">
        <v>1.0551999999999999</v>
      </c>
      <c r="I54">
        <v>1.1193</v>
      </c>
      <c r="J54">
        <v>0.72750000000000004</v>
      </c>
      <c r="K54" t="s">
        <v>482</v>
      </c>
      <c r="L54" t="s">
        <v>483</v>
      </c>
    </row>
    <row r="55" spans="1:12">
      <c r="A55" t="s">
        <v>55</v>
      </c>
      <c r="B55" t="s">
        <v>312</v>
      </c>
      <c r="C55" t="s">
        <v>311</v>
      </c>
      <c r="D55" t="s">
        <v>312</v>
      </c>
      <c r="E55">
        <v>0.25850000000000001</v>
      </c>
      <c r="F55">
        <v>0.22489999999999999</v>
      </c>
      <c r="G55">
        <v>1.3875999999999999</v>
      </c>
      <c r="H55">
        <v>1.2839</v>
      </c>
      <c r="I55">
        <v>0.95660000000000001</v>
      </c>
      <c r="J55">
        <v>0.88519999999999999</v>
      </c>
      <c r="K55" t="s">
        <v>476</v>
      </c>
      <c r="L55" t="s">
        <v>477</v>
      </c>
    </row>
    <row r="56" spans="1:12">
      <c r="A56" t="s">
        <v>56</v>
      </c>
      <c r="B56" t="s">
        <v>123</v>
      </c>
      <c r="C56" t="s">
        <v>439</v>
      </c>
      <c r="D56" t="s">
        <v>312</v>
      </c>
      <c r="E56">
        <v>0</v>
      </c>
      <c r="F56">
        <v>0</v>
      </c>
      <c r="G56">
        <v>1</v>
      </c>
      <c r="H56">
        <v>1</v>
      </c>
      <c r="I56">
        <v>0.68940000000000001</v>
      </c>
      <c r="J56">
        <v>0.68940000000000001</v>
      </c>
      <c r="K56" t="s">
        <v>476</v>
      </c>
      <c r="L56" t="s">
        <v>477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0AB6D-C28E-499E-898B-42B2FBC58F71}">
  <dimension ref="A1:AE61"/>
  <sheetViews>
    <sheetView workbookViewId="0">
      <pane xSplit="2" ySplit="1" topLeftCell="N2" activePane="bottomRight" state="frozen"/>
      <selection pane="topRight" activeCell="C1" sqref="C1"/>
      <selection pane="bottomLeft" activeCell="A2" sqref="A2"/>
      <selection pane="bottomRight" activeCell="G11" sqref="G11"/>
    </sheetView>
  </sheetViews>
  <sheetFormatPr defaultRowHeight="14.5"/>
  <cols>
    <col min="2" max="2" width="35.1796875" customWidth="1"/>
  </cols>
  <sheetData>
    <row r="1" spans="1:31">
      <c r="A1" t="s">
        <v>263</v>
      </c>
      <c r="B1" t="s">
        <v>264</v>
      </c>
      <c r="C1">
        <v>1</v>
      </c>
      <c r="D1">
        <v>2</v>
      </c>
      <c r="E1">
        <v>3</v>
      </c>
      <c r="F1">
        <v>4</v>
      </c>
      <c r="G1">
        <v>5</v>
      </c>
      <c r="H1">
        <v>6</v>
      </c>
      <c r="I1">
        <v>7</v>
      </c>
      <c r="J1">
        <v>8</v>
      </c>
      <c r="K1">
        <v>9</v>
      </c>
      <c r="L1">
        <v>10</v>
      </c>
      <c r="M1">
        <v>11</v>
      </c>
      <c r="N1">
        <v>12</v>
      </c>
      <c r="O1">
        <v>13</v>
      </c>
      <c r="P1">
        <v>14</v>
      </c>
      <c r="Q1">
        <v>15</v>
      </c>
      <c r="R1">
        <v>16</v>
      </c>
      <c r="S1">
        <v>17</v>
      </c>
      <c r="T1">
        <v>18</v>
      </c>
      <c r="U1">
        <v>19</v>
      </c>
      <c r="V1">
        <v>20</v>
      </c>
      <c r="W1" s="4">
        <v>21</v>
      </c>
      <c r="X1" s="4">
        <v>22</v>
      </c>
      <c r="Y1">
        <v>23</v>
      </c>
      <c r="Z1">
        <v>24</v>
      </c>
      <c r="AA1">
        <v>25</v>
      </c>
      <c r="AB1">
        <v>26</v>
      </c>
      <c r="AC1">
        <v>27</v>
      </c>
      <c r="AE1" s="35" t="s">
        <v>451</v>
      </c>
    </row>
    <row r="2" spans="1:31">
      <c r="A2">
        <v>1</v>
      </c>
      <c r="B2" t="s">
        <v>69</v>
      </c>
      <c r="K2">
        <v>0.1</v>
      </c>
      <c r="M2">
        <v>0.01</v>
      </c>
      <c r="S2">
        <v>1</v>
      </c>
      <c r="T2">
        <v>1</v>
      </c>
      <c r="AE2" s="35">
        <f>SUM(C2:AC2)</f>
        <v>2.1100000000000003</v>
      </c>
    </row>
    <row r="3" spans="1:31">
      <c r="A3">
        <v>2</v>
      </c>
      <c r="B3" t="s">
        <v>70</v>
      </c>
      <c r="K3">
        <v>0.1</v>
      </c>
      <c r="M3">
        <v>0.01</v>
      </c>
      <c r="V3">
        <v>1</v>
      </c>
      <c r="AE3" s="35">
        <f t="shared" ref="AE3:AE10" si="0">SUM(C3:AC3)</f>
        <v>1.1100000000000001</v>
      </c>
    </row>
    <row r="4" spans="1:31">
      <c r="A4">
        <v>3</v>
      </c>
      <c r="B4" t="s">
        <v>71</v>
      </c>
      <c r="K4">
        <v>0.2</v>
      </c>
      <c r="M4">
        <v>0.9</v>
      </c>
      <c r="N4">
        <v>1</v>
      </c>
      <c r="AE4" s="35">
        <f t="shared" si="0"/>
        <v>2.1</v>
      </c>
    </row>
    <row r="5" spans="1:31">
      <c r="A5">
        <v>4</v>
      </c>
      <c r="B5" t="s">
        <v>72</v>
      </c>
      <c r="O5">
        <v>1</v>
      </c>
      <c r="P5">
        <v>1</v>
      </c>
      <c r="AE5" s="35">
        <f t="shared" si="0"/>
        <v>2</v>
      </c>
    </row>
    <row r="6" spans="1:31">
      <c r="A6">
        <v>5</v>
      </c>
      <c r="B6" t="s">
        <v>73</v>
      </c>
      <c r="C6" s="35">
        <f>0.05</f>
        <v>0.05</v>
      </c>
      <c r="D6" s="35">
        <v>0.05</v>
      </c>
      <c r="E6" s="35">
        <v>0.05</v>
      </c>
      <c r="K6">
        <v>0.3</v>
      </c>
      <c r="L6">
        <v>1</v>
      </c>
      <c r="M6">
        <v>0.08</v>
      </c>
      <c r="Q6">
        <v>1</v>
      </c>
      <c r="R6">
        <v>1</v>
      </c>
      <c r="U6">
        <v>1</v>
      </c>
      <c r="AE6" s="35">
        <f>SUM(C6:AC6)</f>
        <v>4.53</v>
      </c>
    </row>
    <row r="7" spans="1:31">
      <c r="A7">
        <v>6</v>
      </c>
      <c r="B7" t="s">
        <v>74</v>
      </c>
      <c r="X7">
        <f>0.2+0.1</f>
        <v>0.30000000000000004</v>
      </c>
      <c r="AE7" s="35">
        <f t="shared" si="0"/>
        <v>0.30000000000000004</v>
      </c>
    </row>
    <row r="8" spans="1:31">
      <c r="A8">
        <v>7</v>
      </c>
      <c r="B8" t="s">
        <v>75</v>
      </c>
      <c r="AE8" s="36"/>
    </row>
    <row r="9" spans="1:31">
      <c r="A9">
        <v>8</v>
      </c>
      <c r="B9" t="s">
        <v>76</v>
      </c>
      <c r="C9" s="35">
        <v>0.05</v>
      </c>
      <c r="D9" s="35">
        <f>0.07+0.03</f>
        <v>0.1</v>
      </c>
      <c r="E9" s="35">
        <f>0.1+0.03</f>
        <v>0.13</v>
      </c>
      <c r="J9" s="35">
        <f>0.2+0.2</f>
        <v>0.4</v>
      </c>
      <c r="AE9" s="35">
        <f t="shared" si="0"/>
        <v>0.68</v>
      </c>
    </row>
    <row r="10" spans="1:31">
      <c r="A10">
        <v>9</v>
      </c>
      <c r="B10" t="s">
        <v>77</v>
      </c>
      <c r="H10">
        <f>0.03+0.02</f>
        <v>0.05</v>
      </c>
      <c r="I10">
        <f>0.07+0.02</f>
        <v>9.0000000000000011E-2</v>
      </c>
      <c r="AB10">
        <v>1</v>
      </c>
      <c r="AE10" s="35">
        <f t="shared" si="0"/>
        <v>1.1400000000000001</v>
      </c>
    </row>
    <row r="11" spans="1:31">
      <c r="A11">
        <v>10</v>
      </c>
      <c r="B11" t="s">
        <v>78</v>
      </c>
    </row>
    <row r="12" spans="1:31">
      <c r="A12">
        <v>11</v>
      </c>
      <c r="B12" t="s">
        <v>79</v>
      </c>
    </row>
    <row r="13" spans="1:31">
      <c r="A13">
        <v>12</v>
      </c>
      <c r="B13" t="s">
        <v>80</v>
      </c>
    </row>
    <row r="14" spans="1:31">
      <c r="A14">
        <v>13</v>
      </c>
      <c r="B14" t="s">
        <v>81</v>
      </c>
    </row>
    <row r="15" spans="1:31">
      <c r="A15">
        <v>14</v>
      </c>
      <c r="B15" t="s">
        <v>82</v>
      </c>
    </row>
    <row r="16" spans="1:31">
      <c r="A16">
        <v>15</v>
      </c>
      <c r="B16" t="s">
        <v>83</v>
      </c>
    </row>
    <row r="17" spans="1:2">
      <c r="A17">
        <v>16</v>
      </c>
      <c r="B17" t="s">
        <v>84</v>
      </c>
    </row>
    <row r="18" spans="1:2">
      <c r="A18">
        <v>17</v>
      </c>
      <c r="B18" t="s">
        <v>85</v>
      </c>
    </row>
    <row r="19" spans="1:2">
      <c r="A19">
        <v>18</v>
      </c>
      <c r="B19" t="s">
        <v>86</v>
      </c>
    </row>
    <row r="20" spans="1:2">
      <c r="A20">
        <v>19</v>
      </c>
      <c r="B20" t="s">
        <v>87</v>
      </c>
    </row>
    <row r="21" spans="1:2">
      <c r="A21">
        <v>20</v>
      </c>
      <c r="B21" t="s">
        <v>88</v>
      </c>
    </row>
    <row r="22" spans="1:2">
      <c r="A22">
        <v>21</v>
      </c>
      <c r="B22" t="s">
        <v>89</v>
      </c>
    </row>
    <row r="23" spans="1:2">
      <c r="A23">
        <v>22</v>
      </c>
      <c r="B23" t="s">
        <v>90</v>
      </c>
    </row>
    <row r="24" spans="1:2">
      <c r="A24">
        <v>23</v>
      </c>
      <c r="B24" t="s">
        <v>91</v>
      </c>
    </row>
    <row r="25" spans="1:2">
      <c r="A25">
        <v>24</v>
      </c>
      <c r="B25" t="s">
        <v>92</v>
      </c>
    </row>
    <row r="26" spans="1:2">
      <c r="A26">
        <v>25</v>
      </c>
      <c r="B26" t="s">
        <v>93</v>
      </c>
    </row>
    <row r="27" spans="1:2">
      <c r="A27">
        <v>26</v>
      </c>
      <c r="B27" t="s">
        <v>94</v>
      </c>
    </row>
    <row r="28" spans="1:2">
      <c r="A28">
        <v>27</v>
      </c>
      <c r="B28" t="s">
        <v>95</v>
      </c>
    </row>
    <row r="29" spans="1:2">
      <c r="A29">
        <v>28</v>
      </c>
      <c r="B29" t="s">
        <v>96</v>
      </c>
    </row>
    <row r="30" spans="1:2">
      <c r="A30">
        <v>29</v>
      </c>
      <c r="B30" t="s">
        <v>97</v>
      </c>
    </row>
    <row r="31" spans="1:2">
      <c r="A31">
        <v>30</v>
      </c>
      <c r="B31" t="s">
        <v>98</v>
      </c>
    </row>
    <row r="32" spans="1:2">
      <c r="A32">
        <v>31</v>
      </c>
      <c r="B32" t="s">
        <v>99</v>
      </c>
    </row>
    <row r="33" spans="1:2">
      <c r="A33">
        <v>32</v>
      </c>
      <c r="B33" t="s">
        <v>100</v>
      </c>
    </row>
    <row r="34" spans="1:2">
      <c r="A34">
        <v>33</v>
      </c>
      <c r="B34" t="s">
        <v>101</v>
      </c>
    </row>
    <row r="35" spans="1:2">
      <c r="A35">
        <v>34</v>
      </c>
      <c r="B35" t="s">
        <v>102</v>
      </c>
    </row>
    <row r="36" spans="1:2">
      <c r="A36">
        <v>35</v>
      </c>
      <c r="B36" t="s">
        <v>103</v>
      </c>
    </row>
    <row r="37" spans="1:2">
      <c r="A37">
        <v>36</v>
      </c>
      <c r="B37" t="s">
        <v>104</v>
      </c>
    </row>
    <row r="38" spans="1:2">
      <c r="A38">
        <v>37</v>
      </c>
      <c r="B38" t="s">
        <v>105</v>
      </c>
    </row>
    <row r="39" spans="1:2">
      <c r="A39">
        <v>38</v>
      </c>
      <c r="B39" t="s">
        <v>106</v>
      </c>
    </row>
    <row r="40" spans="1:2">
      <c r="A40">
        <v>39</v>
      </c>
      <c r="B40" t="s">
        <v>107</v>
      </c>
    </row>
    <row r="41" spans="1:2">
      <c r="A41">
        <v>40</v>
      </c>
      <c r="B41" t="s">
        <v>108</v>
      </c>
    </row>
    <row r="42" spans="1:2">
      <c r="A42">
        <v>41</v>
      </c>
      <c r="B42" t="s">
        <v>109</v>
      </c>
    </row>
    <row r="43" spans="1:2">
      <c r="A43">
        <v>42</v>
      </c>
      <c r="B43" t="s">
        <v>110</v>
      </c>
    </row>
    <row r="44" spans="1:2">
      <c r="A44">
        <v>43</v>
      </c>
      <c r="B44" t="s">
        <v>111</v>
      </c>
    </row>
    <row r="45" spans="1:2">
      <c r="A45">
        <v>44</v>
      </c>
      <c r="B45" t="s">
        <v>112</v>
      </c>
    </row>
    <row r="46" spans="1:2">
      <c r="A46">
        <v>45</v>
      </c>
      <c r="B46" t="s">
        <v>113</v>
      </c>
    </row>
    <row r="47" spans="1:2">
      <c r="A47">
        <v>46</v>
      </c>
      <c r="B47" t="s">
        <v>114</v>
      </c>
    </row>
    <row r="48" spans="1:2">
      <c r="A48">
        <v>47</v>
      </c>
      <c r="B48" t="s">
        <v>115</v>
      </c>
    </row>
    <row r="49" spans="1:29">
      <c r="A49">
        <v>48</v>
      </c>
      <c r="B49" t="s">
        <v>116</v>
      </c>
    </row>
    <row r="50" spans="1:29">
      <c r="A50">
        <v>49</v>
      </c>
      <c r="B50" t="s">
        <v>117</v>
      </c>
    </row>
    <row r="51" spans="1:29">
      <c r="A51">
        <v>50</v>
      </c>
      <c r="B51" t="s">
        <v>118</v>
      </c>
    </row>
    <row r="52" spans="1:29">
      <c r="A52">
        <v>51</v>
      </c>
      <c r="B52" t="s">
        <v>119</v>
      </c>
    </row>
    <row r="53" spans="1:29">
      <c r="A53">
        <v>52</v>
      </c>
      <c r="B53" t="s">
        <v>120</v>
      </c>
    </row>
    <row r="54" spans="1:29">
      <c r="A54">
        <v>53</v>
      </c>
      <c r="B54" t="s">
        <v>121</v>
      </c>
    </row>
    <row r="55" spans="1:29">
      <c r="A55">
        <v>54</v>
      </c>
      <c r="B55" t="s">
        <v>122</v>
      </c>
    </row>
    <row r="56" spans="1:29">
      <c r="A56" s="30">
        <v>61</v>
      </c>
      <c r="B56" s="31" t="s">
        <v>123</v>
      </c>
      <c r="C56" s="32">
        <f>C60-C61</f>
        <v>0.9</v>
      </c>
      <c r="D56" s="32">
        <f t="shared" ref="D56:AC56" si="1">D60-D61</f>
        <v>0.85</v>
      </c>
      <c r="E56" s="32">
        <f t="shared" si="1"/>
        <v>0.82000000000000006</v>
      </c>
      <c r="F56" s="32">
        <f t="shared" si="1"/>
        <v>1</v>
      </c>
      <c r="G56" s="32">
        <f t="shared" si="1"/>
        <v>1</v>
      </c>
      <c r="H56" s="32">
        <f t="shared" si="1"/>
        <v>0.95</v>
      </c>
      <c r="I56" s="32">
        <f t="shared" si="1"/>
        <v>0.91</v>
      </c>
      <c r="J56" s="32">
        <f t="shared" si="1"/>
        <v>0.6</v>
      </c>
      <c r="K56" s="32">
        <f t="shared" si="1"/>
        <v>0.30000000000000004</v>
      </c>
      <c r="L56" s="32">
        <f t="shared" si="1"/>
        <v>0</v>
      </c>
      <c r="M56" s="32">
        <f>M60-M61</f>
        <v>0</v>
      </c>
      <c r="N56" s="32">
        <f t="shared" si="1"/>
        <v>0</v>
      </c>
      <c r="O56" s="32">
        <f t="shared" si="1"/>
        <v>0</v>
      </c>
      <c r="P56" s="32">
        <f t="shared" si="1"/>
        <v>0</v>
      </c>
      <c r="Q56" s="32">
        <f t="shared" si="1"/>
        <v>0</v>
      </c>
      <c r="R56" s="32">
        <f t="shared" si="1"/>
        <v>0</v>
      </c>
      <c r="S56" s="32">
        <f t="shared" si="1"/>
        <v>0</v>
      </c>
      <c r="T56" s="32">
        <f t="shared" si="1"/>
        <v>0</v>
      </c>
      <c r="U56" s="32">
        <f t="shared" si="1"/>
        <v>0</v>
      </c>
      <c r="V56" s="32">
        <f t="shared" si="1"/>
        <v>0</v>
      </c>
      <c r="W56" s="32">
        <f t="shared" si="1"/>
        <v>1</v>
      </c>
      <c r="X56" s="32">
        <f t="shared" si="1"/>
        <v>0.7</v>
      </c>
      <c r="Y56" s="32">
        <f t="shared" si="1"/>
        <v>1</v>
      </c>
      <c r="Z56" s="32">
        <f t="shared" si="1"/>
        <v>1</v>
      </c>
      <c r="AA56" s="32">
        <f t="shared" si="1"/>
        <v>1</v>
      </c>
      <c r="AB56" s="32">
        <f t="shared" si="1"/>
        <v>0</v>
      </c>
      <c r="AC56" s="32">
        <f t="shared" si="1"/>
        <v>1</v>
      </c>
    </row>
    <row r="58" spans="1:29">
      <c r="C58" s="33">
        <f>SUM(C2:C56)</f>
        <v>1</v>
      </c>
      <c r="D58" s="33">
        <f t="shared" ref="D58:AC58" si="2">SUM(D2:D56)</f>
        <v>1</v>
      </c>
      <c r="E58" s="33">
        <f t="shared" si="2"/>
        <v>1</v>
      </c>
      <c r="F58" s="33">
        <f t="shared" si="2"/>
        <v>1</v>
      </c>
      <c r="G58" s="33">
        <f t="shared" si="2"/>
        <v>1</v>
      </c>
      <c r="H58" s="33">
        <f t="shared" si="2"/>
        <v>1</v>
      </c>
      <c r="I58" s="33">
        <f t="shared" si="2"/>
        <v>1</v>
      </c>
      <c r="J58" s="33">
        <f t="shared" si="2"/>
        <v>1</v>
      </c>
      <c r="K58" s="33">
        <f t="shared" si="2"/>
        <v>1</v>
      </c>
      <c r="L58" s="33">
        <f t="shared" si="2"/>
        <v>1</v>
      </c>
      <c r="M58" s="33">
        <f t="shared" si="2"/>
        <v>1</v>
      </c>
      <c r="N58" s="33">
        <f t="shared" si="2"/>
        <v>1</v>
      </c>
      <c r="O58" s="33">
        <f t="shared" si="2"/>
        <v>1</v>
      </c>
      <c r="P58" s="33">
        <f t="shared" si="2"/>
        <v>1</v>
      </c>
      <c r="Q58" s="33">
        <f t="shared" si="2"/>
        <v>1</v>
      </c>
      <c r="R58" s="33">
        <f t="shared" si="2"/>
        <v>1</v>
      </c>
      <c r="S58" s="33">
        <f t="shared" si="2"/>
        <v>1</v>
      </c>
      <c r="T58" s="33">
        <f t="shared" si="2"/>
        <v>1</v>
      </c>
      <c r="U58" s="33">
        <f t="shared" si="2"/>
        <v>1</v>
      </c>
      <c r="V58" s="33">
        <f t="shared" si="2"/>
        <v>1</v>
      </c>
      <c r="W58" s="33">
        <f t="shared" si="2"/>
        <v>1</v>
      </c>
      <c r="X58" s="33">
        <f t="shared" si="2"/>
        <v>1</v>
      </c>
      <c r="Y58" s="33">
        <f t="shared" si="2"/>
        <v>1</v>
      </c>
      <c r="Z58" s="33">
        <f t="shared" si="2"/>
        <v>1</v>
      </c>
      <c r="AA58" s="33">
        <f t="shared" si="2"/>
        <v>1</v>
      </c>
      <c r="AB58" s="33">
        <f t="shared" si="2"/>
        <v>1</v>
      </c>
      <c r="AC58" s="33">
        <f t="shared" si="2"/>
        <v>1</v>
      </c>
    </row>
    <row r="60" spans="1:29">
      <c r="C60">
        <v>1</v>
      </c>
      <c r="D60">
        <v>1</v>
      </c>
      <c r="E60">
        <v>1</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c r="C61" s="33">
        <f>SUM(C2:C55)</f>
        <v>0.1</v>
      </c>
      <c r="D61" s="33">
        <f t="shared" ref="D61:AC61" si="3">SUM(D2:D55)</f>
        <v>0.15000000000000002</v>
      </c>
      <c r="E61" s="33">
        <f t="shared" si="3"/>
        <v>0.18</v>
      </c>
      <c r="F61" s="33">
        <f t="shared" si="3"/>
        <v>0</v>
      </c>
      <c r="G61" s="33">
        <f t="shared" si="3"/>
        <v>0</v>
      </c>
      <c r="H61" s="33">
        <f t="shared" si="3"/>
        <v>0.05</v>
      </c>
      <c r="I61" s="33">
        <f t="shared" si="3"/>
        <v>9.0000000000000011E-2</v>
      </c>
      <c r="J61" s="33">
        <f t="shared" si="3"/>
        <v>0.4</v>
      </c>
      <c r="K61" s="33">
        <f t="shared" si="3"/>
        <v>0.7</v>
      </c>
      <c r="L61" s="33">
        <f t="shared" si="3"/>
        <v>1</v>
      </c>
      <c r="M61" s="33">
        <f t="shared" si="3"/>
        <v>1</v>
      </c>
      <c r="N61" s="33">
        <f t="shared" si="3"/>
        <v>1</v>
      </c>
      <c r="O61" s="33">
        <f t="shared" si="3"/>
        <v>1</v>
      </c>
      <c r="P61" s="33">
        <f t="shared" si="3"/>
        <v>1</v>
      </c>
      <c r="Q61" s="33">
        <f t="shared" si="3"/>
        <v>1</v>
      </c>
      <c r="R61" s="33">
        <f t="shared" si="3"/>
        <v>1</v>
      </c>
      <c r="S61" s="33">
        <f t="shared" si="3"/>
        <v>1</v>
      </c>
      <c r="T61" s="33">
        <f t="shared" si="3"/>
        <v>1</v>
      </c>
      <c r="U61" s="33">
        <f t="shared" si="3"/>
        <v>1</v>
      </c>
      <c r="V61" s="33">
        <f t="shared" si="3"/>
        <v>1</v>
      </c>
      <c r="W61" s="33">
        <f t="shared" si="3"/>
        <v>0</v>
      </c>
      <c r="X61" s="33">
        <f t="shared" si="3"/>
        <v>0.30000000000000004</v>
      </c>
      <c r="Y61" s="33">
        <f t="shared" si="3"/>
        <v>0</v>
      </c>
      <c r="Z61" s="33">
        <f t="shared" si="3"/>
        <v>0</v>
      </c>
      <c r="AA61" s="33">
        <f t="shared" si="3"/>
        <v>0</v>
      </c>
      <c r="AB61" s="33">
        <f t="shared" si="3"/>
        <v>1</v>
      </c>
      <c r="AC61" s="33">
        <f t="shared" si="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F8D53-00EB-4FEE-8CEB-3D3D74D6696F}">
  <dimension ref="A1:W61"/>
  <sheetViews>
    <sheetView topLeftCell="C26" workbookViewId="0">
      <selection activeCell="N51" sqref="N51"/>
    </sheetView>
  </sheetViews>
  <sheetFormatPr defaultRowHeight="14.5"/>
  <cols>
    <col min="2" max="2" width="82" bestFit="1" customWidth="1"/>
  </cols>
  <sheetData>
    <row r="1" spans="1:23">
      <c r="A1" t="s">
        <v>263</v>
      </c>
      <c r="B1" t="s">
        <v>264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row>
    <row r="2" spans="1:23">
      <c r="A2">
        <v>1</v>
      </c>
      <c r="B2" s="34" t="s">
        <v>69</v>
      </c>
      <c r="C2" s="32">
        <v>0</v>
      </c>
      <c r="D2" s="32">
        <v>0</v>
      </c>
      <c r="E2" s="32">
        <v>0</v>
      </c>
      <c r="F2" s="32">
        <v>0</v>
      </c>
      <c r="G2" s="32">
        <v>0</v>
      </c>
      <c r="H2" s="3">
        <v>1.0000000000000028E-2</v>
      </c>
      <c r="I2" s="3">
        <v>1.6000000000000025E-2</v>
      </c>
      <c r="J2" s="3">
        <v>2.200000000000002E-2</v>
      </c>
      <c r="K2" s="3">
        <v>2.8000000000000018E-2</v>
      </c>
      <c r="L2" s="3">
        <v>3.4000000000000016E-2</v>
      </c>
      <c r="M2" s="3">
        <v>4.0000000000000008E-2</v>
      </c>
      <c r="N2" s="3">
        <v>4.6000000000000006E-2</v>
      </c>
      <c r="O2" s="3">
        <v>5.2000000000000005E-2</v>
      </c>
      <c r="P2" s="3">
        <v>5.8000000000000003E-2</v>
      </c>
      <c r="Q2" s="3">
        <v>6.4000000000000001E-2</v>
      </c>
      <c r="R2" s="3">
        <v>6.9999999999999993E-2</v>
      </c>
      <c r="S2" s="3">
        <v>7.5999999999999984E-2</v>
      </c>
      <c r="T2" s="3">
        <v>8.199999999999999E-2</v>
      </c>
      <c r="U2" s="3">
        <v>8.7999999999999981E-2</v>
      </c>
      <c r="V2" s="3">
        <v>9.3999999999999986E-2</v>
      </c>
      <c r="W2" s="3">
        <v>9.9999999999999978E-2</v>
      </c>
    </row>
    <row r="3" spans="1:23">
      <c r="A3">
        <v>2</v>
      </c>
      <c r="B3" s="34" t="s">
        <v>70</v>
      </c>
      <c r="C3" s="32">
        <v>0</v>
      </c>
      <c r="D3" s="32">
        <v>0</v>
      </c>
      <c r="E3" s="32">
        <v>0</v>
      </c>
      <c r="F3" s="32">
        <v>0</v>
      </c>
      <c r="G3" s="32">
        <v>0</v>
      </c>
      <c r="H3" s="3">
        <v>1.0000000000000028E-2</v>
      </c>
      <c r="I3" s="3">
        <v>1.6000000000000025E-2</v>
      </c>
      <c r="J3" s="3">
        <v>2.200000000000002E-2</v>
      </c>
      <c r="K3" s="3">
        <v>2.8000000000000018E-2</v>
      </c>
      <c r="L3" s="3">
        <v>3.4000000000000016E-2</v>
      </c>
      <c r="M3" s="3">
        <v>4.0000000000000008E-2</v>
      </c>
      <c r="N3" s="3">
        <v>4.6000000000000006E-2</v>
      </c>
      <c r="O3" s="3">
        <v>5.2000000000000005E-2</v>
      </c>
      <c r="P3" s="3">
        <v>5.8000000000000003E-2</v>
      </c>
      <c r="Q3" s="3">
        <v>6.4000000000000001E-2</v>
      </c>
      <c r="R3" s="3">
        <v>6.9999999999999993E-2</v>
      </c>
      <c r="S3" s="3">
        <v>7.5999999999999984E-2</v>
      </c>
      <c r="T3" s="3">
        <v>8.199999999999999E-2</v>
      </c>
      <c r="U3" s="3">
        <v>8.7999999999999981E-2</v>
      </c>
      <c r="V3" s="3">
        <v>9.3999999999999986E-2</v>
      </c>
      <c r="W3" s="3">
        <v>9.9999999999999978E-2</v>
      </c>
    </row>
    <row r="4" spans="1:23">
      <c r="A4">
        <v>3</v>
      </c>
      <c r="B4" s="34" t="s">
        <v>71</v>
      </c>
      <c r="C4" s="32">
        <v>0</v>
      </c>
      <c r="D4" s="32">
        <v>0</v>
      </c>
      <c r="E4" s="32">
        <v>0</v>
      </c>
      <c r="F4" s="32">
        <v>0</v>
      </c>
      <c r="G4" s="32">
        <v>0</v>
      </c>
      <c r="H4" s="3">
        <v>1.0000000000000028E-2</v>
      </c>
      <c r="I4" s="3">
        <v>1.6000000000000025E-2</v>
      </c>
      <c r="J4" s="3">
        <v>2.200000000000002E-2</v>
      </c>
      <c r="K4" s="3">
        <v>2.8000000000000018E-2</v>
      </c>
      <c r="L4" s="3">
        <v>3.4000000000000016E-2</v>
      </c>
      <c r="M4" s="3">
        <v>4.0000000000000008E-2</v>
      </c>
      <c r="N4" s="3">
        <v>4.6000000000000006E-2</v>
      </c>
      <c r="O4" s="3">
        <v>5.2000000000000005E-2</v>
      </c>
      <c r="P4" s="3">
        <v>5.8000000000000003E-2</v>
      </c>
      <c r="Q4" s="3">
        <v>6.4000000000000001E-2</v>
      </c>
      <c r="R4" s="3">
        <v>6.9999999999999993E-2</v>
      </c>
      <c r="S4" s="3">
        <v>7.5999999999999984E-2</v>
      </c>
      <c r="T4" s="3">
        <v>8.199999999999999E-2</v>
      </c>
      <c r="U4" s="3">
        <v>8.7999999999999981E-2</v>
      </c>
      <c r="V4" s="3">
        <v>9.3999999999999986E-2</v>
      </c>
      <c r="W4" s="3">
        <v>9.9999999999999978E-2</v>
      </c>
    </row>
    <row r="5" spans="1:23">
      <c r="A5">
        <v>4</v>
      </c>
      <c r="B5" s="34" t="s">
        <v>72</v>
      </c>
      <c r="C5" s="32">
        <v>0</v>
      </c>
      <c r="D5" s="32">
        <v>0</v>
      </c>
      <c r="E5" s="32">
        <v>0</v>
      </c>
      <c r="F5" s="32">
        <v>0</v>
      </c>
      <c r="G5" s="32">
        <v>0</v>
      </c>
      <c r="H5" s="3">
        <v>1.0000000000000028E-2</v>
      </c>
      <c r="I5" s="3">
        <v>1.6000000000000025E-2</v>
      </c>
      <c r="J5" s="3">
        <v>2.200000000000002E-2</v>
      </c>
      <c r="K5" s="3">
        <v>2.8000000000000018E-2</v>
      </c>
      <c r="L5" s="3">
        <v>3.4000000000000016E-2</v>
      </c>
      <c r="M5" s="3">
        <v>4.0000000000000008E-2</v>
      </c>
      <c r="N5" s="3">
        <v>4.6000000000000006E-2</v>
      </c>
      <c r="O5" s="3">
        <v>5.2000000000000005E-2</v>
      </c>
      <c r="P5" s="3">
        <v>5.8000000000000003E-2</v>
      </c>
      <c r="Q5" s="3">
        <v>6.4000000000000001E-2</v>
      </c>
      <c r="R5" s="3">
        <v>6.9999999999999993E-2</v>
      </c>
      <c r="S5" s="3">
        <v>7.5999999999999984E-2</v>
      </c>
      <c r="T5" s="3">
        <v>8.199999999999999E-2</v>
      </c>
      <c r="U5" s="3">
        <v>8.7999999999999981E-2</v>
      </c>
      <c r="V5" s="3">
        <v>9.3999999999999986E-2</v>
      </c>
      <c r="W5" s="3">
        <v>9.9999999999999978E-2</v>
      </c>
    </row>
    <row r="6" spans="1:23">
      <c r="A6">
        <v>5</v>
      </c>
      <c r="B6" s="34" t="s">
        <v>73</v>
      </c>
      <c r="C6" s="32">
        <v>0</v>
      </c>
      <c r="D6" s="32">
        <v>0</v>
      </c>
      <c r="E6" s="32">
        <v>0</v>
      </c>
      <c r="F6" s="32">
        <v>0</v>
      </c>
      <c r="G6" s="32">
        <v>0</v>
      </c>
      <c r="H6" s="3">
        <v>1.0000000000000028E-2</v>
      </c>
      <c r="I6" s="3">
        <v>1.6000000000000025E-2</v>
      </c>
      <c r="J6" s="3">
        <v>2.200000000000002E-2</v>
      </c>
      <c r="K6" s="3">
        <v>2.8000000000000018E-2</v>
      </c>
      <c r="L6" s="3">
        <v>3.4000000000000016E-2</v>
      </c>
      <c r="M6" s="3">
        <v>4.0000000000000008E-2</v>
      </c>
      <c r="N6" s="3">
        <v>4.6000000000000006E-2</v>
      </c>
      <c r="O6" s="3">
        <v>5.2000000000000005E-2</v>
      </c>
      <c r="P6" s="3">
        <v>5.8000000000000003E-2</v>
      </c>
      <c r="Q6" s="3">
        <v>6.4000000000000001E-2</v>
      </c>
      <c r="R6" s="3">
        <v>6.9999999999999993E-2</v>
      </c>
      <c r="S6" s="3">
        <v>7.5999999999999984E-2</v>
      </c>
      <c r="T6" s="3">
        <v>8.199999999999999E-2</v>
      </c>
      <c r="U6" s="3">
        <v>8.7999999999999981E-2</v>
      </c>
      <c r="V6" s="3">
        <v>9.3999999999999986E-2</v>
      </c>
      <c r="W6" s="3">
        <v>9.9999999999999978E-2</v>
      </c>
    </row>
    <row r="7" spans="1:23">
      <c r="A7">
        <v>6</v>
      </c>
      <c r="B7" s="34" t="s">
        <v>74</v>
      </c>
      <c r="C7" s="32">
        <v>0</v>
      </c>
      <c r="D7" s="32">
        <v>0</v>
      </c>
      <c r="E7" s="32">
        <v>0</v>
      </c>
      <c r="F7" s="32">
        <v>0</v>
      </c>
      <c r="G7" s="32">
        <v>0</v>
      </c>
      <c r="H7" s="3">
        <v>1.0000000000000028E-2</v>
      </c>
      <c r="I7" s="3">
        <v>1.6000000000000025E-2</v>
      </c>
      <c r="J7" s="3">
        <v>2.200000000000002E-2</v>
      </c>
      <c r="K7" s="3">
        <v>2.8000000000000018E-2</v>
      </c>
      <c r="L7" s="3">
        <v>3.4000000000000016E-2</v>
      </c>
      <c r="M7" s="3">
        <v>4.0000000000000008E-2</v>
      </c>
      <c r="N7" s="3">
        <v>4.6000000000000006E-2</v>
      </c>
      <c r="O7" s="3">
        <v>5.2000000000000005E-2</v>
      </c>
      <c r="P7" s="3">
        <v>5.8000000000000003E-2</v>
      </c>
      <c r="Q7" s="3">
        <v>6.4000000000000001E-2</v>
      </c>
      <c r="R7" s="3">
        <v>6.9999999999999993E-2</v>
      </c>
      <c r="S7" s="3">
        <v>7.5999999999999984E-2</v>
      </c>
      <c r="T7" s="3">
        <v>8.199999999999999E-2</v>
      </c>
      <c r="U7" s="3">
        <v>8.7999999999999981E-2</v>
      </c>
      <c r="V7" s="3">
        <v>9.3999999999999986E-2</v>
      </c>
      <c r="W7" s="3">
        <v>9.9999999999999978E-2</v>
      </c>
    </row>
    <row r="8" spans="1:23">
      <c r="A8">
        <v>7</v>
      </c>
      <c r="B8" t="s">
        <v>75</v>
      </c>
      <c r="C8" s="32">
        <v>0</v>
      </c>
      <c r="D8" s="32">
        <v>0</v>
      </c>
      <c r="E8" s="32">
        <v>0</v>
      </c>
      <c r="F8" s="32">
        <v>0</v>
      </c>
      <c r="G8" s="32">
        <v>0</v>
      </c>
      <c r="H8" s="32">
        <v>0</v>
      </c>
      <c r="I8" s="32">
        <v>0</v>
      </c>
      <c r="J8" s="32">
        <v>0</v>
      </c>
      <c r="K8" s="32">
        <v>0</v>
      </c>
      <c r="L8" s="32">
        <v>0</v>
      </c>
      <c r="M8" s="32">
        <v>0</v>
      </c>
      <c r="N8" s="32">
        <v>0</v>
      </c>
      <c r="O8" s="32">
        <v>0</v>
      </c>
      <c r="P8" s="32">
        <v>0</v>
      </c>
      <c r="Q8" s="32">
        <v>0</v>
      </c>
      <c r="R8" s="32">
        <v>0</v>
      </c>
      <c r="S8" s="32">
        <v>0</v>
      </c>
      <c r="T8" s="32">
        <v>0</v>
      </c>
      <c r="U8" s="32">
        <v>0</v>
      </c>
      <c r="V8" s="32">
        <v>0</v>
      </c>
      <c r="W8" s="32">
        <v>0</v>
      </c>
    </row>
    <row r="9" spans="1:23">
      <c r="A9">
        <v>8</v>
      </c>
      <c r="B9" s="34" t="s">
        <v>76</v>
      </c>
      <c r="C9" s="32">
        <v>0</v>
      </c>
      <c r="D9" s="32">
        <v>0</v>
      </c>
      <c r="E9" s="32">
        <v>0</v>
      </c>
      <c r="F9" s="32">
        <v>0</v>
      </c>
      <c r="G9" s="32">
        <v>0</v>
      </c>
      <c r="H9" s="3">
        <v>1.0000000000000028E-2</v>
      </c>
      <c r="I9" s="3">
        <v>1.6000000000000025E-2</v>
      </c>
      <c r="J9" s="3">
        <v>2.200000000000002E-2</v>
      </c>
      <c r="K9" s="3">
        <v>2.8000000000000018E-2</v>
      </c>
      <c r="L9" s="3">
        <v>3.4000000000000016E-2</v>
      </c>
      <c r="M9" s="3">
        <v>4.0000000000000008E-2</v>
      </c>
      <c r="N9" s="3">
        <v>4.6000000000000006E-2</v>
      </c>
      <c r="O9" s="3">
        <v>5.2000000000000005E-2</v>
      </c>
      <c r="P9" s="3">
        <v>5.8000000000000003E-2</v>
      </c>
      <c r="Q9" s="3">
        <v>6.4000000000000001E-2</v>
      </c>
      <c r="R9" s="3">
        <v>6.9999999999999993E-2</v>
      </c>
      <c r="S9" s="3">
        <v>7.5999999999999984E-2</v>
      </c>
      <c r="T9" s="3">
        <v>8.199999999999999E-2</v>
      </c>
      <c r="U9" s="3">
        <v>8.7999999999999981E-2</v>
      </c>
      <c r="V9" s="3">
        <v>9.3999999999999986E-2</v>
      </c>
      <c r="W9" s="3">
        <v>9.9999999999999978E-2</v>
      </c>
    </row>
    <row r="10" spans="1:23">
      <c r="A10">
        <v>9</v>
      </c>
      <c r="B10" s="34" t="s">
        <v>77</v>
      </c>
      <c r="C10" s="32">
        <v>0</v>
      </c>
      <c r="D10" s="32">
        <v>0</v>
      </c>
      <c r="E10" s="32">
        <v>0</v>
      </c>
      <c r="F10" s="32">
        <v>0</v>
      </c>
      <c r="G10" s="32">
        <v>0</v>
      </c>
      <c r="H10" s="3">
        <v>1.0000000000000028E-2</v>
      </c>
      <c r="I10" s="3">
        <v>1.6000000000000025E-2</v>
      </c>
      <c r="J10" s="3">
        <v>2.200000000000002E-2</v>
      </c>
      <c r="K10" s="3">
        <v>2.8000000000000018E-2</v>
      </c>
      <c r="L10" s="3">
        <v>3.4000000000000016E-2</v>
      </c>
      <c r="M10" s="3">
        <v>4.0000000000000008E-2</v>
      </c>
      <c r="N10" s="3">
        <v>4.6000000000000006E-2</v>
      </c>
      <c r="O10" s="3">
        <v>5.2000000000000005E-2</v>
      </c>
      <c r="P10" s="3">
        <v>5.8000000000000003E-2</v>
      </c>
      <c r="Q10" s="3">
        <v>6.4000000000000001E-2</v>
      </c>
      <c r="R10" s="3">
        <v>6.9999999999999993E-2</v>
      </c>
      <c r="S10" s="3">
        <v>7.5999999999999984E-2</v>
      </c>
      <c r="T10" s="3">
        <v>8.199999999999999E-2</v>
      </c>
      <c r="U10" s="3">
        <v>8.7999999999999981E-2</v>
      </c>
      <c r="V10" s="3">
        <v>9.3999999999999986E-2</v>
      </c>
      <c r="W10" s="3">
        <v>9.9999999999999978E-2</v>
      </c>
    </row>
    <row r="11" spans="1:23">
      <c r="A11">
        <v>10</v>
      </c>
      <c r="B11" t="s">
        <v>78</v>
      </c>
      <c r="C11" s="32">
        <v>0</v>
      </c>
      <c r="D11" s="32">
        <v>0</v>
      </c>
      <c r="E11" s="32">
        <v>0</v>
      </c>
      <c r="F11" s="32">
        <v>0</v>
      </c>
      <c r="G11" s="32">
        <v>0</v>
      </c>
      <c r="H11" s="32">
        <v>0</v>
      </c>
      <c r="I11" s="32">
        <v>0</v>
      </c>
      <c r="J11" s="32">
        <v>0</v>
      </c>
      <c r="K11" s="32">
        <v>0</v>
      </c>
      <c r="L11" s="32">
        <v>0</v>
      </c>
      <c r="M11" s="32">
        <v>0</v>
      </c>
      <c r="N11" s="32">
        <v>0</v>
      </c>
      <c r="O11" s="32">
        <v>0</v>
      </c>
      <c r="P11" s="32">
        <v>0</v>
      </c>
      <c r="Q11" s="32">
        <v>0</v>
      </c>
      <c r="R11" s="32">
        <v>0</v>
      </c>
      <c r="S11" s="32">
        <v>0</v>
      </c>
      <c r="T11" s="32">
        <v>0</v>
      </c>
      <c r="U11" s="32">
        <v>0</v>
      </c>
      <c r="V11" s="32">
        <v>0</v>
      </c>
      <c r="W11" s="32">
        <v>0</v>
      </c>
    </row>
    <row r="12" spans="1:23">
      <c r="A12">
        <v>11</v>
      </c>
      <c r="B12" t="s">
        <v>79</v>
      </c>
      <c r="C12" s="32">
        <v>0</v>
      </c>
      <c r="D12" s="32">
        <v>0</v>
      </c>
      <c r="E12" s="32">
        <v>0</v>
      </c>
      <c r="F12" s="32">
        <v>0</v>
      </c>
      <c r="G12" s="32">
        <v>0</v>
      </c>
      <c r="H12" s="32">
        <v>0</v>
      </c>
      <c r="I12" s="32">
        <v>0</v>
      </c>
      <c r="J12" s="32">
        <v>0</v>
      </c>
      <c r="K12" s="32">
        <v>0</v>
      </c>
      <c r="L12" s="32">
        <v>0</v>
      </c>
      <c r="M12" s="32">
        <v>0</v>
      </c>
      <c r="N12" s="32">
        <v>0</v>
      </c>
      <c r="O12" s="32">
        <v>0</v>
      </c>
      <c r="P12" s="32">
        <v>0</v>
      </c>
      <c r="Q12" s="32">
        <v>0</v>
      </c>
      <c r="R12" s="32">
        <v>0</v>
      </c>
      <c r="S12" s="32">
        <v>0</v>
      </c>
      <c r="T12" s="32">
        <v>0</v>
      </c>
      <c r="U12" s="32">
        <v>0</v>
      </c>
      <c r="V12" s="32">
        <v>0</v>
      </c>
      <c r="W12" s="32">
        <v>0</v>
      </c>
    </row>
    <row r="13" spans="1:23">
      <c r="A13">
        <v>12</v>
      </c>
      <c r="B13" t="s">
        <v>80</v>
      </c>
      <c r="C13" s="32">
        <v>0</v>
      </c>
      <c r="D13" s="32">
        <v>0</v>
      </c>
      <c r="E13" s="32">
        <v>0</v>
      </c>
      <c r="F13" s="32">
        <v>0</v>
      </c>
      <c r="G13" s="32">
        <v>0</v>
      </c>
      <c r="H13" s="32">
        <v>0</v>
      </c>
      <c r="I13" s="32">
        <v>0</v>
      </c>
      <c r="J13" s="32">
        <v>0</v>
      </c>
      <c r="K13" s="32">
        <v>0</v>
      </c>
      <c r="L13" s="32">
        <v>0</v>
      </c>
      <c r="M13" s="32">
        <v>0</v>
      </c>
      <c r="N13" s="32">
        <v>0</v>
      </c>
      <c r="O13" s="32">
        <v>0</v>
      </c>
      <c r="P13" s="32">
        <v>0</v>
      </c>
      <c r="Q13" s="32">
        <v>0</v>
      </c>
      <c r="R13" s="32">
        <v>0</v>
      </c>
      <c r="S13" s="32">
        <v>0</v>
      </c>
      <c r="T13" s="32">
        <v>0</v>
      </c>
      <c r="U13" s="32">
        <v>0</v>
      </c>
      <c r="V13" s="32">
        <v>0</v>
      </c>
      <c r="W13" s="32">
        <v>0</v>
      </c>
    </row>
    <row r="14" spans="1:23">
      <c r="A14">
        <v>13</v>
      </c>
      <c r="B14" t="s">
        <v>81</v>
      </c>
      <c r="C14" s="32">
        <v>0</v>
      </c>
      <c r="D14" s="32">
        <v>0</v>
      </c>
      <c r="E14" s="32">
        <v>0</v>
      </c>
      <c r="F14" s="32">
        <v>0</v>
      </c>
      <c r="G14" s="32">
        <v>0</v>
      </c>
      <c r="H14" s="32">
        <v>0</v>
      </c>
      <c r="I14" s="32">
        <v>0</v>
      </c>
      <c r="J14" s="32">
        <v>0</v>
      </c>
      <c r="K14" s="32">
        <v>0</v>
      </c>
      <c r="L14" s="32">
        <v>0</v>
      </c>
      <c r="M14" s="32">
        <v>0</v>
      </c>
      <c r="N14" s="32">
        <v>0</v>
      </c>
      <c r="O14" s="32">
        <v>0</v>
      </c>
      <c r="P14" s="32">
        <v>0</v>
      </c>
      <c r="Q14" s="32">
        <v>0</v>
      </c>
      <c r="R14" s="32">
        <v>0</v>
      </c>
      <c r="S14" s="32">
        <v>0</v>
      </c>
      <c r="T14" s="32">
        <v>0</v>
      </c>
      <c r="U14" s="32">
        <v>0</v>
      </c>
      <c r="V14" s="32">
        <v>0</v>
      </c>
      <c r="W14" s="32">
        <v>0</v>
      </c>
    </row>
    <row r="15" spans="1:23">
      <c r="A15">
        <v>14</v>
      </c>
      <c r="B15" t="s">
        <v>82</v>
      </c>
      <c r="C15" s="32">
        <v>0</v>
      </c>
      <c r="D15" s="32">
        <v>0</v>
      </c>
      <c r="E15" s="32">
        <v>0</v>
      </c>
      <c r="F15" s="32">
        <v>0</v>
      </c>
      <c r="G15" s="32">
        <v>0</v>
      </c>
      <c r="H15" s="32">
        <v>0</v>
      </c>
      <c r="I15" s="32">
        <v>0</v>
      </c>
      <c r="J15" s="32">
        <v>0</v>
      </c>
      <c r="K15" s="32">
        <v>0</v>
      </c>
      <c r="L15" s="32">
        <v>0</v>
      </c>
      <c r="M15" s="32">
        <v>0</v>
      </c>
      <c r="N15" s="32">
        <v>0</v>
      </c>
      <c r="O15" s="32">
        <v>0</v>
      </c>
      <c r="P15" s="32">
        <v>0</v>
      </c>
      <c r="Q15" s="32">
        <v>0</v>
      </c>
      <c r="R15" s="32">
        <v>0</v>
      </c>
      <c r="S15" s="32">
        <v>0</v>
      </c>
      <c r="T15" s="32">
        <v>0</v>
      </c>
      <c r="U15" s="32">
        <v>0</v>
      </c>
      <c r="V15" s="32">
        <v>0</v>
      </c>
      <c r="W15" s="32">
        <v>0</v>
      </c>
    </row>
    <row r="16" spans="1:23">
      <c r="A16">
        <v>15</v>
      </c>
      <c r="B16" t="s">
        <v>83</v>
      </c>
      <c r="C16" s="32">
        <v>0</v>
      </c>
      <c r="D16" s="32">
        <v>0</v>
      </c>
      <c r="E16" s="32">
        <v>0</v>
      </c>
      <c r="F16" s="32">
        <v>0</v>
      </c>
      <c r="G16" s="32">
        <v>0</v>
      </c>
      <c r="H16" s="32">
        <v>0</v>
      </c>
      <c r="I16" s="32">
        <v>0</v>
      </c>
      <c r="J16" s="32">
        <v>0</v>
      </c>
      <c r="K16" s="32">
        <v>0</v>
      </c>
      <c r="L16" s="32">
        <v>0</v>
      </c>
      <c r="M16" s="32">
        <v>0</v>
      </c>
      <c r="N16" s="32">
        <v>0</v>
      </c>
      <c r="O16" s="32">
        <v>0</v>
      </c>
      <c r="P16" s="32">
        <v>0</v>
      </c>
      <c r="Q16" s="32">
        <v>0</v>
      </c>
      <c r="R16" s="32">
        <v>0</v>
      </c>
      <c r="S16" s="32">
        <v>0</v>
      </c>
      <c r="T16" s="32">
        <v>0</v>
      </c>
      <c r="U16" s="32">
        <v>0</v>
      </c>
      <c r="V16" s="32">
        <v>0</v>
      </c>
      <c r="W16" s="32">
        <v>0</v>
      </c>
    </row>
    <row r="17" spans="1:23">
      <c r="A17">
        <v>16</v>
      </c>
      <c r="B17" t="s">
        <v>84</v>
      </c>
      <c r="C17" s="32">
        <v>0</v>
      </c>
      <c r="D17" s="32">
        <v>0</v>
      </c>
      <c r="E17" s="32">
        <v>0</v>
      </c>
      <c r="F17" s="32">
        <v>0</v>
      </c>
      <c r="G17" s="32">
        <v>0</v>
      </c>
      <c r="H17" s="32">
        <v>0</v>
      </c>
      <c r="I17" s="32">
        <v>0</v>
      </c>
      <c r="J17" s="32">
        <v>0</v>
      </c>
      <c r="K17" s="32">
        <v>0</v>
      </c>
      <c r="L17" s="32">
        <v>0</v>
      </c>
      <c r="M17" s="32">
        <v>0</v>
      </c>
      <c r="N17" s="32">
        <v>0</v>
      </c>
      <c r="O17" s="32">
        <v>0</v>
      </c>
      <c r="P17" s="32">
        <v>0</v>
      </c>
      <c r="Q17" s="32">
        <v>0</v>
      </c>
      <c r="R17" s="32">
        <v>0</v>
      </c>
      <c r="S17" s="32">
        <v>0</v>
      </c>
      <c r="T17" s="32">
        <v>0</v>
      </c>
      <c r="U17" s="32">
        <v>0</v>
      </c>
      <c r="V17" s="32">
        <v>0</v>
      </c>
      <c r="W17" s="32">
        <v>0</v>
      </c>
    </row>
    <row r="18" spans="1:23">
      <c r="A18">
        <v>17</v>
      </c>
      <c r="B18" t="s">
        <v>85</v>
      </c>
      <c r="C18" s="32">
        <v>0</v>
      </c>
      <c r="D18" s="32">
        <v>0</v>
      </c>
      <c r="E18" s="32">
        <v>0</v>
      </c>
      <c r="F18" s="32">
        <v>0</v>
      </c>
      <c r="G18" s="32">
        <v>0</v>
      </c>
      <c r="H18" s="32">
        <v>0</v>
      </c>
      <c r="I18" s="32">
        <v>0</v>
      </c>
      <c r="J18" s="32">
        <v>0</v>
      </c>
      <c r="K18" s="32">
        <v>0</v>
      </c>
      <c r="L18" s="32">
        <v>0</v>
      </c>
      <c r="M18" s="32">
        <v>0</v>
      </c>
      <c r="N18" s="32">
        <v>0</v>
      </c>
      <c r="O18" s="32">
        <v>0</v>
      </c>
      <c r="P18" s="32">
        <v>0</v>
      </c>
      <c r="Q18" s="32">
        <v>0</v>
      </c>
      <c r="R18" s="32">
        <v>0</v>
      </c>
      <c r="S18" s="32">
        <v>0</v>
      </c>
      <c r="T18" s="32">
        <v>0</v>
      </c>
      <c r="U18" s="32">
        <v>0</v>
      </c>
      <c r="V18" s="32">
        <v>0</v>
      </c>
      <c r="W18" s="32">
        <v>0</v>
      </c>
    </row>
    <row r="19" spans="1:23">
      <c r="A19">
        <v>18</v>
      </c>
      <c r="B19" t="s">
        <v>86</v>
      </c>
      <c r="C19" s="32">
        <v>0</v>
      </c>
      <c r="D19" s="32">
        <v>0</v>
      </c>
      <c r="E19" s="32">
        <v>0</v>
      </c>
      <c r="F19" s="32">
        <v>0</v>
      </c>
      <c r="G19" s="32">
        <v>0</v>
      </c>
      <c r="H19" s="32">
        <v>0</v>
      </c>
      <c r="I19" s="32">
        <v>0</v>
      </c>
      <c r="J19" s="32">
        <v>0</v>
      </c>
      <c r="K19" s="32">
        <v>0</v>
      </c>
      <c r="L19" s="32">
        <v>0</v>
      </c>
      <c r="M19" s="32">
        <v>0</v>
      </c>
      <c r="N19" s="32">
        <v>0</v>
      </c>
      <c r="O19" s="32">
        <v>0</v>
      </c>
      <c r="P19" s="32">
        <v>0</v>
      </c>
      <c r="Q19" s="32">
        <v>0</v>
      </c>
      <c r="R19" s="32">
        <v>0</v>
      </c>
      <c r="S19" s="32">
        <v>0</v>
      </c>
      <c r="T19" s="32">
        <v>0</v>
      </c>
      <c r="U19" s="32">
        <v>0</v>
      </c>
      <c r="V19" s="32">
        <v>0</v>
      </c>
      <c r="W19" s="32">
        <v>0</v>
      </c>
    </row>
    <row r="20" spans="1:23">
      <c r="A20">
        <v>19</v>
      </c>
      <c r="B20" t="s">
        <v>87</v>
      </c>
      <c r="C20" s="32">
        <v>0</v>
      </c>
      <c r="D20" s="32">
        <v>0</v>
      </c>
      <c r="E20" s="32">
        <v>0</v>
      </c>
      <c r="F20" s="32">
        <v>0</v>
      </c>
      <c r="G20" s="32">
        <v>0</v>
      </c>
      <c r="H20" s="32">
        <v>0</v>
      </c>
      <c r="I20" s="32">
        <v>0</v>
      </c>
      <c r="J20" s="32">
        <v>0</v>
      </c>
      <c r="K20" s="32">
        <v>0</v>
      </c>
      <c r="L20" s="32">
        <v>0</v>
      </c>
      <c r="M20" s="32">
        <v>0</v>
      </c>
      <c r="N20" s="32">
        <v>0</v>
      </c>
      <c r="O20" s="32">
        <v>0</v>
      </c>
      <c r="P20" s="32">
        <v>0</v>
      </c>
      <c r="Q20" s="32">
        <v>0</v>
      </c>
      <c r="R20" s="32">
        <v>0</v>
      </c>
      <c r="S20" s="32">
        <v>0</v>
      </c>
      <c r="T20" s="32">
        <v>0</v>
      </c>
      <c r="U20" s="32">
        <v>0</v>
      </c>
      <c r="V20" s="32">
        <v>0</v>
      </c>
      <c r="W20" s="32">
        <v>0</v>
      </c>
    </row>
    <row r="21" spans="1:23">
      <c r="A21">
        <v>20</v>
      </c>
      <c r="B21" t="s">
        <v>88</v>
      </c>
      <c r="C21" s="32">
        <v>0</v>
      </c>
      <c r="D21" s="32">
        <v>0</v>
      </c>
      <c r="E21" s="32">
        <v>0</v>
      </c>
      <c r="F21" s="32">
        <v>0</v>
      </c>
      <c r="G21" s="32">
        <v>0</v>
      </c>
      <c r="H21" s="32">
        <v>0</v>
      </c>
      <c r="I21" s="32">
        <v>0</v>
      </c>
      <c r="J21" s="32">
        <v>0</v>
      </c>
      <c r="K21" s="32">
        <v>0</v>
      </c>
      <c r="L21" s="32">
        <v>0</v>
      </c>
      <c r="M21" s="32">
        <v>0</v>
      </c>
      <c r="N21" s="32">
        <v>0</v>
      </c>
      <c r="O21" s="32">
        <v>0</v>
      </c>
      <c r="P21" s="32">
        <v>0</v>
      </c>
      <c r="Q21" s="32">
        <v>0</v>
      </c>
      <c r="R21" s="32">
        <v>0</v>
      </c>
      <c r="S21" s="32">
        <v>0</v>
      </c>
      <c r="T21" s="32">
        <v>0</v>
      </c>
      <c r="U21" s="32">
        <v>0</v>
      </c>
      <c r="V21" s="32">
        <v>0</v>
      </c>
      <c r="W21" s="32">
        <v>0</v>
      </c>
    </row>
    <row r="22" spans="1:23">
      <c r="A22">
        <v>21</v>
      </c>
      <c r="B22" t="s">
        <v>89</v>
      </c>
      <c r="C22" s="32">
        <v>0</v>
      </c>
      <c r="D22" s="32">
        <v>0</v>
      </c>
      <c r="E22" s="32">
        <v>0</v>
      </c>
      <c r="F22" s="32">
        <v>0</v>
      </c>
      <c r="G22" s="32">
        <v>0</v>
      </c>
      <c r="H22" s="32">
        <v>0</v>
      </c>
      <c r="I22" s="32">
        <v>0</v>
      </c>
      <c r="J22" s="32">
        <v>0</v>
      </c>
      <c r="K22" s="32">
        <v>0</v>
      </c>
      <c r="L22" s="32">
        <v>0</v>
      </c>
      <c r="M22" s="32">
        <v>0</v>
      </c>
      <c r="N22" s="32">
        <v>0</v>
      </c>
      <c r="O22" s="32">
        <v>0</v>
      </c>
      <c r="P22" s="32">
        <v>0</v>
      </c>
      <c r="Q22" s="32">
        <v>0</v>
      </c>
      <c r="R22" s="32">
        <v>0</v>
      </c>
      <c r="S22" s="32">
        <v>0</v>
      </c>
      <c r="T22" s="32">
        <v>0</v>
      </c>
      <c r="U22" s="32">
        <v>0</v>
      </c>
      <c r="V22" s="32">
        <v>0</v>
      </c>
      <c r="W22" s="32">
        <v>0</v>
      </c>
    </row>
    <row r="23" spans="1:23">
      <c r="A23">
        <v>22</v>
      </c>
      <c r="B23" t="s">
        <v>90</v>
      </c>
      <c r="C23" s="32">
        <v>0</v>
      </c>
      <c r="D23" s="32">
        <v>0</v>
      </c>
      <c r="E23" s="32">
        <v>0</v>
      </c>
      <c r="F23" s="32">
        <v>0</v>
      </c>
      <c r="G23" s="32">
        <v>0</v>
      </c>
      <c r="H23" s="32">
        <v>0</v>
      </c>
      <c r="I23" s="32">
        <v>0</v>
      </c>
      <c r="J23" s="32">
        <v>0</v>
      </c>
      <c r="K23" s="32">
        <v>0</v>
      </c>
      <c r="L23" s="32">
        <v>0</v>
      </c>
      <c r="M23" s="32">
        <v>0</v>
      </c>
      <c r="N23" s="32">
        <v>0</v>
      </c>
      <c r="O23" s="32">
        <v>0</v>
      </c>
      <c r="P23" s="32">
        <v>0</v>
      </c>
      <c r="Q23" s="32">
        <v>0</v>
      </c>
      <c r="R23" s="32">
        <v>0</v>
      </c>
      <c r="S23" s="32">
        <v>0</v>
      </c>
      <c r="T23" s="32">
        <v>0</v>
      </c>
      <c r="U23" s="32">
        <v>0</v>
      </c>
      <c r="V23" s="32">
        <v>0</v>
      </c>
      <c r="W23" s="32">
        <v>0</v>
      </c>
    </row>
    <row r="24" spans="1:23">
      <c r="A24">
        <v>23</v>
      </c>
      <c r="B24" t="s">
        <v>91</v>
      </c>
      <c r="C24" s="32">
        <v>0</v>
      </c>
      <c r="D24" s="32">
        <v>0</v>
      </c>
      <c r="E24" s="32">
        <v>0</v>
      </c>
      <c r="F24" s="32">
        <v>0</v>
      </c>
      <c r="G24" s="32">
        <v>0</v>
      </c>
      <c r="H24" s="32">
        <v>0</v>
      </c>
      <c r="I24" s="32">
        <v>0</v>
      </c>
      <c r="J24" s="32">
        <v>0</v>
      </c>
      <c r="K24" s="32">
        <v>0</v>
      </c>
      <c r="L24" s="32">
        <v>0</v>
      </c>
      <c r="M24" s="32">
        <v>0</v>
      </c>
      <c r="N24" s="32">
        <v>0</v>
      </c>
      <c r="O24" s="32">
        <v>0</v>
      </c>
      <c r="P24" s="32">
        <v>0</v>
      </c>
      <c r="Q24" s="32">
        <v>0</v>
      </c>
      <c r="R24" s="32">
        <v>0</v>
      </c>
      <c r="S24" s="32">
        <v>0</v>
      </c>
      <c r="T24" s="32">
        <v>0</v>
      </c>
      <c r="U24" s="32">
        <v>0</v>
      </c>
      <c r="V24" s="32">
        <v>0</v>
      </c>
      <c r="W24" s="32">
        <v>0</v>
      </c>
    </row>
    <row r="25" spans="1:23">
      <c r="A25">
        <v>24</v>
      </c>
      <c r="B25" t="s">
        <v>92</v>
      </c>
      <c r="C25" s="32">
        <v>0</v>
      </c>
      <c r="D25" s="32">
        <v>0</v>
      </c>
      <c r="E25" s="32">
        <v>0</v>
      </c>
      <c r="F25" s="32">
        <v>0</v>
      </c>
      <c r="G25" s="32">
        <v>0</v>
      </c>
      <c r="H25" s="32">
        <v>0</v>
      </c>
      <c r="I25" s="32">
        <v>0</v>
      </c>
      <c r="J25" s="32">
        <v>0</v>
      </c>
      <c r="K25" s="32">
        <v>0</v>
      </c>
      <c r="L25" s="32">
        <v>0</v>
      </c>
      <c r="M25" s="32">
        <v>0</v>
      </c>
      <c r="N25" s="32">
        <v>0</v>
      </c>
      <c r="O25" s="32">
        <v>0</v>
      </c>
      <c r="P25" s="32">
        <v>0</v>
      </c>
      <c r="Q25" s="32">
        <v>0</v>
      </c>
      <c r="R25" s="32">
        <v>0</v>
      </c>
      <c r="S25" s="32">
        <v>0</v>
      </c>
      <c r="T25" s="32">
        <v>0</v>
      </c>
      <c r="U25" s="32">
        <v>0</v>
      </c>
      <c r="V25" s="32">
        <v>0</v>
      </c>
      <c r="W25" s="32">
        <v>0</v>
      </c>
    </row>
    <row r="26" spans="1:23">
      <c r="A26">
        <v>25</v>
      </c>
      <c r="B26" t="s">
        <v>93</v>
      </c>
      <c r="C26" s="32">
        <v>0</v>
      </c>
      <c r="D26" s="32">
        <v>0</v>
      </c>
      <c r="E26" s="32">
        <v>0</v>
      </c>
      <c r="F26" s="32">
        <v>0</v>
      </c>
      <c r="G26" s="32">
        <v>0</v>
      </c>
      <c r="H26" s="32">
        <v>0</v>
      </c>
      <c r="I26" s="32">
        <v>0</v>
      </c>
      <c r="J26" s="32">
        <v>0</v>
      </c>
      <c r="K26" s="32">
        <v>0</v>
      </c>
      <c r="L26" s="32">
        <v>0</v>
      </c>
      <c r="M26" s="32">
        <v>0</v>
      </c>
      <c r="N26" s="32">
        <v>0</v>
      </c>
      <c r="O26" s="32">
        <v>0</v>
      </c>
      <c r="P26" s="32">
        <v>0</v>
      </c>
      <c r="Q26" s="32">
        <v>0</v>
      </c>
      <c r="R26" s="32">
        <v>0</v>
      </c>
      <c r="S26" s="32">
        <v>0</v>
      </c>
      <c r="T26" s="32">
        <v>0</v>
      </c>
      <c r="U26" s="32">
        <v>0</v>
      </c>
      <c r="V26" s="32">
        <v>0</v>
      </c>
      <c r="W26" s="32">
        <v>0</v>
      </c>
    </row>
    <row r="27" spans="1:23">
      <c r="A27">
        <v>26</v>
      </c>
      <c r="B27" t="s">
        <v>94</v>
      </c>
      <c r="C27" s="32">
        <v>0</v>
      </c>
      <c r="D27" s="32">
        <v>0</v>
      </c>
      <c r="E27" s="32">
        <v>0</v>
      </c>
      <c r="F27" s="32">
        <v>0</v>
      </c>
      <c r="G27" s="32">
        <v>0</v>
      </c>
      <c r="H27" s="32">
        <v>0</v>
      </c>
      <c r="I27" s="32">
        <v>0</v>
      </c>
      <c r="J27" s="32">
        <v>0</v>
      </c>
      <c r="K27" s="32">
        <v>0</v>
      </c>
      <c r="L27" s="32">
        <v>0</v>
      </c>
      <c r="M27" s="32">
        <v>0</v>
      </c>
      <c r="N27" s="32">
        <v>0</v>
      </c>
      <c r="O27" s="32">
        <v>0</v>
      </c>
      <c r="P27" s="32">
        <v>0</v>
      </c>
      <c r="Q27" s="32">
        <v>0</v>
      </c>
      <c r="R27" s="32">
        <v>0</v>
      </c>
      <c r="S27" s="32">
        <v>0</v>
      </c>
      <c r="T27" s="32">
        <v>0</v>
      </c>
      <c r="U27" s="32">
        <v>0</v>
      </c>
      <c r="V27" s="32">
        <v>0</v>
      </c>
      <c r="W27" s="32">
        <v>0</v>
      </c>
    </row>
    <row r="28" spans="1:23">
      <c r="A28">
        <v>27</v>
      </c>
      <c r="B28" t="s">
        <v>95</v>
      </c>
      <c r="C28" s="32">
        <v>0</v>
      </c>
      <c r="D28" s="32">
        <v>0</v>
      </c>
      <c r="E28" s="32">
        <v>0</v>
      </c>
      <c r="F28" s="32">
        <v>0</v>
      </c>
      <c r="G28" s="32">
        <v>0</v>
      </c>
      <c r="H28" s="32">
        <v>0</v>
      </c>
      <c r="I28" s="32">
        <v>0</v>
      </c>
      <c r="J28" s="32">
        <v>0</v>
      </c>
      <c r="K28" s="32">
        <v>0</v>
      </c>
      <c r="L28" s="32">
        <v>0</v>
      </c>
      <c r="M28" s="32">
        <v>0</v>
      </c>
      <c r="N28" s="32">
        <v>0</v>
      </c>
      <c r="O28" s="32">
        <v>0</v>
      </c>
      <c r="P28" s="32">
        <v>0</v>
      </c>
      <c r="Q28" s="32">
        <v>0</v>
      </c>
      <c r="R28" s="32">
        <v>0</v>
      </c>
      <c r="S28" s="32">
        <v>0</v>
      </c>
      <c r="T28" s="32">
        <v>0</v>
      </c>
      <c r="U28" s="32">
        <v>0</v>
      </c>
      <c r="V28" s="32">
        <v>0</v>
      </c>
      <c r="W28" s="32">
        <v>0</v>
      </c>
    </row>
    <row r="29" spans="1:23">
      <c r="A29">
        <v>28</v>
      </c>
      <c r="B29" t="s">
        <v>96</v>
      </c>
      <c r="C29" s="32">
        <v>0</v>
      </c>
      <c r="D29" s="32">
        <v>0</v>
      </c>
      <c r="E29" s="32">
        <v>0</v>
      </c>
      <c r="F29" s="32">
        <v>0</v>
      </c>
      <c r="G29" s="32">
        <v>0</v>
      </c>
      <c r="H29" s="32">
        <v>0</v>
      </c>
      <c r="I29" s="32">
        <v>0</v>
      </c>
      <c r="J29" s="32">
        <v>0</v>
      </c>
      <c r="K29" s="32">
        <v>0</v>
      </c>
      <c r="L29" s="32">
        <v>0</v>
      </c>
      <c r="M29" s="32">
        <v>0</v>
      </c>
      <c r="N29" s="32">
        <v>0</v>
      </c>
      <c r="O29" s="32">
        <v>0</v>
      </c>
      <c r="P29" s="32">
        <v>0</v>
      </c>
      <c r="Q29" s="32">
        <v>0</v>
      </c>
      <c r="R29" s="32">
        <v>0</v>
      </c>
      <c r="S29" s="32">
        <v>0</v>
      </c>
      <c r="T29" s="32">
        <v>0</v>
      </c>
      <c r="U29" s="32">
        <v>0</v>
      </c>
      <c r="V29" s="32">
        <v>0</v>
      </c>
      <c r="W29" s="32">
        <v>0</v>
      </c>
    </row>
    <row r="30" spans="1:23">
      <c r="A30">
        <v>29</v>
      </c>
      <c r="B30" t="s">
        <v>97</v>
      </c>
      <c r="C30" s="32">
        <v>0</v>
      </c>
      <c r="D30" s="32">
        <v>0</v>
      </c>
      <c r="E30" s="32">
        <v>0</v>
      </c>
      <c r="F30" s="32">
        <v>0</v>
      </c>
      <c r="G30" s="32">
        <v>0</v>
      </c>
      <c r="H30" s="32">
        <v>0</v>
      </c>
      <c r="I30" s="32">
        <v>0</v>
      </c>
      <c r="J30" s="32">
        <v>0</v>
      </c>
      <c r="K30" s="32">
        <v>0</v>
      </c>
      <c r="L30" s="32">
        <v>0</v>
      </c>
      <c r="M30" s="32">
        <v>0</v>
      </c>
      <c r="N30" s="32">
        <v>0</v>
      </c>
      <c r="O30" s="32">
        <v>0</v>
      </c>
      <c r="P30" s="32">
        <v>0</v>
      </c>
      <c r="Q30" s="32">
        <v>0</v>
      </c>
      <c r="R30" s="32">
        <v>0</v>
      </c>
      <c r="S30" s="32">
        <v>0</v>
      </c>
      <c r="T30" s="32">
        <v>0</v>
      </c>
      <c r="U30" s="32">
        <v>0</v>
      </c>
      <c r="V30" s="32">
        <v>0</v>
      </c>
      <c r="W30" s="32">
        <v>0</v>
      </c>
    </row>
    <row r="31" spans="1:23">
      <c r="A31">
        <v>30</v>
      </c>
      <c r="B31" t="s">
        <v>98</v>
      </c>
      <c r="C31" s="32">
        <v>0</v>
      </c>
      <c r="D31" s="32">
        <v>0</v>
      </c>
      <c r="E31" s="32">
        <v>0</v>
      </c>
      <c r="F31" s="32">
        <v>0</v>
      </c>
      <c r="G31" s="32">
        <v>0</v>
      </c>
      <c r="H31" s="32">
        <v>0</v>
      </c>
      <c r="I31" s="32">
        <v>0</v>
      </c>
      <c r="J31" s="32">
        <v>0</v>
      </c>
      <c r="K31" s="32">
        <v>0</v>
      </c>
      <c r="L31" s="32">
        <v>0</v>
      </c>
      <c r="M31" s="32">
        <v>0</v>
      </c>
      <c r="N31" s="32">
        <v>0</v>
      </c>
      <c r="O31" s="32">
        <v>0</v>
      </c>
      <c r="P31" s="32">
        <v>0</v>
      </c>
      <c r="Q31" s="32">
        <v>0</v>
      </c>
      <c r="R31" s="32">
        <v>0</v>
      </c>
      <c r="S31" s="32">
        <v>0</v>
      </c>
      <c r="T31" s="32">
        <v>0</v>
      </c>
      <c r="U31" s="32">
        <v>0</v>
      </c>
      <c r="V31" s="32">
        <v>0</v>
      </c>
      <c r="W31" s="32">
        <v>0</v>
      </c>
    </row>
    <row r="32" spans="1:23">
      <c r="A32">
        <v>31</v>
      </c>
      <c r="B32" t="s">
        <v>99</v>
      </c>
      <c r="C32" s="32">
        <v>0</v>
      </c>
      <c r="D32" s="32">
        <v>0</v>
      </c>
      <c r="E32" s="32">
        <v>0</v>
      </c>
      <c r="F32" s="32">
        <v>0</v>
      </c>
      <c r="G32" s="32">
        <v>0</v>
      </c>
      <c r="H32" s="32">
        <v>0</v>
      </c>
      <c r="I32" s="32">
        <v>0</v>
      </c>
      <c r="J32" s="32">
        <v>0</v>
      </c>
      <c r="K32" s="32">
        <v>0</v>
      </c>
      <c r="L32" s="32">
        <v>0</v>
      </c>
      <c r="M32" s="32">
        <v>0</v>
      </c>
      <c r="N32" s="32">
        <v>0</v>
      </c>
      <c r="O32" s="32">
        <v>0</v>
      </c>
      <c r="P32" s="32">
        <v>0</v>
      </c>
      <c r="Q32" s="32">
        <v>0</v>
      </c>
      <c r="R32" s="32">
        <v>0</v>
      </c>
      <c r="S32" s="32">
        <v>0</v>
      </c>
      <c r="T32" s="32">
        <v>0</v>
      </c>
      <c r="U32" s="32">
        <v>0</v>
      </c>
      <c r="V32" s="32">
        <v>0</v>
      </c>
      <c r="W32" s="32">
        <v>0</v>
      </c>
    </row>
    <row r="33" spans="1:23">
      <c r="A33">
        <v>32</v>
      </c>
      <c r="B33" t="s">
        <v>100</v>
      </c>
      <c r="C33" s="32">
        <v>0</v>
      </c>
      <c r="D33" s="32">
        <v>0</v>
      </c>
      <c r="E33" s="32">
        <v>0</v>
      </c>
      <c r="F33" s="32">
        <v>0</v>
      </c>
      <c r="G33" s="32">
        <v>0</v>
      </c>
      <c r="H33" s="32">
        <v>0</v>
      </c>
      <c r="I33" s="32">
        <v>0</v>
      </c>
      <c r="J33" s="32">
        <v>0</v>
      </c>
      <c r="K33" s="32">
        <v>0</v>
      </c>
      <c r="L33" s="32">
        <v>0</v>
      </c>
      <c r="M33" s="32">
        <v>0</v>
      </c>
      <c r="N33" s="32">
        <v>0</v>
      </c>
      <c r="O33" s="32">
        <v>0</v>
      </c>
      <c r="P33" s="32">
        <v>0</v>
      </c>
      <c r="Q33" s="32">
        <v>0</v>
      </c>
      <c r="R33" s="32">
        <v>0</v>
      </c>
      <c r="S33" s="32">
        <v>0</v>
      </c>
      <c r="T33" s="32">
        <v>0</v>
      </c>
      <c r="U33" s="32">
        <v>0</v>
      </c>
      <c r="V33" s="32">
        <v>0</v>
      </c>
      <c r="W33" s="32">
        <v>0</v>
      </c>
    </row>
    <row r="34" spans="1:23">
      <c r="A34">
        <v>33</v>
      </c>
      <c r="B34" t="s">
        <v>101</v>
      </c>
      <c r="C34" s="32">
        <v>0</v>
      </c>
      <c r="D34" s="32">
        <v>0</v>
      </c>
      <c r="E34" s="32">
        <v>0</v>
      </c>
      <c r="F34" s="32">
        <v>0</v>
      </c>
      <c r="G34" s="32">
        <v>0</v>
      </c>
      <c r="H34" s="32">
        <v>0</v>
      </c>
      <c r="I34" s="32">
        <v>0</v>
      </c>
      <c r="J34" s="32">
        <v>0</v>
      </c>
      <c r="K34" s="32">
        <v>0</v>
      </c>
      <c r="L34" s="32">
        <v>0</v>
      </c>
      <c r="M34" s="32">
        <v>0</v>
      </c>
      <c r="N34" s="32">
        <v>0</v>
      </c>
      <c r="O34" s="32">
        <v>0</v>
      </c>
      <c r="P34" s="32">
        <v>0</v>
      </c>
      <c r="Q34" s="32">
        <v>0</v>
      </c>
      <c r="R34" s="32">
        <v>0</v>
      </c>
      <c r="S34" s="32">
        <v>0</v>
      </c>
      <c r="T34" s="32">
        <v>0</v>
      </c>
      <c r="U34" s="32">
        <v>0</v>
      </c>
      <c r="V34" s="32">
        <v>0</v>
      </c>
      <c r="W34" s="32">
        <v>0</v>
      </c>
    </row>
    <row r="35" spans="1:23">
      <c r="A35">
        <v>34</v>
      </c>
      <c r="B35" t="s">
        <v>102</v>
      </c>
      <c r="C35" s="32">
        <v>0</v>
      </c>
      <c r="D35" s="32">
        <v>0</v>
      </c>
      <c r="E35" s="32">
        <v>0</v>
      </c>
      <c r="F35" s="32">
        <v>0</v>
      </c>
      <c r="G35" s="32">
        <v>0</v>
      </c>
      <c r="H35" s="32">
        <v>0</v>
      </c>
      <c r="I35" s="32">
        <v>0</v>
      </c>
      <c r="J35" s="32">
        <v>0</v>
      </c>
      <c r="K35" s="32">
        <v>0</v>
      </c>
      <c r="L35" s="32">
        <v>0</v>
      </c>
      <c r="M35" s="32">
        <v>0</v>
      </c>
      <c r="N35" s="32">
        <v>0</v>
      </c>
      <c r="O35" s="32">
        <v>0</v>
      </c>
      <c r="P35" s="32">
        <v>0</v>
      </c>
      <c r="Q35" s="32">
        <v>0</v>
      </c>
      <c r="R35" s="32">
        <v>0</v>
      </c>
      <c r="S35" s="32">
        <v>0</v>
      </c>
      <c r="T35" s="32">
        <v>0</v>
      </c>
      <c r="U35" s="32">
        <v>0</v>
      </c>
      <c r="V35" s="32">
        <v>0</v>
      </c>
      <c r="W35" s="32">
        <v>0</v>
      </c>
    </row>
    <row r="36" spans="1:23">
      <c r="A36">
        <v>35</v>
      </c>
      <c r="B36" t="s">
        <v>103</v>
      </c>
      <c r="C36" s="32">
        <v>0</v>
      </c>
      <c r="D36" s="32">
        <v>0</v>
      </c>
      <c r="E36" s="32">
        <v>0</v>
      </c>
      <c r="F36" s="32">
        <v>0</v>
      </c>
      <c r="G36" s="32">
        <v>0</v>
      </c>
      <c r="H36" s="32">
        <v>0</v>
      </c>
      <c r="I36" s="32">
        <v>0</v>
      </c>
      <c r="J36" s="32">
        <v>0</v>
      </c>
      <c r="K36" s="32">
        <v>0</v>
      </c>
      <c r="L36" s="32">
        <v>0</v>
      </c>
      <c r="M36" s="32">
        <v>0</v>
      </c>
      <c r="N36" s="32">
        <v>0</v>
      </c>
      <c r="O36" s="32">
        <v>0</v>
      </c>
      <c r="P36" s="32">
        <v>0</v>
      </c>
      <c r="Q36" s="32">
        <v>0</v>
      </c>
      <c r="R36" s="32">
        <v>0</v>
      </c>
      <c r="S36" s="32">
        <v>0</v>
      </c>
      <c r="T36" s="32">
        <v>0</v>
      </c>
      <c r="U36" s="32">
        <v>0</v>
      </c>
      <c r="V36" s="32">
        <v>0</v>
      </c>
      <c r="W36" s="32">
        <v>0</v>
      </c>
    </row>
    <row r="37" spans="1:23">
      <c r="A37">
        <v>36</v>
      </c>
      <c r="B37" t="s">
        <v>104</v>
      </c>
      <c r="C37" s="32">
        <v>0</v>
      </c>
      <c r="D37" s="32">
        <v>0</v>
      </c>
      <c r="E37" s="32">
        <v>0</v>
      </c>
      <c r="F37" s="32">
        <v>0</v>
      </c>
      <c r="G37" s="32">
        <v>0</v>
      </c>
      <c r="H37" s="32">
        <v>0</v>
      </c>
      <c r="I37" s="32">
        <v>0</v>
      </c>
      <c r="J37" s="32">
        <v>0</v>
      </c>
      <c r="K37" s="32">
        <v>0</v>
      </c>
      <c r="L37" s="32">
        <v>0</v>
      </c>
      <c r="M37" s="32">
        <v>0</v>
      </c>
      <c r="N37" s="32">
        <v>0</v>
      </c>
      <c r="O37" s="32">
        <v>0</v>
      </c>
      <c r="P37" s="32">
        <v>0</v>
      </c>
      <c r="Q37" s="32">
        <v>0</v>
      </c>
      <c r="R37" s="32">
        <v>0</v>
      </c>
      <c r="S37" s="32">
        <v>0</v>
      </c>
      <c r="T37" s="32">
        <v>0</v>
      </c>
      <c r="U37" s="32">
        <v>0</v>
      </c>
      <c r="V37" s="32">
        <v>0</v>
      </c>
      <c r="W37" s="32">
        <v>0</v>
      </c>
    </row>
    <row r="38" spans="1:23">
      <c r="A38">
        <v>37</v>
      </c>
      <c r="B38" t="s">
        <v>105</v>
      </c>
      <c r="C38" s="32">
        <v>0</v>
      </c>
      <c r="D38" s="32">
        <v>0</v>
      </c>
      <c r="E38" s="32">
        <v>0</v>
      </c>
      <c r="F38" s="32">
        <v>0</v>
      </c>
      <c r="G38" s="32">
        <v>0</v>
      </c>
      <c r="H38" s="32">
        <v>0</v>
      </c>
      <c r="I38" s="32">
        <v>0</v>
      </c>
      <c r="J38" s="32">
        <v>0</v>
      </c>
      <c r="K38" s="32">
        <v>0</v>
      </c>
      <c r="L38" s="32">
        <v>0</v>
      </c>
      <c r="M38" s="32">
        <v>0</v>
      </c>
      <c r="N38" s="32">
        <v>0</v>
      </c>
      <c r="O38" s="32">
        <v>0</v>
      </c>
      <c r="P38" s="32">
        <v>0</v>
      </c>
      <c r="Q38" s="32">
        <v>0</v>
      </c>
      <c r="R38" s="32">
        <v>0</v>
      </c>
      <c r="S38" s="32">
        <v>0</v>
      </c>
      <c r="T38" s="32">
        <v>0</v>
      </c>
      <c r="U38" s="32">
        <v>0</v>
      </c>
      <c r="V38" s="32">
        <v>0</v>
      </c>
      <c r="W38" s="32">
        <v>0</v>
      </c>
    </row>
    <row r="39" spans="1:23">
      <c r="A39">
        <v>38</v>
      </c>
      <c r="B39" t="s">
        <v>106</v>
      </c>
      <c r="C39" s="32">
        <v>0</v>
      </c>
      <c r="D39" s="32">
        <v>0</v>
      </c>
      <c r="E39" s="32">
        <v>0</v>
      </c>
      <c r="F39" s="32">
        <v>0</v>
      </c>
      <c r="G39" s="32">
        <v>0</v>
      </c>
      <c r="H39" s="32">
        <v>0</v>
      </c>
      <c r="I39" s="32">
        <v>0</v>
      </c>
      <c r="J39" s="32">
        <v>0</v>
      </c>
      <c r="K39" s="32">
        <v>0</v>
      </c>
      <c r="L39" s="32">
        <v>0</v>
      </c>
      <c r="M39" s="32">
        <v>0</v>
      </c>
      <c r="N39" s="32">
        <v>0</v>
      </c>
      <c r="O39" s="32">
        <v>0</v>
      </c>
      <c r="P39" s="32">
        <v>0</v>
      </c>
      <c r="Q39" s="32">
        <v>0</v>
      </c>
      <c r="R39" s="32">
        <v>0</v>
      </c>
      <c r="S39" s="32">
        <v>0</v>
      </c>
      <c r="T39" s="32">
        <v>0</v>
      </c>
      <c r="U39" s="32">
        <v>0</v>
      </c>
      <c r="V39" s="32">
        <v>0</v>
      </c>
      <c r="W39" s="32">
        <v>0</v>
      </c>
    </row>
    <row r="40" spans="1:23">
      <c r="A40">
        <v>39</v>
      </c>
      <c r="B40" t="s">
        <v>107</v>
      </c>
      <c r="C40" s="32">
        <v>0</v>
      </c>
      <c r="D40" s="32">
        <v>0</v>
      </c>
      <c r="E40" s="32">
        <v>0</v>
      </c>
      <c r="F40" s="32">
        <v>0</v>
      </c>
      <c r="G40" s="32">
        <v>0</v>
      </c>
      <c r="H40" s="32">
        <v>0</v>
      </c>
      <c r="I40" s="32">
        <v>0</v>
      </c>
      <c r="J40" s="32">
        <v>0</v>
      </c>
      <c r="K40" s="32">
        <v>0</v>
      </c>
      <c r="L40" s="32">
        <v>0</v>
      </c>
      <c r="M40" s="32">
        <v>0</v>
      </c>
      <c r="N40" s="32">
        <v>0</v>
      </c>
      <c r="O40" s="32">
        <v>0</v>
      </c>
      <c r="P40" s="32">
        <v>0</v>
      </c>
      <c r="Q40" s="32">
        <v>0</v>
      </c>
      <c r="R40" s="32">
        <v>0</v>
      </c>
      <c r="S40" s="32">
        <v>0</v>
      </c>
      <c r="T40" s="32">
        <v>0</v>
      </c>
      <c r="U40" s="32">
        <v>0</v>
      </c>
      <c r="V40" s="32">
        <v>0</v>
      </c>
      <c r="W40" s="32">
        <v>0</v>
      </c>
    </row>
    <row r="41" spans="1:23">
      <c r="A41">
        <v>40</v>
      </c>
      <c r="B41" t="s">
        <v>108</v>
      </c>
      <c r="C41" s="32">
        <v>0</v>
      </c>
      <c r="D41" s="32">
        <v>0</v>
      </c>
      <c r="E41" s="32">
        <v>0</v>
      </c>
      <c r="F41" s="32">
        <v>0</v>
      </c>
      <c r="G41" s="32">
        <v>0</v>
      </c>
      <c r="H41" s="32">
        <v>0</v>
      </c>
      <c r="I41" s="32">
        <v>0</v>
      </c>
      <c r="J41" s="32">
        <v>0</v>
      </c>
      <c r="K41" s="32">
        <v>0</v>
      </c>
      <c r="L41" s="32">
        <v>0</v>
      </c>
      <c r="M41" s="32">
        <v>0</v>
      </c>
      <c r="N41" s="32">
        <v>0</v>
      </c>
      <c r="O41" s="32">
        <v>0</v>
      </c>
      <c r="P41" s="32">
        <v>0</v>
      </c>
      <c r="Q41" s="32">
        <v>0</v>
      </c>
      <c r="R41" s="32">
        <v>0</v>
      </c>
      <c r="S41" s="32">
        <v>0</v>
      </c>
      <c r="T41" s="32">
        <v>0</v>
      </c>
      <c r="U41" s="32">
        <v>0</v>
      </c>
      <c r="V41" s="32">
        <v>0</v>
      </c>
      <c r="W41" s="32">
        <v>0</v>
      </c>
    </row>
    <row r="42" spans="1:23">
      <c r="A42">
        <v>41</v>
      </c>
      <c r="B42" t="s">
        <v>109</v>
      </c>
      <c r="C42" s="32">
        <v>0</v>
      </c>
      <c r="D42" s="32">
        <v>0</v>
      </c>
      <c r="E42" s="32">
        <v>0</v>
      </c>
      <c r="F42" s="32">
        <v>0</v>
      </c>
      <c r="G42" s="32">
        <v>0</v>
      </c>
      <c r="H42" s="32">
        <v>0</v>
      </c>
      <c r="I42" s="32">
        <v>0</v>
      </c>
      <c r="J42" s="32">
        <v>0</v>
      </c>
      <c r="K42" s="32">
        <v>0</v>
      </c>
      <c r="L42" s="32">
        <v>0</v>
      </c>
      <c r="M42" s="32">
        <v>0</v>
      </c>
      <c r="N42" s="32">
        <v>0</v>
      </c>
      <c r="O42" s="32">
        <v>0</v>
      </c>
      <c r="P42" s="32">
        <v>0</v>
      </c>
      <c r="Q42" s="32">
        <v>0</v>
      </c>
      <c r="R42" s="32">
        <v>0</v>
      </c>
      <c r="S42" s="32">
        <v>0</v>
      </c>
      <c r="T42" s="32">
        <v>0</v>
      </c>
      <c r="U42" s="32">
        <v>0</v>
      </c>
      <c r="V42" s="32">
        <v>0</v>
      </c>
      <c r="W42" s="32">
        <v>0</v>
      </c>
    </row>
    <row r="43" spans="1:23">
      <c r="A43">
        <v>42</v>
      </c>
      <c r="B43" t="s">
        <v>110</v>
      </c>
      <c r="C43" s="32">
        <v>0</v>
      </c>
      <c r="D43" s="32">
        <v>0</v>
      </c>
      <c r="E43" s="32">
        <v>0</v>
      </c>
      <c r="F43" s="32">
        <v>0</v>
      </c>
      <c r="G43" s="32">
        <v>0</v>
      </c>
      <c r="H43" s="32">
        <v>0</v>
      </c>
      <c r="I43" s="32">
        <v>0</v>
      </c>
      <c r="J43" s="32">
        <v>0</v>
      </c>
      <c r="K43" s="32">
        <v>0</v>
      </c>
      <c r="L43" s="32">
        <v>0</v>
      </c>
      <c r="M43" s="32">
        <v>0</v>
      </c>
      <c r="N43" s="32">
        <v>0</v>
      </c>
      <c r="O43" s="32">
        <v>0</v>
      </c>
      <c r="P43" s="32">
        <v>0</v>
      </c>
      <c r="Q43" s="32">
        <v>0</v>
      </c>
      <c r="R43" s="32">
        <v>0</v>
      </c>
      <c r="S43" s="32">
        <v>0</v>
      </c>
      <c r="T43" s="32">
        <v>0</v>
      </c>
      <c r="U43" s="32">
        <v>0</v>
      </c>
      <c r="V43" s="32">
        <v>0</v>
      </c>
      <c r="W43" s="32">
        <v>0</v>
      </c>
    </row>
    <row r="44" spans="1:23">
      <c r="A44">
        <v>43</v>
      </c>
      <c r="B44" t="s">
        <v>111</v>
      </c>
      <c r="C44" s="32">
        <v>0</v>
      </c>
      <c r="D44" s="32">
        <v>0</v>
      </c>
      <c r="E44" s="32">
        <v>0</v>
      </c>
      <c r="F44" s="32">
        <v>0</v>
      </c>
      <c r="G44" s="32">
        <v>0</v>
      </c>
      <c r="H44" s="32">
        <v>0</v>
      </c>
      <c r="I44" s="32">
        <v>0</v>
      </c>
      <c r="J44" s="32">
        <v>0</v>
      </c>
      <c r="K44" s="32">
        <v>0</v>
      </c>
      <c r="L44" s="32">
        <v>0</v>
      </c>
      <c r="M44" s="32">
        <v>0</v>
      </c>
      <c r="N44" s="32">
        <v>0</v>
      </c>
      <c r="O44" s="32">
        <v>0</v>
      </c>
      <c r="P44" s="32">
        <v>0</v>
      </c>
      <c r="Q44" s="32">
        <v>0</v>
      </c>
      <c r="R44" s="32">
        <v>0</v>
      </c>
      <c r="S44" s="32">
        <v>0</v>
      </c>
      <c r="T44" s="32">
        <v>0</v>
      </c>
      <c r="U44" s="32">
        <v>0</v>
      </c>
      <c r="V44" s="32">
        <v>0</v>
      </c>
      <c r="W44" s="32">
        <v>0</v>
      </c>
    </row>
    <row r="45" spans="1:23">
      <c r="A45">
        <v>44</v>
      </c>
      <c r="B45" t="s">
        <v>112</v>
      </c>
      <c r="C45" s="32">
        <v>0</v>
      </c>
      <c r="D45" s="32">
        <v>0</v>
      </c>
      <c r="E45" s="32">
        <v>0</v>
      </c>
      <c r="F45" s="32">
        <v>0</v>
      </c>
      <c r="G45" s="32">
        <v>0</v>
      </c>
      <c r="H45" s="32">
        <v>0</v>
      </c>
      <c r="I45" s="32">
        <v>0</v>
      </c>
      <c r="J45" s="32">
        <v>0</v>
      </c>
      <c r="K45" s="32">
        <v>0</v>
      </c>
      <c r="L45" s="32">
        <v>0</v>
      </c>
      <c r="M45" s="32">
        <v>0</v>
      </c>
      <c r="N45" s="32">
        <v>0</v>
      </c>
      <c r="O45" s="32">
        <v>0</v>
      </c>
      <c r="P45" s="32">
        <v>0</v>
      </c>
      <c r="Q45" s="32">
        <v>0</v>
      </c>
      <c r="R45" s="32">
        <v>0</v>
      </c>
      <c r="S45" s="32">
        <v>0</v>
      </c>
      <c r="T45" s="32">
        <v>0</v>
      </c>
      <c r="U45" s="32">
        <v>0</v>
      </c>
      <c r="V45" s="32">
        <v>0</v>
      </c>
      <c r="W45" s="32">
        <v>0</v>
      </c>
    </row>
    <row r="46" spans="1:23">
      <c r="A46">
        <v>45</v>
      </c>
      <c r="B46" t="s">
        <v>113</v>
      </c>
      <c r="C46" s="32">
        <v>0</v>
      </c>
      <c r="D46" s="32">
        <v>0</v>
      </c>
      <c r="E46" s="32">
        <v>0</v>
      </c>
      <c r="F46" s="32">
        <v>0</v>
      </c>
      <c r="G46" s="32">
        <v>0</v>
      </c>
      <c r="H46" s="32">
        <v>0</v>
      </c>
      <c r="I46" s="32">
        <v>0</v>
      </c>
      <c r="J46" s="32">
        <v>0</v>
      </c>
      <c r="K46" s="32">
        <v>0</v>
      </c>
      <c r="L46" s="32">
        <v>0</v>
      </c>
      <c r="M46" s="32">
        <v>0</v>
      </c>
      <c r="N46" s="32">
        <v>0</v>
      </c>
      <c r="O46" s="32">
        <v>0</v>
      </c>
      <c r="P46" s="32">
        <v>0</v>
      </c>
      <c r="Q46" s="32">
        <v>0</v>
      </c>
      <c r="R46" s="32">
        <v>0</v>
      </c>
      <c r="S46" s="32">
        <v>0</v>
      </c>
      <c r="T46" s="32">
        <v>0</v>
      </c>
      <c r="U46" s="32">
        <v>0</v>
      </c>
      <c r="V46" s="32">
        <v>0</v>
      </c>
      <c r="W46" s="32">
        <v>0</v>
      </c>
    </row>
    <row r="47" spans="1:23">
      <c r="A47">
        <v>46</v>
      </c>
      <c r="B47" t="s">
        <v>114</v>
      </c>
      <c r="C47" s="32">
        <v>0</v>
      </c>
      <c r="D47" s="32">
        <v>0</v>
      </c>
      <c r="E47" s="32">
        <v>0</v>
      </c>
      <c r="F47" s="32">
        <v>0</v>
      </c>
      <c r="G47" s="32">
        <v>0</v>
      </c>
      <c r="H47" s="32">
        <v>0</v>
      </c>
      <c r="I47" s="32">
        <v>0</v>
      </c>
      <c r="J47" s="32">
        <v>0</v>
      </c>
      <c r="K47" s="32">
        <v>0</v>
      </c>
      <c r="L47" s="32">
        <v>0</v>
      </c>
      <c r="M47" s="32">
        <v>0</v>
      </c>
      <c r="N47" s="32">
        <v>0</v>
      </c>
      <c r="O47" s="32">
        <v>0</v>
      </c>
      <c r="P47" s="32">
        <v>0</v>
      </c>
      <c r="Q47" s="32">
        <v>0</v>
      </c>
      <c r="R47" s="32">
        <v>0</v>
      </c>
      <c r="S47" s="32">
        <v>0</v>
      </c>
      <c r="T47" s="32">
        <v>0</v>
      </c>
      <c r="U47" s="32">
        <v>0</v>
      </c>
      <c r="V47" s="32">
        <v>0</v>
      </c>
      <c r="W47" s="32">
        <v>0</v>
      </c>
    </row>
    <row r="48" spans="1:23">
      <c r="A48">
        <v>47</v>
      </c>
      <c r="B48" t="s">
        <v>115</v>
      </c>
      <c r="C48" s="32">
        <v>0</v>
      </c>
      <c r="D48" s="32">
        <v>0</v>
      </c>
      <c r="E48" s="32">
        <v>0</v>
      </c>
      <c r="F48" s="32">
        <v>0</v>
      </c>
      <c r="G48" s="32">
        <v>0</v>
      </c>
      <c r="H48" s="32">
        <v>0</v>
      </c>
      <c r="I48" s="32">
        <v>0</v>
      </c>
      <c r="J48" s="32">
        <v>0</v>
      </c>
      <c r="K48" s="32">
        <v>0</v>
      </c>
      <c r="L48" s="32">
        <v>0</v>
      </c>
      <c r="M48" s="32">
        <v>0</v>
      </c>
      <c r="N48" s="32">
        <v>0</v>
      </c>
      <c r="O48" s="32">
        <v>0</v>
      </c>
      <c r="P48" s="32">
        <v>0</v>
      </c>
      <c r="Q48" s="32">
        <v>0</v>
      </c>
      <c r="R48" s="32">
        <v>0</v>
      </c>
      <c r="S48" s="32">
        <v>0</v>
      </c>
      <c r="T48" s="32">
        <v>0</v>
      </c>
      <c r="U48" s="32">
        <v>0</v>
      </c>
      <c r="V48" s="32">
        <v>0</v>
      </c>
      <c r="W48" s="32">
        <v>0</v>
      </c>
    </row>
    <row r="49" spans="1:23">
      <c r="A49">
        <v>48</v>
      </c>
      <c r="B49" t="s">
        <v>116</v>
      </c>
      <c r="C49" s="32">
        <v>0</v>
      </c>
      <c r="D49" s="32">
        <v>0</v>
      </c>
      <c r="E49" s="32">
        <v>0</v>
      </c>
      <c r="F49" s="32">
        <v>0</v>
      </c>
      <c r="G49" s="32">
        <v>0</v>
      </c>
      <c r="H49" s="32">
        <v>0</v>
      </c>
      <c r="I49" s="32">
        <v>0</v>
      </c>
      <c r="J49" s="32">
        <v>0</v>
      </c>
      <c r="K49" s="32">
        <v>0</v>
      </c>
      <c r="L49" s="32">
        <v>0</v>
      </c>
      <c r="M49" s="32">
        <v>0</v>
      </c>
      <c r="N49" s="32">
        <v>0</v>
      </c>
      <c r="O49" s="32">
        <v>0</v>
      </c>
      <c r="P49" s="32">
        <v>0</v>
      </c>
      <c r="Q49" s="32">
        <v>0</v>
      </c>
      <c r="R49" s="32">
        <v>0</v>
      </c>
      <c r="S49" s="32">
        <v>0</v>
      </c>
      <c r="T49" s="32">
        <v>0</v>
      </c>
      <c r="U49" s="32">
        <v>0</v>
      </c>
      <c r="V49" s="32">
        <v>0</v>
      </c>
      <c r="W49" s="32">
        <v>0</v>
      </c>
    </row>
    <row r="50" spans="1:23">
      <c r="A50">
        <v>49</v>
      </c>
      <c r="B50" t="s">
        <v>117</v>
      </c>
      <c r="C50" s="32">
        <v>0</v>
      </c>
      <c r="D50" s="32">
        <v>0</v>
      </c>
      <c r="E50" s="32">
        <v>0</v>
      </c>
      <c r="F50" s="32">
        <v>0</v>
      </c>
      <c r="G50" s="32">
        <v>0</v>
      </c>
      <c r="H50" s="32">
        <v>0</v>
      </c>
      <c r="I50" s="32">
        <v>0</v>
      </c>
      <c r="J50" s="32">
        <v>0</v>
      </c>
      <c r="K50" s="32">
        <v>0</v>
      </c>
      <c r="L50" s="32">
        <v>0</v>
      </c>
      <c r="M50" s="32">
        <v>0</v>
      </c>
      <c r="N50" s="32">
        <v>0</v>
      </c>
      <c r="O50" s="32">
        <v>0</v>
      </c>
      <c r="P50" s="32">
        <v>0</v>
      </c>
      <c r="Q50" s="32">
        <v>0</v>
      </c>
      <c r="R50" s="32">
        <v>0</v>
      </c>
      <c r="S50" s="32">
        <v>0</v>
      </c>
      <c r="T50" s="32">
        <v>0</v>
      </c>
      <c r="U50" s="32">
        <v>0</v>
      </c>
      <c r="V50" s="32">
        <v>0</v>
      </c>
      <c r="W50" s="32">
        <v>0</v>
      </c>
    </row>
    <row r="51" spans="1:23">
      <c r="A51">
        <v>50</v>
      </c>
      <c r="B51" t="s">
        <v>118</v>
      </c>
      <c r="C51" s="32">
        <v>0</v>
      </c>
      <c r="D51" s="32">
        <v>0</v>
      </c>
      <c r="E51" s="32">
        <v>0</v>
      </c>
      <c r="F51" s="32">
        <v>0</v>
      </c>
      <c r="G51" s="32">
        <v>0</v>
      </c>
      <c r="H51" s="32">
        <v>0</v>
      </c>
      <c r="I51" s="32">
        <v>0</v>
      </c>
      <c r="J51" s="32">
        <v>0</v>
      </c>
      <c r="K51" s="32">
        <v>0</v>
      </c>
      <c r="L51" s="32">
        <v>0</v>
      </c>
      <c r="M51" s="32">
        <v>0</v>
      </c>
      <c r="N51" s="32">
        <v>0</v>
      </c>
      <c r="O51" s="32">
        <v>0</v>
      </c>
      <c r="P51" s="32">
        <v>0</v>
      </c>
      <c r="Q51" s="32">
        <v>0</v>
      </c>
      <c r="R51" s="32">
        <v>0</v>
      </c>
      <c r="S51" s="32">
        <v>0</v>
      </c>
      <c r="T51" s="32">
        <v>0</v>
      </c>
      <c r="U51" s="32">
        <v>0</v>
      </c>
      <c r="V51" s="32">
        <v>0</v>
      </c>
      <c r="W51" s="32">
        <v>0</v>
      </c>
    </row>
    <row r="52" spans="1:23">
      <c r="A52">
        <v>51</v>
      </c>
      <c r="B52" t="s">
        <v>119</v>
      </c>
      <c r="C52" s="32">
        <v>0</v>
      </c>
      <c r="D52" s="32">
        <v>0</v>
      </c>
      <c r="E52" s="32">
        <v>0</v>
      </c>
      <c r="F52" s="32">
        <v>0</v>
      </c>
      <c r="G52" s="32">
        <v>0</v>
      </c>
      <c r="H52" s="32">
        <v>0</v>
      </c>
      <c r="I52" s="32">
        <v>0</v>
      </c>
      <c r="J52" s="32">
        <v>0</v>
      </c>
      <c r="K52" s="32">
        <v>0</v>
      </c>
      <c r="L52" s="32">
        <v>0</v>
      </c>
      <c r="M52" s="32">
        <v>0</v>
      </c>
      <c r="N52" s="32">
        <v>0</v>
      </c>
      <c r="O52" s="32">
        <v>0</v>
      </c>
      <c r="P52" s="32">
        <v>0</v>
      </c>
      <c r="Q52" s="32">
        <v>0</v>
      </c>
      <c r="R52" s="32">
        <v>0</v>
      </c>
      <c r="S52" s="32">
        <v>0</v>
      </c>
      <c r="T52" s="32">
        <v>0</v>
      </c>
      <c r="U52" s="32">
        <v>0</v>
      </c>
      <c r="V52" s="32">
        <v>0</v>
      </c>
      <c r="W52" s="32">
        <v>0</v>
      </c>
    </row>
    <row r="53" spans="1:23">
      <c r="A53">
        <v>52</v>
      </c>
      <c r="B53" t="s">
        <v>120</v>
      </c>
      <c r="C53" s="32">
        <v>0</v>
      </c>
      <c r="D53" s="32">
        <v>0</v>
      </c>
      <c r="E53" s="32">
        <v>0</v>
      </c>
      <c r="F53" s="32">
        <v>0</v>
      </c>
      <c r="G53" s="32">
        <v>0</v>
      </c>
      <c r="H53" s="32">
        <v>0</v>
      </c>
      <c r="I53" s="32">
        <v>0</v>
      </c>
      <c r="J53" s="32">
        <v>0</v>
      </c>
      <c r="K53" s="32">
        <v>0</v>
      </c>
      <c r="L53" s="32">
        <v>0</v>
      </c>
      <c r="M53" s="32">
        <v>0</v>
      </c>
      <c r="N53" s="32">
        <v>0</v>
      </c>
      <c r="O53" s="32">
        <v>0</v>
      </c>
      <c r="P53" s="32">
        <v>0</v>
      </c>
      <c r="Q53" s="32">
        <v>0</v>
      </c>
      <c r="R53" s="32">
        <v>0</v>
      </c>
      <c r="S53" s="32">
        <v>0</v>
      </c>
      <c r="T53" s="32">
        <v>0</v>
      </c>
      <c r="U53" s="32">
        <v>0</v>
      </c>
      <c r="V53" s="32">
        <v>0</v>
      </c>
      <c r="W53" s="32">
        <v>0</v>
      </c>
    </row>
    <row r="54" spans="1:23">
      <c r="A54">
        <v>53</v>
      </c>
      <c r="B54" t="s">
        <v>121</v>
      </c>
      <c r="C54" s="32">
        <v>0</v>
      </c>
      <c r="D54" s="32">
        <v>0</v>
      </c>
      <c r="E54" s="32">
        <v>0</v>
      </c>
      <c r="F54" s="32">
        <v>0</v>
      </c>
      <c r="G54" s="32">
        <v>0</v>
      </c>
      <c r="H54" s="32">
        <v>0</v>
      </c>
      <c r="I54" s="32">
        <v>0</v>
      </c>
      <c r="J54" s="32">
        <v>0</v>
      </c>
      <c r="K54" s="32">
        <v>0</v>
      </c>
      <c r="L54" s="32">
        <v>0</v>
      </c>
      <c r="M54" s="32">
        <v>0</v>
      </c>
      <c r="N54" s="32">
        <v>0</v>
      </c>
      <c r="O54" s="32">
        <v>0</v>
      </c>
      <c r="P54" s="32">
        <v>0</v>
      </c>
      <c r="Q54" s="32">
        <v>0</v>
      </c>
      <c r="R54" s="32">
        <v>0</v>
      </c>
      <c r="S54" s="32">
        <v>0</v>
      </c>
      <c r="T54" s="32">
        <v>0</v>
      </c>
      <c r="U54" s="32">
        <v>0</v>
      </c>
      <c r="V54" s="32">
        <v>0</v>
      </c>
      <c r="W54" s="32">
        <v>0</v>
      </c>
    </row>
    <row r="55" spans="1:23">
      <c r="A55">
        <v>54</v>
      </c>
      <c r="B55" t="s">
        <v>122</v>
      </c>
      <c r="C55" s="32">
        <v>0</v>
      </c>
      <c r="D55" s="32">
        <v>0</v>
      </c>
      <c r="E55" s="32">
        <v>0</v>
      </c>
      <c r="F55" s="32">
        <v>0</v>
      </c>
      <c r="G55" s="32">
        <v>0</v>
      </c>
      <c r="H55" s="32">
        <v>0</v>
      </c>
      <c r="I55" s="32">
        <v>0</v>
      </c>
      <c r="J55" s="32">
        <v>0</v>
      </c>
      <c r="K55" s="32">
        <v>0</v>
      </c>
      <c r="L55" s="32">
        <v>0</v>
      </c>
      <c r="M55" s="32">
        <v>0</v>
      </c>
      <c r="N55" s="32">
        <v>0</v>
      </c>
      <c r="O55" s="32">
        <v>0</v>
      </c>
      <c r="P55" s="32">
        <v>0</v>
      </c>
      <c r="Q55" s="32">
        <v>0</v>
      </c>
      <c r="R55" s="32">
        <v>0</v>
      </c>
      <c r="S55" s="32">
        <v>0</v>
      </c>
      <c r="T55" s="32">
        <v>0</v>
      </c>
      <c r="U55" s="32">
        <v>0</v>
      </c>
      <c r="V55" s="32">
        <v>0</v>
      </c>
      <c r="W55" s="32">
        <v>0</v>
      </c>
    </row>
    <row r="56" spans="1:23">
      <c r="A56" s="30">
        <v>61</v>
      </c>
      <c r="B56" s="31" t="s">
        <v>123</v>
      </c>
      <c r="C56" s="32">
        <v>0</v>
      </c>
      <c r="D56" s="32">
        <v>0</v>
      </c>
      <c r="E56" s="32">
        <v>0</v>
      </c>
      <c r="F56" s="32">
        <v>0</v>
      </c>
      <c r="G56" s="32">
        <v>0</v>
      </c>
      <c r="H56" s="32">
        <v>0</v>
      </c>
      <c r="I56" s="32">
        <v>0</v>
      </c>
      <c r="J56" s="32">
        <v>0</v>
      </c>
      <c r="K56" s="32">
        <v>0</v>
      </c>
      <c r="L56" s="32">
        <v>0</v>
      </c>
      <c r="M56" s="32">
        <v>0</v>
      </c>
      <c r="N56" s="32">
        <v>0</v>
      </c>
      <c r="O56" s="32">
        <v>0</v>
      </c>
      <c r="P56" s="32">
        <v>0</v>
      </c>
      <c r="Q56" s="32">
        <v>0</v>
      </c>
      <c r="R56" s="32">
        <v>0</v>
      </c>
      <c r="S56" s="32">
        <v>0</v>
      </c>
      <c r="T56" s="32">
        <v>0</v>
      </c>
      <c r="U56" s="32">
        <v>0</v>
      </c>
      <c r="V56" s="32">
        <v>0</v>
      </c>
      <c r="W56" s="32">
        <v>0</v>
      </c>
    </row>
    <row r="58" spans="1:23">
      <c r="C58" s="33"/>
      <c r="D58" s="33"/>
      <c r="E58" s="33"/>
      <c r="F58" s="33"/>
      <c r="G58" s="33"/>
      <c r="H58" s="33"/>
      <c r="I58" s="33"/>
      <c r="J58" s="33"/>
      <c r="K58" s="33"/>
      <c r="L58" s="33"/>
      <c r="M58" s="33"/>
      <c r="N58" s="33"/>
      <c r="O58" s="33"/>
      <c r="P58" s="33"/>
      <c r="Q58" s="33"/>
      <c r="R58" s="33"/>
      <c r="S58" s="33"/>
      <c r="T58" s="33"/>
      <c r="U58" s="33"/>
      <c r="V58" s="33"/>
      <c r="W58" s="33"/>
    </row>
    <row r="61" spans="1:23">
      <c r="C61" s="33"/>
      <c r="D61" s="33"/>
      <c r="E61" s="33"/>
      <c r="F61" s="33"/>
      <c r="G61" s="33"/>
      <c r="H61" s="33"/>
      <c r="I61" s="33"/>
      <c r="J61" s="33"/>
      <c r="K61" s="33"/>
      <c r="L61" s="33"/>
      <c r="M61" s="33"/>
      <c r="N61" s="33"/>
      <c r="O61" s="33"/>
      <c r="P61" s="33"/>
      <c r="Q61" s="33"/>
      <c r="R61" s="33"/>
      <c r="S61" s="33"/>
      <c r="T61" s="33"/>
      <c r="U61" s="33"/>
      <c r="V61" s="33"/>
      <c r="W61" s="3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70A17-6870-4B82-9195-5F86BAC001F4}">
  <dimension ref="A1:B22"/>
  <sheetViews>
    <sheetView workbookViewId="0"/>
  </sheetViews>
  <sheetFormatPr defaultRowHeight="14.5"/>
  <sheetData>
    <row r="1" spans="1:2">
      <c r="A1" t="str">
        <f>Populasi!A10</f>
        <v>Year</v>
      </c>
      <c r="B1" t="str">
        <f>Populasi!B10</f>
        <v>Populasi</v>
      </c>
    </row>
    <row r="2" spans="1:2">
      <c r="A2">
        <f>Populasi!A11</f>
        <v>2025</v>
      </c>
      <c r="B2">
        <f>Populasi!B11</f>
        <v>8928520</v>
      </c>
    </row>
    <row r="3" spans="1:2">
      <c r="A3">
        <f>Populasi!A12</f>
        <v>2026</v>
      </c>
      <c r="B3">
        <f>Populasi!B12</f>
        <v>9017140</v>
      </c>
    </row>
    <row r="4" spans="1:2">
      <c r="A4">
        <f>Populasi!A13</f>
        <v>2027</v>
      </c>
      <c r="B4">
        <f>Populasi!B13</f>
        <v>9103180</v>
      </c>
    </row>
    <row r="5" spans="1:2">
      <c r="A5">
        <f>Populasi!A14</f>
        <v>2028</v>
      </c>
      <c r="B5">
        <f>Populasi!B14</f>
        <v>9186600</v>
      </c>
    </row>
    <row r="6" spans="1:2">
      <c r="A6">
        <f>Populasi!A15</f>
        <v>2029</v>
      </c>
      <c r="B6">
        <f>Populasi!B15</f>
        <v>9267400</v>
      </c>
    </row>
    <row r="7" spans="1:2">
      <c r="A7">
        <f>Populasi!A16</f>
        <v>2030</v>
      </c>
      <c r="B7">
        <f>Populasi!B16</f>
        <v>9345650</v>
      </c>
    </row>
    <row r="8" spans="1:2">
      <c r="A8">
        <f>Populasi!A17</f>
        <v>2031</v>
      </c>
      <c r="B8">
        <f>Populasi!B17</f>
        <v>9421670</v>
      </c>
    </row>
    <row r="9" spans="1:2">
      <c r="A9">
        <f>Populasi!A18</f>
        <v>2032</v>
      </c>
      <c r="B9">
        <f>Populasi!B18</f>
        <v>9495790</v>
      </c>
    </row>
    <row r="10" spans="1:2">
      <c r="A10">
        <f>Populasi!A19</f>
        <v>2033</v>
      </c>
      <c r="B10">
        <f>Populasi!B19</f>
        <v>9568080</v>
      </c>
    </row>
    <row r="11" spans="1:2">
      <c r="A11">
        <f>Populasi!A20</f>
        <v>2034</v>
      </c>
      <c r="B11">
        <f>Populasi!B20</f>
        <v>9638580</v>
      </c>
    </row>
    <row r="12" spans="1:2">
      <c r="A12">
        <f>Populasi!A21</f>
        <v>2035</v>
      </c>
      <c r="B12">
        <f>Populasi!B21</f>
        <v>9707360</v>
      </c>
    </row>
    <row r="13" spans="1:2">
      <c r="A13">
        <f>Populasi!A22</f>
        <v>2036</v>
      </c>
      <c r="B13">
        <f>Populasi!B22</f>
        <v>9774490</v>
      </c>
    </row>
    <row r="14" spans="1:2">
      <c r="A14">
        <f>Populasi!A23</f>
        <v>2037</v>
      </c>
      <c r="B14">
        <f>Populasi!B23</f>
        <v>9839900</v>
      </c>
    </row>
    <row r="15" spans="1:2">
      <c r="A15">
        <f>Populasi!A24</f>
        <v>2038</v>
      </c>
      <c r="B15">
        <f>Populasi!B24</f>
        <v>9903640</v>
      </c>
    </row>
    <row r="16" spans="1:2">
      <c r="A16">
        <f>Populasi!A25</f>
        <v>2039</v>
      </c>
      <c r="B16">
        <f>Populasi!B25</f>
        <v>9965680</v>
      </c>
    </row>
    <row r="17" spans="1:2">
      <c r="A17">
        <f>Populasi!A26</f>
        <v>2040</v>
      </c>
      <c r="B17">
        <f>Populasi!B26</f>
        <v>10025960</v>
      </c>
    </row>
    <row r="18" spans="1:2">
      <c r="A18">
        <f>Populasi!A27</f>
        <v>2041</v>
      </c>
      <c r="B18">
        <f>Populasi!B27</f>
        <v>10084270</v>
      </c>
    </row>
    <row r="19" spans="1:2">
      <c r="A19">
        <f>Populasi!A28</f>
        <v>2042</v>
      </c>
      <c r="B19">
        <f>Populasi!B28</f>
        <v>10140350</v>
      </c>
    </row>
    <row r="20" spans="1:2">
      <c r="A20">
        <f>Populasi!A29</f>
        <v>2043</v>
      </c>
      <c r="B20">
        <f>Populasi!B29</f>
        <v>10194060</v>
      </c>
    </row>
    <row r="21" spans="1:2">
      <c r="A21">
        <f>Populasi!A30</f>
        <v>2044</v>
      </c>
      <c r="B21">
        <f>Populasi!B30</f>
        <v>10245340</v>
      </c>
    </row>
    <row r="22" spans="1:2">
      <c r="A22">
        <f>Populasi!A31</f>
        <v>2045</v>
      </c>
      <c r="B22">
        <f>Populasi!B31</f>
        <v>10294090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4A65C-8B06-43F1-B0C3-15F34DAFEF8C}">
  <dimension ref="A1:W61"/>
  <sheetViews>
    <sheetView workbookViewId="0">
      <selection activeCell="I15" sqref="I15"/>
    </sheetView>
  </sheetViews>
  <sheetFormatPr defaultRowHeight="14.5"/>
  <sheetData>
    <row r="1" spans="1:23">
      <c r="A1" t="s">
        <v>449</v>
      </c>
      <c r="B1" t="s">
        <v>450</v>
      </c>
      <c r="C1">
        <v>1</v>
      </c>
      <c r="D1">
        <v>2</v>
      </c>
      <c r="E1">
        <v>3</v>
      </c>
      <c r="F1">
        <v>4</v>
      </c>
      <c r="G1">
        <v>5</v>
      </c>
      <c r="H1">
        <v>6</v>
      </c>
      <c r="I1">
        <v>7</v>
      </c>
      <c r="J1">
        <v>8</v>
      </c>
      <c r="K1">
        <v>9</v>
      </c>
      <c r="L1">
        <v>10</v>
      </c>
      <c r="M1">
        <v>11</v>
      </c>
      <c r="N1">
        <v>12</v>
      </c>
      <c r="O1">
        <v>13</v>
      </c>
      <c r="P1">
        <v>14</v>
      </c>
      <c r="Q1">
        <v>15</v>
      </c>
      <c r="R1">
        <v>16</v>
      </c>
      <c r="S1">
        <v>17</v>
      </c>
      <c r="T1">
        <v>18</v>
      </c>
      <c r="U1">
        <v>19</v>
      </c>
      <c r="V1">
        <v>20</v>
      </c>
      <c r="W1">
        <v>21</v>
      </c>
    </row>
    <row r="2" spans="1:23">
      <c r="A2">
        <v>9</v>
      </c>
      <c r="B2">
        <v>15</v>
      </c>
      <c r="C2">
        <v>0</v>
      </c>
      <c r="D2">
        <v>0</v>
      </c>
      <c r="E2" s="37">
        <v>9.9999999999999978E-2</v>
      </c>
      <c r="F2" s="37">
        <v>0.14444444444444443</v>
      </c>
      <c r="G2" s="37">
        <v>0.18888888888888886</v>
      </c>
      <c r="H2" s="37">
        <v>0.23333333333333331</v>
      </c>
      <c r="I2" s="37">
        <v>0.27777777777777779</v>
      </c>
      <c r="J2" s="37">
        <v>0.32222222222222219</v>
      </c>
      <c r="K2" s="37">
        <v>0.36666666666666664</v>
      </c>
      <c r="L2" s="37">
        <v>0.41111111111111109</v>
      </c>
      <c r="M2" s="37">
        <v>0.45555555555555555</v>
      </c>
      <c r="N2" s="37">
        <v>0.5</v>
      </c>
      <c r="O2" s="37">
        <v>0.54444444444444451</v>
      </c>
      <c r="P2" s="37">
        <v>0.5888888888888888</v>
      </c>
      <c r="Q2" s="37">
        <v>0.6333333333333333</v>
      </c>
      <c r="R2" s="37">
        <v>0.67777777777777781</v>
      </c>
      <c r="S2" s="37">
        <v>0.72222222222222232</v>
      </c>
      <c r="T2" s="37">
        <v>0.76666666666666661</v>
      </c>
      <c r="U2" s="37">
        <v>0.81111111111111112</v>
      </c>
      <c r="V2" s="37">
        <v>0.85555555555555562</v>
      </c>
      <c r="W2" s="37">
        <v>0.89999999999999991</v>
      </c>
    </row>
    <row r="3" spans="1:23">
      <c r="A3">
        <v>8</v>
      </c>
      <c r="B3">
        <v>20</v>
      </c>
      <c r="C3">
        <v>0</v>
      </c>
      <c r="D3">
        <v>0</v>
      </c>
      <c r="E3" s="37">
        <v>9.9999999999999978E-2</v>
      </c>
      <c r="F3" s="37">
        <v>0.14444444444444443</v>
      </c>
      <c r="G3" s="37">
        <v>0.18888888888888886</v>
      </c>
      <c r="H3" s="37">
        <v>0.23333333333333331</v>
      </c>
      <c r="I3" s="37">
        <v>0.27777777777777779</v>
      </c>
      <c r="J3" s="37">
        <v>0.32222222222222219</v>
      </c>
      <c r="K3" s="37">
        <v>0.36666666666666664</v>
      </c>
      <c r="L3" s="37">
        <v>0.41111111111111109</v>
      </c>
      <c r="M3" s="37">
        <v>0.45555555555555555</v>
      </c>
      <c r="N3" s="37">
        <v>0.5</v>
      </c>
      <c r="O3" s="37">
        <v>0.54444444444444451</v>
      </c>
      <c r="P3" s="37">
        <v>0.5888888888888888</v>
      </c>
      <c r="Q3" s="37">
        <v>0.6333333333333333</v>
      </c>
      <c r="R3" s="37">
        <v>0.67777777777777781</v>
      </c>
      <c r="S3" s="37">
        <v>0.72222222222222232</v>
      </c>
      <c r="T3" s="37">
        <v>0.76666666666666661</v>
      </c>
      <c r="U3" s="37">
        <v>0.81111111111111112</v>
      </c>
      <c r="V3" s="37">
        <v>0.85555555555555562</v>
      </c>
      <c r="W3" s="37">
        <v>0.89999999999999991</v>
      </c>
    </row>
    <row r="4" spans="1:23">
      <c r="A4">
        <v>8</v>
      </c>
      <c r="B4">
        <v>19</v>
      </c>
      <c r="C4">
        <v>0</v>
      </c>
      <c r="D4">
        <v>0</v>
      </c>
      <c r="E4" s="37">
        <v>9.9999999999999978E-2</v>
      </c>
      <c r="F4" s="37">
        <v>0.14444444444444443</v>
      </c>
      <c r="G4" s="37">
        <v>0.18888888888888886</v>
      </c>
      <c r="H4" s="37">
        <v>0.23333333333333331</v>
      </c>
      <c r="I4" s="37">
        <v>0.27777777777777779</v>
      </c>
      <c r="J4" s="37">
        <v>0.32222222222222219</v>
      </c>
      <c r="K4" s="37">
        <v>0.36666666666666664</v>
      </c>
      <c r="L4" s="37">
        <v>0.41111111111111109</v>
      </c>
      <c r="M4" s="37">
        <v>0.45555555555555555</v>
      </c>
      <c r="N4" s="37">
        <v>0.5</v>
      </c>
      <c r="O4" s="37">
        <v>0.54444444444444451</v>
      </c>
      <c r="P4" s="37">
        <v>0.5888888888888888</v>
      </c>
      <c r="Q4" s="37">
        <v>0.6333333333333333</v>
      </c>
      <c r="R4" s="37">
        <v>0.67777777777777781</v>
      </c>
      <c r="S4" s="37">
        <v>0.72222222222222232</v>
      </c>
      <c r="T4" s="37">
        <v>0.76666666666666661</v>
      </c>
      <c r="U4" s="37">
        <v>0.81111111111111112</v>
      </c>
      <c r="V4" s="37">
        <v>0.85555555555555562</v>
      </c>
      <c r="W4" s="37">
        <v>0.89999999999999991</v>
      </c>
    </row>
    <row r="56" spans="3:23">
      <c r="C56" s="32"/>
      <c r="D56" s="32"/>
      <c r="E56" s="32"/>
      <c r="F56" s="32"/>
      <c r="G56" s="32"/>
      <c r="H56" s="32"/>
      <c r="I56" s="32"/>
      <c r="J56" s="32"/>
      <c r="K56" s="32"/>
      <c r="L56" s="32"/>
      <c r="M56" s="32"/>
      <c r="N56" s="32"/>
      <c r="O56" s="32"/>
      <c r="P56" s="32"/>
      <c r="Q56" s="32"/>
      <c r="R56" s="32"/>
      <c r="S56" s="32"/>
      <c r="T56" s="32"/>
      <c r="U56" s="32"/>
      <c r="V56" s="32"/>
      <c r="W56" s="32"/>
    </row>
    <row r="58" spans="3:23">
      <c r="C58" s="33"/>
      <c r="D58" s="33"/>
      <c r="E58" s="33"/>
      <c r="F58" s="33"/>
      <c r="G58" s="33"/>
      <c r="H58" s="33"/>
      <c r="I58" s="33"/>
      <c r="J58" s="33"/>
      <c r="K58" s="33"/>
      <c r="L58" s="33"/>
      <c r="M58" s="33"/>
      <c r="N58" s="33"/>
      <c r="O58" s="33"/>
      <c r="P58" s="33"/>
      <c r="Q58" s="33"/>
      <c r="R58" s="33"/>
      <c r="S58" s="33"/>
      <c r="T58" s="33"/>
      <c r="U58" s="33"/>
      <c r="V58" s="33"/>
      <c r="W58" s="33"/>
    </row>
    <row r="61" spans="3:23">
      <c r="C61" s="33"/>
      <c r="D61" s="33"/>
      <c r="E61" s="33"/>
      <c r="F61" s="33"/>
      <c r="G61" s="33"/>
      <c r="H61" s="33"/>
      <c r="I61" s="33"/>
      <c r="J61" s="33"/>
      <c r="K61" s="33"/>
      <c r="L61" s="33"/>
      <c r="M61" s="33"/>
      <c r="N61" s="33"/>
      <c r="O61" s="33"/>
      <c r="P61" s="33"/>
      <c r="Q61" s="33"/>
      <c r="R61" s="33"/>
      <c r="S61" s="33"/>
      <c r="T61" s="33"/>
      <c r="U61" s="33"/>
      <c r="V61" s="33"/>
      <c r="W61" s="3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55"/>
  <sheetViews>
    <sheetView workbookViewId="0"/>
  </sheetViews>
  <sheetFormatPr defaultRowHeight="14.5"/>
  <sheetData>
    <row r="1" spans="1:55" s="1" customFormat="1">
      <c r="A1" s="1" t="s">
        <v>140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c r="AM1" s="1" t="s">
        <v>39</v>
      </c>
      <c r="AN1" s="1" t="s">
        <v>40</v>
      </c>
      <c r="AO1" s="1" t="s">
        <v>41</v>
      </c>
      <c r="AP1" s="1" t="s">
        <v>42</v>
      </c>
      <c r="AQ1" s="1" t="s">
        <v>43</v>
      </c>
      <c r="AR1" s="1" t="s">
        <v>44</v>
      </c>
      <c r="AS1" s="1" t="s">
        <v>45</v>
      </c>
      <c r="AT1" s="1" t="s">
        <v>46</v>
      </c>
      <c r="AU1" s="1" t="s">
        <v>47</v>
      </c>
      <c r="AV1" s="1" t="s">
        <v>48</v>
      </c>
      <c r="AW1" s="1" t="s">
        <v>49</v>
      </c>
      <c r="AX1" s="1" t="s">
        <v>50</v>
      </c>
      <c r="AY1" s="1" t="s">
        <v>51</v>
      </c>
      <c r="AZ1" s="1" t="s">
        <v>52</v>
      </c>
      <c r="BA1" s="1" t="s">
        <v>53</v>
      </c>
      <c r="BB1" s="1" t="s">
        <v>54</v>
      </c>
      <c r="BC1" s="1" t="s">
        <v>55</v>
      </c>
    </row>
    <row r="2" spans="1:55">
      <c r="A2" t="s">
        <v>2</v>
      </c>
      <c r="B2">
        <v>5.7388000000000002E-2</v>
      </c>
      <c r="C2">
        <v>0</v>
      </c>
      <c r="D2">
        <v>0</v>
      </c>
      <c r="E2">
        <v>0</v>
      </c>
      <c r="F2">
        <v>0</v>
      </c>
      <c r="G2">
        <v>5.3000000000000001E-5</v>
      </c>
      <c r="H2">
        <v>0</v>
      </c>
      <c r="I2">
        <v>0</v>
      </c>
      <c r="J2">
        <v>1.199E-3</v>
      </c>
      <c r="K2">
        <v>0</v>
      </c>
      <c r="L2">
        <v>0</v>
      </c>
      <c r="M2">
        <v>0</v>
      </c>
      <c r="N2">
        <v>0</v>
      </c>
      <c r="O2">
        <v>0</v>
      </c>
      <c r="P2">
        <v>9.4030000000000002E-2</v>
      </c>
      <c r="Q2">
        <v>0</v>
      </c>
      <c r="R2">
        <v>0</v>
      </c>
      <c r="S2">
        <v>0</v>
      </c>
      <c r="T2">
        <v>0</v>
      </c>
      <c r="U2">
        <v>0</v>
      </c>
      <c r="V2">
        <v>2.2599999999999999E-4</v>
      </c>
      <c r="W2">
        <v>0</v>
      </c>
      <c r="X2">
        <v>5.5199999999999997E-4</v>
      </c>
      <c r="Y2">
        <v>0</v>
      </c>
      <c r="Z2">
        <v>0</v>
      </c>
      <c r="AA2">
        <v>0</v>
      </c>
      <c r="AB2">
        <v>0</v>
      </c>
      <c r="AC2">
        <v>0</v>
      </c>
      <c r="AD2">
        <v>0</v>
      </c>
      <c r="AE2">
        <v>0</v>
      </c>
      <c r="AF2">
        <v>0</v>
      </c>
      <c r="AG2">
        <v>0</v>
      </c>
      <c r="AH2">
        <v>0</v>
      </c>
      <c r="AI2">
        <v>0</v>
      </c>
      <c r="AJ2">
        <v>0</v>
      </c>
      <c r="AK2">
        <v>0</v>
      </c>
      <c r="AL2">
        <v>0</v>
      </c>
      <c r="AM2">
        <v>0</v>
      </c>
      <c r="AN2">
        <v>0</v>
      </c>
      <c r="AO2">
        <v>0</v>
      </c>
      <c r="AP2">
        <v>0</v>
      </c>
      <c r="AQ2">
        <v>2.5119999999999999E-3</v>
      </c>
      <c r="AR2">
        <v>7.3359999999999996E-3</v>
      </c>
      <c r="AS2">
        <v>0</v>
      </c>
      <c r="AT2">
        <v>0</v>
      </c>
      <c r="AU2">
        <v>0</v>
      </c>
      <c r="AV2">
        <v>0</v>
      </c>
      <c r="AW2">
        <v>0</v>
      </c>
      <c r="AX2">
        <v>0</v>
      </c>
      <c r="AY2">
        <v>0</v>
      </c>
      <c r="AZ2">
        <v>2.6259999999999999E-3</v>
      </c>
      <c r="BA2">
        <v>2.7599999999999999E-4</v>
      </c>
      <c r="BB2">
        <v>9.4799999999999995E-4</v>
      </c>
      <c r="BC2">
        <v>5.0220000000000004E-3</v>
      </c>
    </row>
    <row r="3" spans="1:55">
      <c r="A3" t="s">
        <v>3</v>
      </c>
      <c r="B3">
        <v>0</v>
      </c>
      <c r="C3">
        <v>1.0794E-2</v>
      </c>
      <c r="D3">
        <v>0</v>
      </c>
      <c r="E3">
        <v>0</v>
      </c>
      <c r="F3">
        <v>1.5999999999999999E-5</v>
      </c>
      <c r="G3">
        <v>0</v>
      </c>
      <c r="H3">
        <v>0</v>
      </c>
      <c r="I3">
        <v>0</v>
      </c>
      <c r="J3">
        <v>0</v>
      </c>
      <c r="K3">
        <v>0</v>
      </c>
      <c r="L3">
        <v>0</v>
      </c>
      <c r="M3">
        <v>0</v>
      </c>
      <c r="N3">
        <v>0</v>
      </c>
      <c r="O3">
        <v>0</v>
      </c>
      <c r="P3">
        <v>7.071E-3</v>
      </c>
      <c r="Q3">
        <v>0</v>
      </c>
      <c r="R3">
        <v>0</v>
      </c>
      <c r="S3">
        <v>0</v>
      </c>
      <c r="T3">
        <v>0</v>
      </c>
      <c r="U3">
        <v>0</v>
      </c>
      <c r="V3">
        <v>4.5899999999999999E-4</v>
      </c>
      <c r="W3">
        <v>0</v>
      </c>
      <c r="X3">
        <v>0</v>
      </c>
      <c r="Y3">
        <v>0</v>
      </c>
      <c r="Z3">
        <v>0</v>
      </c>
      <c r="AA3">
        <v>0</v>
      </c>
      <c r="AB3">
        <v>0</v>
      </c>
      <c r="AC3">
        <v>4.6999999999999997E-5</v>
      </c>
      <c r="AD3">
        <v>0</v>
      </c>
      <c r="AE3">
        <v>5.0000000000000004E-6</v>
      </c>
      <c r="AF3">
        <v>0</v>
      </c>
      <c r="AG3">
        <v>0</v>
      </c>
      <c r="AH3">
        <v>1.83E-4</v>
      </c>
      <c r="AI3">
        <v>0</v>
      </c>
      <c r="AJ3">
        <v>0</v>
      </c>
      <c r="AK3">
        <v>1.013E-3</v>
      </c>
      <c r="AL3">
        <v>0</v>
      </c>
      <c r="AM3">
        <v>6.4899999999999995E-4</v>
      </c>
      <c r="AN3">
        <v>0</v>
      </c>
      <c r="AO3">
        <v>1.596E-3</v>
      </c>
      <c r="AP3">
        <v>0</v>
      </c>
      <c r="AQ3">
        <v>8.1189999999999995E-3</v>
      </c>
      <c r="AR3">
        <v>1.7874000000000001E-2</v>
      </c>
      <c r="AS3">
        <v>0</v>
      </c>
      <c r="AT3">
        <v>2.4000000000000001E-5</v>
      </c>
      <c r="AU3">
        <v>0</v>
      </c>
      <c r="AV3">
        <v>0</v>
      </c>
      <c r="AW3">
        <v>0</v>
      </c>
      <c r="AX3">
        <v>0</v>
      </c>
      <c r="AY3">
        <v>0</v>
      </c>
      <c r="AZ3">
        <v>8.0000000000000007E-5</v>
      </c>
      <c r="BA3">
        <v>1.18E-4</v>
      </c>
      <c r="BB3">
        <v>7.1139999999999997E-3</v>
      </c>
      <c r="BC3">
        <v>5.9500000000000004E-4</v>
      </c>
    </row>
    <row r="4" spans="1:55">
      <c r="A4" t="s">
        <v>4</v>
      </c>
      <c r="B4">
        <v>0</v>
      </c>
      <c r="C4">
        <v>0</v>
      </c>
      <c r="D4">
        <v>8.9108999999999994E-2</v>
      </c>
      <c r="E4">
        <v>0</v>
      </c>
      <c r="F4">
        <v>0</v>
      </c>
      <c r="G4">
        <v>0</v>
      </c>
      <c r="H4">
        <v>0</v>
      </c>
      <c r="I4">
        <v>0</v>
      </c>
      <c r="J4">
        <v>0</v>
      </c>
      <c r="K4">
        <v>0</v>
      </c>
      <c r="L4">
        <v>0</v>
      </c>
      <c r="M4">
        <v>0</v>
      </c>
      <c r="N4">
        <v>0</v>
      </c>
      <c r="O4">
        <v>0</v>
      </c>
      <c r="P4">
        <v>0</v>
      </c>
      <c r="Q4">
        <v>0</v>
      </c>
      <c r="R4">
        <v>0</v>
      </c>
      <c r="S4">
        <v>0</v>
      </c>
      <c r="T4">
        <v>0</v>
      </c>
      <c r="U4">
        <v>0</v>
      </c>
      <c r="V4">
        <v>0</v>
      </c>
      <c r="W4">
        <v>0.25949699999999998</v>
      </c>
      <c r="X4">
        <v>0</v>
      </c>
      <c r="Y4">
        <v>0</v>
      </c>
      <c r="Z4">
        <v>0</v>
      </c>
      <c r="AA4">
        <v>0</v>
      </c>
      <c r="AB4">
        <v>0</v>
      </c>
      <c r="AC4">
        <v>0</v>
      </c>
      <c r="AD4">
        <v>0</v>
      </c>
      <c r="AE4">
        <v>0</v>
      </c>
      <c r="AF4">
        <v>0</v>
      </c>
      <c r="AG4">
        <v>0</v>
      </c>
      <c r="AH4">
        <v>0</v>
      </c>
      <c r="AI4">
        <v>0</v>
      </c>
      <c r="AJ4">
        <v>5.5999999999999999E-5</v>
      </c>
      <c r="AK4">
        <v>0</v>
      </c>
      <c r="AL4">
        <v>0</v>
      </c>
      <c r="AM4">
        <v>0</v>
      </c>
      <c r="AN4">
        <v>0</v>
      </c>
      <c r="AO4">
        <v>0</v>
      </c>
      <c r="AP4">
        <v>0</v>
      </c>
      <c r="AQ4">
        <v>0</v>
      </c>
      <c r="AR4">
        <v>0</v>
      </c>
      <c r="AS4">
        <v>0</v>
      </c>
      <c r="AT4">
        <v>0</v>
      </c>
      <c r="AU4">
        <v>0</v>
      </c>
      <c r="AV4">
        <v>0</v>
      </c>
      <c r="AW4">
        <v>0</v>
      </c>
      <c r="AX4">
        <v>0</v>
      </c>
      <c r="AY4">
        <v>0</v>
      </c>
      <c r="AZ4">
        <v>0</v>
      </c>
      <c r="BA4">
        <v>0</v>
      </c>
      <c r="BB4">
        <v>0</v>
      </c>
      <c r="BC4">
        <v>0</v>
      </c>
    </row>
    <row r="5" spans="1:55">
      <c r="A5" t="s">
        <v>5</v>
      </c>
      <c r="B5">
        <v>0</v>
      </c>
      <c r="C5">
        <v>0</v>
      </c>
      <c r="D5">
        <v>0</v>
      </c>
      <c r="E5">
        <v>8.7093000000000004E-2</v>
      </c>
      <c r="F5">
        <v>0</v>
      </c>
      <c r="G5">
        <v>0</v>
      </c>
      <c r="H5">
        <v>0</v>
      </c>
      <c r="I5">
        <v>0</v>
      </c>
      <c r="J5">
        <v>0</v>
      </c>
      <c r="K5">
        <v>0</v>
      </c>
      <c r="L5">
        <v>0</v>
      </c>
      <c r="M5">
        <v>0</v>
      </c>
      <c r="N5">
        <v>0</v>
      </c>
      <c r="O5">
        <v>0</v>
      </c>
      <c r="P5">
        <v>0.118286</v>
      </c>
      <c r="Q5">
        <v>0</v>
      </c>
      <c r="R5">
        <v>0</v>
      </c>
      <c r="S5">
        <v>0</v>
      </c>
      <c r="T5">
        <v>0</v>
      </c>
      <c r="U5">
        <v>0</v>
      </c>
      <c r="V5">
        <v>0</v>
      </c>
      <c r="W5">
        <v>0</v>
      </c>
      <c r="X5">
        <v>0</v>
      </c>
      <c r="Y5">
        <v>0</v>
      </c>
      <c r="Z5">
        <v>0</v>
      </c>
      <c r="AA5">
        <v>0</v>
      </c>
      <c r="AB5">
        <v>0</v>
      </c>
      <c r="AC5">
        <v>0</v>
      </c>
      <c r="AD5">
        <v>0</v>
      </c>
      <c r="AE5">
        <v>0</v>
      </c>
      <c r="AF5">
        <v>0</v>
      </c>
      <c r="AG5">
        <v>0</v>
      </c>
      <c r="AH5">
        <v>0</v>
      </c>
      <c r="AI5">
        <v>0</v>
      </c>
      <c r="AJ5">
        <v>1.22E-4</v>
      </c>
      <c r="AK5">
        <v>0</v>
      </c>
      <c r="AL5">
        <v>0</v>
      </c>
      <c r="AM5">
        <v>0</v>
      </c>
      <c r="AN5">
        <v>0</v>
      </c>
      <c r="AO5">
        <v>0</v>
      </c>
      <c r="AP5">
        <v>0</v>
      </c>
      <c r="AQ5">
        <v>0</v>
      </c>
      <c r="AR5">
        <v>0</v>
      </c>
      <c r="AS5">
        <v>0</v>
      </c>
      <c r="AT5">
        <v>0</v>
      </c>
      <c r="AU5">
        <v>0</v>
      </c>
      <c r="AV5">
        <v>0</v>
      </c>
      <c r="AW5">
        <v>0</v>
      </c>
      <c r="AX5">
        <v>0</v>
      </c>
      <c r="AY5">
        <v>0</v>
      </c>
      <c r="AZ5">
        <v>0</v>
      </c>
      <c r="BA5">
        <v>0</v>
      </c>
      <c r="BB5">
        <v>0</v>
      </c>
      <c r="BC5">
        <v>0</v>
      </c>
    </row>
    <row r="6" spans="1:55">
      <c r="A6" t="s">
        <v>6</v>
      </c>
      <c r="B6">
        <v>0</v>
      </c>
      <c r="C6">
        <v>0</v>
      </c>
      <c r="D6">
        <v>0</v>
      </c>
      <c r="E6">
        <v>0</v>
      </c>
      <c r="F6">
        <v>6.4655000000000004E-2</v>
      </c>
      <c r="G6">
        <v>0</v>
      </c>
      <c r="H6">
        <v>0</v>
      </c>
      <c r="I6">
        <v>0</v>
      </c>
      <c r="J6">
        <v>0</v>
      </c>
      <c r="K6">
        <v>0</v>
      </c>
      <c r="L6">
        <v>0</v>
      </c>
      <c r="M6">
        <v>0</v>
      </c>
      <c r="N6">
        <v>0</v>
      </c>
      <c r="O6">
        <v>0</v>
      </c>
      <c r="P6">
        <v>1.4159999999999999E-3</v>
      </c>
      <c r="Q6">
        <v>0</v>
      </c>
      <c r="R6">
        <v>0</v>
      </c>
      <c r="S6">
        <v>7.0150000000000004E-3</v>
      </c>
      <c r="T6">
        <v>1.5E-5</v>
      </c>
      <c r="U6">
        <v>0</v>
      </c>
      <c r="V6">
        <v>3.3286000000000003E-2</v>
      </c>
      <c r="W6">
        <v>7.4999999999999993E-5</v>
      </c>
      <c r="X6">
        <v>3.9999999999999998E-6</v>
      </c>
      <c r="Y6">
        <v>0</v>
      </c>
      <c r="Z6">
        <v>0</v>
      </c>
      <c r="AA6">
        <v>6.9999999999999994E-5</v>
      </c>
      <c r="AB6">
        <v>0</v>
      </c>
      <c r="AC6">
        <v>4.718E-3</v>
      </c>
      <c r="AD6">
        <v>2.777E-3</v>
      </c>
      <c r="AE6">
        <v>0</v>
      </c>
      <c r="AF6">
        <v>0</v>
      </c>
      <c r="AG6">
        <v>0</v>
      </c>
      <c r="AH6">
        <v>1.9999999999999999E-6</v>
      </c>
      <c r="AI6">
        <v>0</v>
      </c>
      <c r="AJ6">
        <v>0</v>
      </c>
      <c r="AK6">
        <v>0</v>
      </c>
      <c r="AL6">
        <v>0</v>
      </c>
      <c r="AM6">
        <v>0</v>
      </c>
      <c r="AN6">
        <v>0</v>
      </c>
      <c r="AO6">
        <v>0</v>
      </c>
      <c r="AP6">
        <v>0</v>
      </c>
      <c r="AQ6">
        <v>3.4E-5</v>
      </c>
      <c r="AR6">
        <v>5.4409999999999997E-3</v>
      </c>
      <c r="AS6">
        <v>0</v>
      </c>
      <c r="AT6">
        <v>0</v>
      </c>
      <c r="AU6">
        <v>0</v>
      </c>
      <c r="AV6">
        <v>0</v>
      </c>
      <c r="AW6">
        <v>0</v>
      </c>
      <c r="AX6">
        <v>0</v>
      </c>
      <c r="AY6">
        <v>0</v>
      </c>
      <c r="AZ6">
        <v>9.9999999999999995E-7</v>
      </c>
      <c r="BA6">
        <v>6.0000000000000002E-6</v>
      </c>
      <c r="BB6">
        <v>9.6599999999999995E-4</v>
      </c>
      <c r="BC6">
        <v>1.4200000000000001E-4</v>
      </c>
    </row>
    <row r="7" spans="1:55">
      <c r="A7" t="s">
        <v>7</v>
      </c>
      <c r="B7">
        <v>1.537E-3</v>
      </c>
      <c r="C7">
        <v>8.8400000000000006E-3</v>
      </c>
      <c r="D7">
        <v>0</v>
      </c>
      <c r="E7">
        <v>4.6E-5</v>
      </c>
      <c r="F7">
        <v>6.7999999999999999E-5</v>
      </c>
      <c r="G7">
        <v>1.0274E-2</v>
      </c>
      <c r="H7">
        <v>3.326E-3</v>
      </c>
      <c r="I7">
        <v>8.6000000000000003E-5</v>
      </c>
      <c r="J7">
        <v>9.0000000000000002E-6</v>
      </c>
      <c r="K7">
        <v>0</v>
      </c>
      <c r="L7">
        <v>0</v>
      </c>
      <c r="M7">
        <v>0</v>
      </c>
      <c r="N7">
        <v>0</v>
      </c>
      <c r="O7">
        <v>0</v>
      </c>
      <c r="P7">
        <v>2.9971999999999999E-2</v>
      </c>
      <c r="Q7">
        <v>0</v>
      </c>
      <c r="R7">
        <v>6.3709999999999999E-3</v>
      </c>
      <c r="S7">
        <v>7.2389999999999998E-3</v>
      </c>
      <c r="T7">
        <v>0</v>
      </c>
      <c r="U7">
        <v>0</v>
      </c>
      <c r="V7">
        <v>1.9000000000000001E-5</v>
      </c>
      <c r="W7">
        <v>0</v>
      </c>
      <c r="X7">
        <v>0</v>
      </c>
      <c r="Y7">
        <v>0</v>
      </c>
      <c r="Z7">
        <v>0</v>
      </c>
      <c r="AA7">
        <v>0</v>
      </c>
      <c r="AB7">
        <v>0</v>
      </c>
      <c r="AC7">
        <v>0</v>
      </c>
      <c r="AD7">
        <v>0</v>
      </c>
      <c r="AE7">
        <v>0</v>
      </c>
      <c r="AF7">
        <v>0</v>
      </c>
      <c r="AG7">
        <v>0</v>
      </c>
      <c r="AH7">
        <v>0</v>
      </c>
      <c r="AI7">
        <v>0</v>
      </c>
      <c r="AJ7">
        <v>0</v>
      </c>
      <c r="AK7">
        <v>0</v>
      </c>
      <c r="AL7">
        <v>0</v>
      </c>
      <c r="AM7">
        <v>0</v>
      </c>
      <c r="AN7">
        <v>0</v>
      </c>
      <c r="AO7">
        <v>0</v>
      </c>
      <c r="AP7">
        <v>0</v>
      </c>
      <c r="AQ7">
        <v>1.5113E-2</v>
      </c>
      <c r="AR7">
        <v>2.2537000000000001E-2</v>
      </c>
      <c r="AS7">
        <v>0</v>
      </c>
      <c r="AT7">
        <v>0</v>
      </c>
      <c r="AU7">
        <v>0</v>
      </c>
      <c r="AV7">
        <v>0</v>
      </c>
      <c r="AW7">
        <v>0</v>
      </c>
      <c r="AX7">
        <v>0</v>
      </c>
      <c r="AY7">
        <v>0</v>
      </c>
      <c r="AZ7">
        <v>1.7669999999999999E-3</v>
      </c>
      <c r="BA7">
        <v>6.7199999999999996E-4</v>
      </c>
      <c r="BB7">
        <v>5.1019999999999998E-3</v>
      </c>
      <c r="BC7">
        <v>4.7910000000000001E-3</v>
      </c>
    </row>
    <row r="8" spans="1:55">
      <c r="A8" t="s">
        <v>8</v>
      </c>
      <c r="B8">
        <v>1.0611000000000001E-2</v>
      </c>
      <c r="C8">
        <v>7.3689999999999997E-3</v>
      </c>
      <c r="D8">
        <v>0</v>
      </c>
      <c r="E8">
        <v>4.3980999999999999E-2</v>
      </c>
      <c r="F8">
        <v>0.16068299999999999</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2.6699999999999998E-4</v>
      </c>
      <c r="BA8">
        <v>0</v>
      </c>
      <c r="BB8">
        <v>0</v>
      </c>
      <c r="BC8">
        <v>0</v>
      </c>
    </row>
    <row r="9" spans="1:55">
      <c r="A9" t="s">
        <v>9</v>
      </c>
      <c r="B9">
        <v>0</v>
      </c>
      <c r="C9">
        <v>8.8999999999999995E-5</v>
      </c>
      <c r="D9">
        <v>0</v>
      </c>
      <c r="E9">
        <v>8.0699999999999999E-4</v>
      </c>
      <c r="F9">
        <v>3.2200000000000002E-4</v>
      </c>
      <c r="G9">
        <v>4.9399999999999997E-4</v>
      </c>
      <c r="H9">
        <v>9.9999999999999995E-7</v>
      </c>
      <c r="I9">
        <v>1.2548999999999999E-2</v>
      </c>
      <c r="J9">
        <v>3.8000000000000002E-5</v>
      </c>
      <c r="K9">
        <v>0</v>
      </c>
      <c r="L9">
        <v>3.1399999999999999E-4</v>
      </c>
      <c r="M9">
        <v>0</v>
      </c>
      <c r="N9">
        <v>1.2400000000000001E-4</v>
      </c>
      <c r="O9">
        <v>4.5000000000000003E-5</v>
      </c>
      <c r="P9">
        <v>4.5899999999999999E-4</v>
      </c>
      <c r="Q9">
        <v>0</v>
      </c>
      <c r="R9">
        <v>4.1050000000000001E-3</v>
      </c>
      <c r="S9">
        <v>9.3999999999999997E-4</v>
      </c>
      <c r="T9">
        <v>0.22320200000000001</v>
      </c>
      <c r="U9">
        <v>2.8951999999999999E-2</v>
      </c>
      <c r="V9">
        <v>1.5579999999999999E-3</v>
      </c>
      <c r="W9">
        <v>2.8699999999999998E-4</v>
      </c>
      <c r="X9">
        <v>3.6000000000000001E-5</v>
      </c>
      <c r="Y9">
        <v>1.9999999999999999E-6</v>
      </c>
      <c r="Z9">
        <v>3.8999999999999999E-5</v>
      </c>
      <c r="AA9">
        <v>0</v>
      </c>
      <c r="AB9">
        <v>2.12E-4</v>
      </c>
      <c r="AC9">
        <v>8.1469999999999997E-3</v>
      </c>
      <c r="AD9">
        <v>4.0119999999999999E-3</v>
      </c>
      <c r="AE9">
        <v>0</v>
      </c>
      <c r="AF9">
        <v>0</v>
      </c>
      <c r="AG9">
        <v>0</v>
      </c>
      <c r="AH9">
        <v>1.8634000000000001E-2</v>
      </c>
      <c r="AI9">
        <v>2.12E-4</v>
      </c>
      <c r="AJ9">
        <v>1.2E-5</v>
      </c>
      <c r="AK9">
        <v>0</v>
      </c>
      <c r="AL9">
        <v>0</v>
      </c>
      <c r="AM9">
        <v>0</v>
      </c>
      <c r="AN9">
        <v>0</v>
      </c>
      <c r="AO9">
        <v>0</v>
      </c>
      <c r="AP9">
        <v>0</v>
      </c>
      <c r="AQ9">
        <v>2.0000000000000001E-4</v>
      </c>
      <c r="AR9">
        <v>1.74E-4</v>
      </c>
      <c r="AS9">
        <v>0</v>
      </c>
      <c r="AT9">
        <v>0</v>
      </c>
      <c r="AU9">
        <v>0</v>
      </c>
      <c r="AV9">
        <v>0</v>
      </c>
      <c r="AW9">
        <v>0</v>
      </c>
      <c r="AX9">
        <v>0</v>
      </c>
      <c r="AY9">
        <v>0</v>
      </c>
      <c r="AZ9">
        <v>3.0000000000000001E-6</v>
      </c>
      <c r="BA9">
        <v>0</v>
      </c>
      <c r="BB9">
        <v>0</v>
      </c>
      <c r="BC9">
        <v>1.15E-4</v>
      </c>
    </row>
    <row r="10" spans="1:55">
      <c r="A10" t="s">
        <v>10</v>
      </c>
      <c r="B10">
        <v>0</v>
      </c>
      <c r="C10">
        <v>0</v>
      </c>
      <c r="D10">
        <v>0</v>
      </c>
      <c r="E10">
        <v>0</v>
      </c>
      <c r="F10">
        <v>0</v>
      </c>
      <c r="G10">
        <v>0</v>
      </c>
      <c r="H10">
        <v>0</v>
      </c>
      <c r="I10">
        <v>0</v>
      </c>
      <c r="J10">
        <v>1.5254E-2</v>
      </c>
      <c r="K10">
        <v>0</v>
      </c>
      <c r="L10">
        <v>0</v>
      </c>
      <c r="M10">
        <v>0</v>
      </c>
      <c r="N10">
        <v>0</v>
      </c>
      <c r="O10">
        <v>0</v>
      </c>
      <c r="P10">
        <v>3.2868000000000001E-2</v>
      </c>
      <c r="Q10">
        <v>0</v>
      </c>
      <c r="R10">
        <v>0</v>
      </c>
      <c r="S10">
        <v>0</v>
      </c>
      <c r="T10">
        <v>0</v>
      </c>
      <c r="U10">
        <v>0</v>
      </c>
      <c r="V10">
        <v>1.07E-4</v>
      </c>
      <c r="W10">
        <v>0</v>
      </c>
      <c r="X10">
        <v>0</v>
      </c>
      <c r="Y10">
        <v>0</v>
      </c>
      <c r="Z10">
        <v>0</v>
      </c>
      <c r="AA10">
        <v>0</v>
      </c>
      <c r="AB10">
        <v>0</v>
      </c>
      <c r="AC10">
        <v>2.8E-5</v>
      </c>
      <c r="AD10">
        <v>2.8730000000000001E-3</v>
      </c>
      <c r="AE10">
        <v>0</v>
      </c>
      <c r="AF10">
        <v>0</v>
      </c>
      <c r="AG10">
        <v>0</v>
      </c>
      <c r="AH10">
        <v>0</v>
      </c>
      <c r="AI10">
        <v>0</v>
      </c>
      <c r="AJ10">
        <v>0</v>
      </c>
      <c r="AK10">
        <v>0</v>
      </c>
      <c r="AL10">
        <v>0</v>
      </c>
      <c r="AM10">
        <v>0</v>
      </c>
      <c r="AN10">
        <v>0</v>
      </c>
      <c r="AO10">
        <v>0</v>
      </c>
      <c r="AP10">
        <v>0</v>
      </c>
      <c r="AQ10">
        <v>1.5519E-2</v>
      </c>
      <c r="AR10">
        <v>5.1955000000000001E-2</v>
      </c>
      <c r="AS10">
        <v>0</v>
      </c>
      <c r="AT10">
        <v>0</v>
      </c>
      <c r="AU10">
        <v>0</v>
      </c>
      <c r="AV10">
        <v>0</v>
      </c>
      <c r="AW10">
        <v>0</v>
      </c>
      <c r="AX10">
        <v>0</v>
      </c>
      <c r="AY10">
        <v>0</v>
      </c>
      <c r="AZ10">
        <v>2.7999999999999998E-4</v>
      </c>
      <c r="BA10">
        <v>1.7570000000000001E-3</v>
      </c>
      <c r="BB10">
        <v>3.4810000000000002E-3</v>
      </c>
      <c r="BC10">
        <v>1.2670000000000001E-2</v>
      </c>
    </row>
    <row r="11" spans="1:55">
      <c r="A11" t="s">
        <v>11</v>
      </c>
      <c r="B11">
        <v>6.6000000000000005E-5</v>
      </c>
      <c r="C11">
        <v>9.6000000000000002E-5</v>
      </c>
      <c r="D11">
        <v>0</v>
      </c>
      <c r="E11">
        <v>0</v>
      </c>
      <c r="F11">
        <v>1.5E-5</v>
      </c>
      <c r="G11">
        <v>5.6899999999999995E-4</v>
      </c>
      <c r="H11">
        <v>1.2999999999999999E-5</v>
      </c>
      <c r="I11">
        <v>1.6200000000000001E-4</v>
      </c>
      <c r="J11">
        <v>5.1E-5</v>
      </c>
      <c r="K11">
        <v>0.105033</v>
      </c>
      <c r="L11">
        <v>2.0149999999999999E-3</v>
      </c>
      <c r="M11">
        <v>0</v>
      </c>
      <c r="N11">
        <v>1.93E-4</v>
      </c>
      <c r="O11">
        <v>0.208312</v>
      </c>
      <c r="P11">
        <v>2.6999999999999999E-5</v>
      </c>
      <c r="Q11">
        <v>0</v>
      </c>
      <c r="R11">
        <v>1.34E-4</v>
      </c>
      <c r="S11">
        <v>1.85E-4</v>
      </c>
      <c r="T11">
        <v>9.2999999999999997E-5</v>
      </c>
      <c r="U11">
        <v>1.5300000000000001E-4</v>
      </c>
      <c r="V11">
        <v>0.158773</v>
      </c>
      <c r="W11">
        <v>3.039E-2</v>
      </c>
      <c r="X11">
        <v>1.7288999999999999E-2</v>
      </c>
      <c r="Y11">
        <v>7.7461000000000002E-2</v>
      </c>
      <c r="Z11">
        <v>1.0253999999999999E-2</v>
      </c>
      <c r="AA11">
        <v>3.6000000000000001E-5</v>
      </c>
      <c r="AB11">
        <v>2.63E-4</v>
      </c>
      <c r="AC11">
        <v>2.0900000000000001E-4</v>
      </c>
      <c r="AD11">
        <v>1.45E-4</v>
      </c>
      <c r="AE11">
        <v>0.43748999999999999</v>
      </c>
      <c r="AF11">
        <v>0.185386</v>
      </c>
      <c r="AG11">
        <v>1.4799999999999999E-4</v>
      </c>
      <c r="AH11">
        <v>5.1500000000000005E-4</v>
      </c>
      <c r="AI11">
        <v>3.6299999999999999E-4</v>
      </c>
      <c r="AJ11">
        <v>4.1599999999999997E-4</v>
      </c>
      <c r="AK11">
        <v>2.8899999999999998E-4</v>
      </c>
      <c r="AL11">
        <v>4.1599999999999997E-4</v>
      </c>
      <c r="AM11">
        <v>7.5900000000000002E-4</v>
      </c>
      <c r="AN11">
        <v>4.6900000000000002E-4</v>
      </c>
      <c r="AO11">
        <v>8.61E-4</v>
      </c>
      <c r="AP11">
        <v>4.7800000000000002E-4</v>
      </c>
      <c r="AQ11">
        <v>1.22E-4</v>
      </c>
      <c r="AR11">
        <v>3.4999999999999997E-5</v>
      </c>
      <c r="AS11">
        <v>5.44E-4</v>
      </c>
      <c r="AT11">
        <v>7.9699999999999997E-4</v>
      </c>
      <c r="AU11">
        <v>6.7500000000000004E-4</v>
      </c>
      <c r="AV11">
        <v>4.46E-4</v>
      </c>
      <c r="AW11">
        <v>3.6999999999999999E-4</v>
      </c>
      <c r="AX11">
        <v>2.0799999999999999E-4</v>
      </c>
      <c r="AY11">
        <v>5.7899999999999998E-4</v>
      </c>
      <c r="AZ11">
        <v>6.2399999999999999E-4</v>
      </c>
      <c r="BA11">
        <v>3.7599999999999998E-4</v>
      </c>
      <c r="BB11">
        <v>6.9999999999999994E-5</v>
      </c>
      <c r="BC11">
        <v>1.2E-4</v>
      </c>
    </row>
    <row r="12" spans="1:55">
      <c r="A12" t="s">
        <v>12</v>
      </c>
      <c r="B12">
        <v>8.6000000000000003E-5</v>
      </c>
      <c r="C12">
        <v>1.27E-4</v>
      </c>
      <c r="D12">
        <v>0</v>
      </c>
      <c r="E12">
        <v>0</v>
      </c>
      <c r="F12">
        <v>1.7E-5</v>
      </c>
      <c r="G12">
        <v>7.3800000000000005E-4</v>
      </c>
      <c r="H12">
        <v>1.9000000000000001E-5</v>
      </c>
      <c r="I12">
        <v>2.14E-4</v>
      </c>
      <c r="J12">
        <v>6.9999999999999994E-5</v>
      </c>
      <c r="K12">
        <v>3.6400000000000001E-4</v>
      </c>
      <c r="L12">
        <v>0.13556199999999999</v>
      </c>
      <c r="M12">
        <v>0</v>
      </c>
      <c r="N12">
        <v>1.47E-4</v>
      </c>
      <c r="O12">
        <v>8.0520000000000001E-3</v>
      </c>
      <c r="P12">
        <v>3.6000000000000001E-5</v>
      </c>
      <c r="Q12">
        <v>0</v>
      </c>
      <c r="R12">
        <v>2.9799999999999998E-4</v>
      </c>
      <c r="S12">
        <v>2.9700000000000001E-4</v>
      </c>
      <c r="T12">
        <v>1.4999999999999999E-4</v>
      </c>
      <c r="U12">
        <v>3.0699999999999998E-4</v>
      </c>
      <c r="V12">
        <v>1.1999999999999999E-3</v>
      </c>
      <c r="W12">
        <v>9.7999999999999997E-5</v>
      </c>
      <c r="X12">
        <v>0.249999</v>
      </c>
      <c r="Y12">
        <v>2.6030000000000001E-2</v>
      </c>
      <c r="Z12">
        <v>2.5297E-2</v>
      </c>
      <c r="AA12">
        <v>6.6000000000000005E-5</v>
      </c>
      <c r="AB12">
        <v>3.57E-4</v>
      </c>
      <c r="AC12">
        <v>2.7999999999999998E-4</v>
      </c>
      <c r="AD12">
        <v>1.93E-4</v>
      </c>
      <c r="AE12">
        <v>0.18876499999999999</v>
      </c>
      <c r="AF12">
        <v>5.0680999999999997E-2</v>
      </c>
      <c r="AG12">
        <v>3.8200000000000002E-4</v>
      </c>
      <c r="AH12">
        <v>3.4499999999999998E-4</v>
      </c>
      <c r="AI12">
        <v>5.0600000000000005E-4</v>
      </c>
      <c r="AJ12">
        <v>5.6999999999999998E-4</v>
      </c>
      <c r="AK12">
        <v>6.6299999999999996E-4</v>
      </c>
      <c r="AL12">
        <v>5.3899999999999998E-4</v>
      </c>
      <c r="AM12">
        <v>9.8499999999999998E-4</v>
      </c>
      <c r="AN12">
        <v>6.4700000000000001E-4</v>
      </c>
      <c r="AO12">
        <v>1.1119999999999999E-3</v>
      </c>
      <c r="AP12">
        <v>6.6100000000000002E-4</v>
      </c>
      <c r="AQ12">
        <v>1.84E-4</v>
      </c>
      <c r="AR12">
        <v>5.3000000000000001E-5</v>
      </c>
      <c r="AS12">
        <v>7.2800000000000002E-4</v>
      </c>
      <c r="AT12">
        <v>1.036E-3</v>
      </c>
      <c r="AU12">
        <v>8.8500000000000004E-4</v>
      </c>
      <c r="AV12">
        <v>5.9100000000000005E-4</v>
      </c>
      <c r="AW12">
        <v>4.9100000000000001E-4</v>
      </c>
      <c r="AX12">
        <v>2.7399999999999999E-4</v>
      </c>
      <c r="AY12">
        <v>7.6999999999999996E-4</v>
      </c>
      <c r="AZ12">
        <v>8.6499999999999999E-4</v>
      </c>
      <c r="BA12">
        <v>5.1599999999999997E-4</v>
      </c>
      <c r="BB12">
        <v>1.3300000000000001E-4</v>
      </c>
      <c r="BC12">
        <v>2.1100000000000001E-4</v>
      </c>
    </row>
    <row r="13" spans="1:55">
      <c r="A13" t="s">
        <v>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row>
    <row r="14" spans="1:55">
      <c r="A14" t="s">
        <v>14</v>
      </c>
      <c r="B14">
        <v>1.9000000000000001E-5</v>
      </c>
      <c r="C14">
        <v>2.3E-5</v>
      </c>
      <c r="D14">
        <v>0</v>
      </c>
      <c r="E14">
        <v>0</v>
      </c>
      <c r="F14">
        <v>1.5E-5</v>
      </c>
      <c r="G14">
        <v>1.11E-4</v>
      </c>
      <c r="H14">
        <v>3.0000000000000001E-6</v>
      </c>
      <c r="I14">
        <v>4.0000000000000003E-5</v>
      </c>
      <c r="J14">
        <v>1.1E-5</v>
      </c>
      <c r="K14">
        <v>9.1680000000000008E-3</v>
      </c>
      <c r="L14">
        <v>9.6855999999999998E-2</v>
      </c>
      <c r="M14">
        <v>0</v>
      </c>
      <c r="N14">
        <v>1.5262E-2</v>
      </c>
      <c r="O14">
        <v>3.3000000000000003E-5</v>
      </c>
      <c r="P14">
        <v>1.0120000000000001E-3</v>
      </c>
      <c r="Q14">
        <v>0</v>
      </c>
      <c r="R14">
        <v>2.5999999999999998E-5</v>
      </c>
      <c r="S14">
        <v>4.15E-4</v>
      </c>
      <c r="T14">
        <v>4.8000000000000001E-5</v>
      </c>
      <c r="U14">
        <v>2.9E-5</v>
      </c>
      <c r="V14">
        <v>2.6759999999999999E-2</v>
      </c>
      <c r="W14">
        <v>4.37E-4</v>
      </c>
      <c r="X14">
        <v>6.5937999999999997E-2</v>
      </c>
      <c r="Y14">
        <v>6.7100000000000005E-4</v>
      </c>
      <c r="Z14">
        <v>1.0690000000000001E-3</v>
      </c>
      <c r="AA14">
        <v>3.8000000000000002E-5</v>
      </c>
      <c r="AB14">
        <v>1.6200000000000001E-4</v>
      </c>
      <c r="AC14">
        <v>2.8089999999999999E-3</v>
      </c>
      <c r="AD14">
        <v>8.3309999999999999E-3</v>
      </c>
      <c r="AE14">
        <v>1.4E-3</v>
      </c>
      <c r="AF14">
        <v>1.5999999999999999E-5</v>
      </c>
      <c r="AG14">
        <v>3.4E-5</v>
      </c>
      <c r="AH14">
        <v>4.9562000000000002E-2</v>
      </c>
      <c r="AI14">
        <v>7.2000000000000002E-5</v>
      </c>
      <c r="AJ14">
        <v>8.5000000000000006E-5</v>
      </c>
      <c r="AK14">
        <v>6.9999999999999994E-5</v>
      </c>
      <c r="AL14">
        <v>7.8999999999999996E-5</v>
      </c>
      <c r="AM14">
        <v>1.4999999999999999E-4</v>
      </c>
      <c r="AN14">
        <v>9.2999999999999997E-5</v>
      </c>
      <c r="AO14">
        <v>1.63E-4</v>
      </c>
      <c r="AP14">
        <v>1.1E-4</v>
      </c>
      <c r="AQ14">
        <v>2.5000000000000001E-5</v>
      </c>
      <c r="AR14">
        <v>6.9999999999999999E-6</v>
      </c>
      <c r="AS14">
        <v>1.07E-4</v>
      </c>
      <c r="AT14">
        <v>1.5300000000000001E-4</v>
      </c>
      <c r="AU14">
        <v>1.2899999999999999E-4</v>
      </c>
      <c r="AV14">
        <v>8.5000000000000006E-5</v>
      </c>
      <c r="AW14">
        <v>7.1000000000000005E-5</v>
      </c>
      <c r="AX14">
        <v>5.5999999999999999E-5</v>
      </c>
      <c r="AY14">
        <v>1.11E-4</v>
      </c>
      <c r="AZ14">
        <v>1.3300000000000001E-4</v>
      </c>
      <c r="BA14">
        <v>7.2999999999999999E-5</v>
      </c>
      <c r="BB14">
        <v>1.4E-5</v>
      </c>
      <c r="BC14">
        <v>2.4000000000000001E-5</v>
      </c>
    </row>
    <row r="15" spans="1:55">
      <c r="A15" t="s">
        <v>15</v>
      </c>
      <c r="B15">
        <v>6.9800000000000005E-4</v>
      </c>
      <c r="C15">
        <v>2.0939999999999999E-3</v>
      </c>
      <c r="D15">
        <v>0</v>
      </c>
      <c r="E15">
        <v>0</v>
      </c>
      <c r="F15">
        <v>2.92E-4</v>
      </c>
      <c r="G15">
        <v>7.1497000000000005E-2</v>
      </c>
      <c r="H15">
        <v>4.7800000000000002E-4</v>
      </c>
      <c r="I15">
        <v>1.3623E-2</v>
      </c>
      <c r="J15">
        <v>1.5372E-2</v>
      </c>
      <c r="K15">
        <v>2.0899999999999998E-3</v>
      </c>
      <c r="L15">
        <v>2.7659E-2</v>
      </c>
      <c r="M15">
        <v>0</v>
      </c>
      <c r="N15">
        <v>3.3197999999999998E-2</v>
      </c>
      <c r="O15">
        <v>3.7069999999999998E-3</v>
      </c>
      <c r="P15">
        <v>1.4710000000000001E-3</v>
      </c>
      <c r="Q15">
        <v>0</v>
      </c>
      <c r="R15">
        <v>1.9657999999999998E-2</v>
      </c>
      <c r="S15">
        <v>1.6195000000000001E-2</v>
      </c>
      <c r="T15">
        <v>1.0578000000000001E-2</v>
      </c>
      <c r="U15">
        <v>2.1578E-2</v>
      </c>
      <c r="V15">
        <v>1.2094000000000001E-2</v>
      </c>
      <c r="W15">
        <v>4.5269999999999998E-3</v>
      </c>
      <c r="X15">
        <v>1.3167999999999999E-2</v>
      </c>
      <c r="Y15">
        <v>1.2282E-2</v>
      </c>
      <c r="Z15">
        <v>4.4929999999999996E-3</v>
      </c>
      <c r="AA15">
        <v>7.6800000000000002E-4</v>
      </c>
      <c r="AB15">
        <v>9.3089999999999996E-3</v>
      </c>
      <c r="AC15">
        <v>7.2760000000000003E-3</v>
      </c>
      <c r="AD15">
        <v>1.1168000000000001E-2</v>
      </c>
      <c r="AE15">
        <v>3.388E-3</v>
      </c>
      <c r="AF15">
        <v>2.4514000000000001E-2</v>
      </c>
      <c r="AG15">
        <v>3.9839999999999997E-3</v>
      </c>
      <c r="AH15">
        <v>4.0128999999999998E-2</v>
      </c>
      <c r="AI15">
        <v>2.5166000000000001E-2</v>
      </c>
      <c r="AJ15">
        <v>5.2066000000000001E-2</v>
      </c>
      <c r="AK15">
        <v>8.8674000000000003E-2</v>
      </c>
      <c r="AL15">
        <v>0.23827699999999999</v>
      </c>
      <c r="AM15">
        <v>0.24288699999999999</v>
      </c>
      <c r="AN15">
        <v>0.180037</v>
      </c>
      <c r="AO15">
        <v>0.211756</v>
      </c>
      <c r="AP15">
        <v>1.2357999999999999E-2</v>
      </c>
      <c r="AQ15">
        <v>2.1909999999999998E-3</v>
      </c>
      <c r="AR15">
        <v>2.0609999999999999E-3</v>
      </c>
      <c r="AS15">
        <v>1.9059999999999999E-3</v>
      </c>
      <c r="AT15">
        <v>4.44E-4</v>
      </c>
      <c r="AU15">
        <v>5.9400000000000002E-4</v>
      </c>
      <c r="AV15">
        <v>1.5999999999999999E-5</v>
      </c>
      <c r="AW15">
        <v>1.3910000000000001E-3</v>
      </c>
      <c r="AX15">
        <v>3.0720000000000001E-3</v>
      </c>
      <c r="AY15">
        <v>2.7917000000000001E-2</v>
      </c>
      <c r="AZ15">
        <v>1.1540000000000001E-3</v>
      </c>
      <c r="BA15">
        <v>2.7030000000000001E-3</v>
      </c>
      <c r="BB15">
        <v>6.0699999999999999E-3</v>
      </c>
      <c r="BC15">
        <v>1.7824E-2</v>
      </c>
    </row>
    <row r="16" spans="1:55">
      <c r="A16" t="s">
        <v>16</v>
      </c>
      <c r="B16">
        <v>2.0000000000000002E-5</v>
      </c>
      <c r="C16">
        <v>4.3999999999999999E-5</v>
      </c>
      <c r="D16">
        <v>1.9650999999999998E-2</v>
      </c>
      <c r="E16">
        <v>2.7973999999999999E-2</v>
      </c>
      <c r="F16">
        <v>6.4219999999999998E-3</v>
      </c>
      <c r="G16">
        <v>3.4547000000000001E-2</v>
      </c>
      <c r="H16">
        <v>0.22348100000000001</v>
      </c>
      <c r="I16">
        <v>1.37E-4</v>
      </c>
      <c r="J16">
        <v>3.1420999999999998E-2</v>
      </c>
      <c r="K16">
        <v>8.5499999999999997E-4</v>
      </c>
      <c r="L16">
        <v>1.9740000000000001E-3</v>
      </c>
      <c r="M16">
        <v>0</v>
      </c>
      <c r="N16">
        <v>3.1000000000000001E-5</v>
      </c>
      <c r="O16">
        <v>3.4499999999999998E-4</v>
      </c>
      <c r="P16">
        <v>0.18316099999999999</v>
      </c>
      <c r="Q16">
        <v>3.1999999999999999E-5</v>
      </c>
      <c r="R16">
        <v>1.3179E-2</v>
      </c>
      <c r="S16">
        <v>0.101216</v>
      </c>
      <c r="T16">
        <v>4.7369999999999999E-3</v>
      </c>
      <c r="U16">
        <v>2.3379999999999998E-3</v>
      </c>
      <c r="V16">
        <v>2.0938999999999999E-2</v>
      </c>
      <c r="W16">
        <v>4.1100000000000002E-4</v>
      </c>
      <c r="X16">
        <v>9.0799999999999995E-4</v>
      </c>
      <c r="Y16">
        <v>1.498E-3</v>
      </c>
      <c r="Z16">
        <v>1.222E-3</v>
      </c>
      <c r="AA16">
        <v>7.1400000000000001E-4</v>
      </c>
      <c r="AB16">
        <v>2.2959999999999999E-3</v>
      </c>
      <c r="AC16">
        <v>3.5969999999999999E-3</v>
      </c>
      <c r="AD16">
        <v>2.6480000000000002E-3</v>
      </c>
      <c r="AE16">
        <v>3.9599999999999998E-4</v>
      </c>
      <c r="AF16">
        <v>1.593E-3</v>
      </c>
      <c r="AG16">
        <v>6.0029999999999997E-3</v>
      </c>
      <c r="AH16">
        <v>6.8800000000000003E-4</v>
      </c>
      <c r="AI16">
        <v>1.1410000000000001E-3</v>
      </c>
      <c r="AJ16">
        <v>1.5410000000000001E-3</v>
      </c>
      <c r="AK16">
        <v>2.9269999999999999E-3</v>
      </c>
      <c r="AL16">
        <v>8.6000000000000003E-5</v>
      </c>
      <c r="AM16">
        <v>7.1173E-2</v>
      </c>
      <c r="AN16">
        <v>1.8556E-2</v>
      </c>
      <c r="AO16">
        <v>2.1451999999999999E-2</v>
      </c>
      <c r="AP16">
        <v>4.1650000000000003E-3</v>
      </c>
      <c r="AQ16">
        <v>0.178981</v>
      </c>
      <c r="AR16">
        <v>0.295298</v>
      </c>
      <c r="AS16">
        <v>7.94E-4</v>
      </c>
      <c r="AT16">
        <v>3.4060000000000002E-3</v>
      </c>
      <c r="AU16">
        <v>7.7910000000000002E-3</v>
      </c>
      <c r="AV16">
        <v>8.83E-4</v>
      </c>
      <c r="AW16">
        <v>2.7179999999999999E-3</v>
      </c>
      <c r="AX16">
        <v>7.3499999999999998E-4</v>
      </c>
      <c r="AY16">
        <v>3.1319999999999998E-3</v>
      </c>
      <c r="AZ16">
        <v>2.7172000000000002E-2</v>
      </c>
      <c r="BA16">
        <v>3.7357000000000001E-2</v>
      </c>
      <c r="BB16">
        <v>0.10170899999999999</v>
      </c>
      <c r="BC16">
        <v>3.0707000000000002E-2</v>
      </c>
    </row>
    <row r="17" spans="1:55">
      <c r="A17" t="s">
        <v>17</v>
      </c>
      <c r="B17">
        <v>0</v>
      </c>
      <c r="C17">
        <v>0</v>
      </c>
      <c r="D17">
        <v>0</v>
      </c>
      <c r="E17">
        <v>0</v>
      </c>
      <c r="F17">
        <v>9.9999999999999995E-7</v>
      </c>
      <c r="G17">
        <v>9.9999999999999995E-7</v>
      </c>
      <c r="H17">
        <v>0</v>
      </c>
      <c r="I17">
        <v>0</v>
      </c>
      <c r="J17">
        <v>7.9999999999999996E-6</v>
      </c>
      <c r="K17">
        <v>0</v>
      </c>
      <c r="L17">
        <v>1.9999999999999999E-6</v>
      </c>
      <c r="M17">
        <v>0</v>
      </c>
      <c r="N17">
        <v>0</v>
      </c>
      <c r="O17">
        <v>0</v>
      </c>
      <c r="P17">
        <v>0</v>
      </c>
      <c r="Q17">
        <v>9.0200000000000002E-4</v>
      </c>
      <c r="R17">
        <v>0</v>
      </c>
      <c r="S17">
        <v>0</v>
      </c>
      <c r="T17">
        <v>0</v>
      </c>
      <c r="U17">
        <v>0</v>
      </c>
      <c r="V17">
        <v>0</v>
      </c>
      <c r="W17">
        <v>0</v>
      </c>
      <c r="X17">
        <v>0</v>
      </c>
      <c r="Y17">
        <v>0</v>
      </c>
      <c r="Z17">
        <v>0</v>
      </c>
      <c r="AA17">
        <v>0</v>
      </c>
      <c r="AB17">
        <v>0</v>
      </c>
      <c r="AC17">
        <v>0</v>
      </c>
      <c r="AD17">
        <v>0</v>
      </c>
      <c r="AE17">
        <v>9.9999999999999995E-7</v>
      </c>
      <c r="AF17">
        <v>0</v>
      </c>
      <c r="AG17">
        <v>0</v>
      </c>
      <c r="AH17">
        <v>0</v>
      </c>
      <c r="AI17">
        <v>0</v>
      </c>
      <c r="AJ17">
        <v>9.9999999999999995E-7</v>
      </c>
      <c r="AK17">
        <v>0</v>
      </c>
      <c r="AL17">
        <v>9.9999999999999995E-7</v>
      </c>
      <c r="AM17">
        <v>9.9999999999999995E-7</v>
      </c>
      <c r="AN17">
        <v>9.9999999999999995E-7</v>
      </c>
      <c r="AO17">
        <v>9.9999999999999995E-7</v>
      </c>
      <c r="AP17">
        <v>9.9999999999999995E-7</v>
      </c>
      <c r="AQ17">
        <v>0</v>
      </c>
      <c r="AR17">
        <v>0</v>
      </c>
      <c r="AS17">
        <v>9.9999999999999995E-7</v>
      </c>
      <c r="AT17">
        <v>9.9999999999999995E-7</v>
      </c>
      <c r="AU17">
        <v>9.9999999999999995E-7</v>
      </c>
      <c r="AV17">
        <v>9.9999999999999995E-7</v>
      </c>
      <c r="AW17">
        <v>9.9999999999999995E-7</v>
      </c>
      <c r="AX17">
        <v>0</v>
      </c>
      <c r="AY17">
        <v>9.9999999999999995E-7</v>
      </c>
      <c r="AZ17">
        <v>9.9999999999999995E-7</v>
      </c>
      <c r="BA17">
        <v>0</v>
      </c>
      <c r="BB17">
        <v>0</v>
      </c>
      <c r="BC17">
        <v>0</v>
      </c>
    </row>
    <row r="18" spans="1:55">
      <c r="A18" t="s">
        <v>18</v>
      </c>
      <c r="B18">
        <v>9.7999999999999997E-5</v>
      </c>
      <c r="C18">
        <v>5.5199999999999997E-4</v>
      </c>
      <c r="D18">
        <v>7.9760000000000005E-3</v>
      </c>
      <c r="E18">
        <v>1.6799999999999999E-4</v>
      </c>
      <c r="F18">
        <v>5.5999999999999999E-5</v>
      </c>
      <c r="G18">
        <v>1.74E-4</v>
      </c>
      <c r="H18">
        <v>9.9999999999999995E-7</v>
      </c>
      <c r="I18">
        <v>2.4000000000000001E-5</v>
      </c>
      <c r="J18">
        <v>1.8E-5</v>
      </c>
      <c r="K18">
        <v>7.9999999999999996E-6</v>
      </c>
      <c r="L18">
        <v>3.6999999999999998E-5</v>
      </c>
      <c r="M18">
        <v>0</v>
      </c>
      <c r="N18">
        <v>1.9999999999999999E-6</v>
      </c>
      <c r="O18">
        <v>0</v>
      </c>
      <c r="P18">
        <v>1.1E-5</v>
      </c>
      <c r="Q18">
        <v>0</v>
      </c>
      <c r="R18">
        <v>3.2696999999999997E-2</v>
      </c>
      <c r="S18">
        <v>2.029E-3</v>
      </c>
      <c r="T18">
        <v>1.03E-4</v>
      </c>
      <c r="U18">
        <v>8.6000000000000003E-5</v>
      </c>
      <c r="V18">
        <v>6.3999999999999997E-5</v>
      </c>
      <c r="W18">
        <v>1.9599999999999999E-4</v>
      </c>
      <c r="X18">
        <v>1.4E-5</v>
      </c>
      <c r="Y18">
        <v>1.9999999999999999E-6</v>
      </c>
      <c r="Z18">
        <v>7.8999999999999996E-5</v>
      </c>
      <c r="AA18">
        <v>1.9999999999999999E-6</v>
      </c>
      <c r="AB18">
        <v>2.5000000000000001E-5</v>
      </c>
      <c r="AC18">
        <v>2.3370000000000001E-3</v>
      </c>
      <c r="AD18">
        <v>2.8800000000000001E-4</v>
      </c>
      <c r="AE18">
        <v>0</v>
      </c>
      <c r="AF18">
        <v>3.0000000000000001E-6</v>
      </c>
      <c r="AG18">
        <v>2.5000000000000001E-5</v>
      </c>
      <c r="AH18">
        <v>8.0000000000000007E-5</v>
      </c>
      <c r="AI18">
        <v>2.5300000000000002E-4</v>
      </c>
      <c r="AJ18">
        <v>1.9100000000000001E-4</v>
      </c>
      <c r="AK18">
        <v>0</v>
      </c>
      <c r="AL18">
        <v>9.9999999999999995E-7</v>
      </c>
      <c r="AM18">
        <v>2.0999999999999999E-5</v>
      </c>
      <c r="AN18">
        <v>0</v>
      </c>
      <c r="AO18">
        <v>9.9999999999999995E-7</v>
      </c>
      <c r="AP18">
        <v>8.7000000000000001E-5</v>
      </c>
      <c r="AQ18">
        <v>2.0100000000000001E-4</v>
      </c>
      <c r="AR18">
        <v>1.1E-5</v>
      </c>
      <c r="AS18">
        <v>1.0000000000000001E-5</v>
      </c>
      <c r="AT18">
        <v>9.2999999999999997E-5</v>
      </c>
      <c r="AU18">
        <v>2.3E-5</v>
      </c>
      <c r="AV18">
        <v>1.1E-5</v>
      </c>
      <c r="AW18">
        <v>1.0000000000000001E-5</v>
      </c>
      <c r="AX18">
        <v>2.5999999999999998E-5</v>
      </c>
      <c r="AY18">
        <v>7.2999999999999999E-5</v>
      </c>
      <c r="AZ18">
        <v>1.44E-4</v>
      </c>
      <c r="BA18">
        <v>2.5700000000000001E-4</v>
      </c>
      <c r="BB18">
        <v>1.0610000000000001E-3</v>
      </c>
      <c r="BC18">
        <v>1.395E-3</v>
      </c>
    </row>
    <row r="19" spans="1:55">
      <c r="A19" t="s">
        <v>19</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6.0000000000000002E-5</v>
      </c>
      <c r="AD19">
        <v>0</v>
      </c>
      <c r="AE19">
        <v>0</v>
      </c>
      <c r="AF19">
        <v>0</v>
      </c>
      <c r="AG19">
        <v>2.9E-5</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row>
    <row r="20" spans="1:55">
      <c r="A20" t="s">
        <v>20</v>
      </c>
      <c r="B20">
        <v>2.0000000000000002E-5</v>
      </c>
      <c r="C20">
        <v>7.1000000000000005E-5</v>
      </c>
      <c r="D20">
        <v>3.846E-3</v>
      </c>
      <c r="E20">
        <v>0</v>
      </c>
      <c r="F20">
        <v>3.1999999999999999E-5</v>
      </c>
      <c r="G20">
        <v>2.2800000000000001E-4</v>
      </c>
      <c r="H20">
        <v>2.9E-5</v>
      </c>
      <c r="I20">
        <v>2.4000000000000001E-5</v>
      </c>
      <c r="J20">
        <v>1.5E-5</v>
      </c>
      <c r="K20">
        <v>1.4E-5</v>
      </c>
      <c r="L20">
        <v>1.05E-4</v>
      </c>
      <c r="M20">
        <v>0</v>
      </c>
      <c r="N20">
        <v>4.1E-5</v>
      </c>
      <c r="O20">
        <v>3.9999999999999998E-6</v>
      </c>
      <c r="P20">
        <v>6.3999999999999997E-5</v>
      </c>
      <c r="Q20">
        <v>2.6999999999999999E-5</v>
      </c>
      <c r="R20">
        <v>1E-4</v>
      </c>
      <c r="S20">
        <v>8.7999999999999998E-5</v>
      </c>
      <c r="T20">
        <v>3.0249999999999999E-3</v>
      </c>
      <c r="U20">
        <v>1.12E-4</v>
      </c>
      <c r="V20">
        <v>6.2000000000000003E-5</v>
      </c>
      <c r="W20">
        <v>7.3999999999999996E-5</v>
      </c>
      <c r="X20">
        <v>4.3999999999999999E-5</v>
      </c>
      <c r="Y20">
        <v>5.3999999999999998E-5</v>
      </c>
      <c r="Z20">
        <v>1.1900000000000001E-4</v>
      </c>
      <c r="AA20">
        <v>1.02E-4</v>
      </c>
      <c r="AB20">
        <v>2.99E-4</v>
      </c>
      <c r="AC20">
        <v>4.1089999999999998E-3</v>
      </c>
      <c r="AD20">
        <v>2.859E-3</v>
      </c>
      <c r="AE20">
        <v>3.1000000000000001E-5</v>
      </c>
      <c r="AF20">
        <v>1.0000000000000001E-5</v>
      </c>
      <c r="AG20">
        <v>3.4999999999999997E-5</v>
      </c>
      <c r="AH20">
        <v>1.926E-3</v>
      </c>
      <c r="AI20">
        <v>5.7000000000000003E-5</v>
      </c>
      <c r="AJ20">
        <v>1.44E-4</v>
      </c>
      <c r="AK20">
        <v>4.1E-5</v>
      </c>
      <c r="AL20">
        <v>8.2999999999999998E-5</v>
      </c>
      <c r="AM20">
        <v>8.2000000000000001E-5</v>
      </c>
      <c r="AN20">
        <v>7.3999999999999996E-5</v>
      </c>
      <c r="AO20">
        <v>1.07E-4</v>
      </c>
      <c r="AP20">
        <v>4.0000000000000003E-5</v>
      </c>
      <c r="AQ20">
        <v>4.6E-5</v>
      </c>
      <c r="AR20">
        <v>7.2000000000000002E-5</v>
      </c>
      <c r="AS20">
        <v>4.6999999999999997E-5</v>
      </c>
      <c r="AT20">
        <v>4.5000000000000003E-5</v>
      </c>
      <c r="AU20">
        <v>4.3000000000000002E-5</v>
      </c>
      <c r="AV20">
        <v>2.8E-5</v>
      </c>
      <c r="AW20">
        <v>2.3E-5</v>
      </c>
      <c r="AX20">
        <v>1.5E-5</v>
      </c>
      <c r="AY20">
        <v>5.8E-5</v>
      </c>
      <c r="AZ20">
        <v>4.8000000000000001E-5</v>
      </c>
      <c r="BA20">
        <v>4.3999999999999999E-5</v>
      </c>
      <c r="BB20">
        <v>5.1999999999999997E-5</v>
      </c>
      <c r="BC20">
        <v>1.2300000000000001E-4</v>
      </c>
    </row>
    <row r="21" spans="1:55">
      <c r="A21" t="s">
        <v>21</v>
      </c>
      <c r="B21">
        <v>2.5500000000000002E-4</v>
      </c>
      <c r="C21">
        <v>1.869E-3</v>
      </c>
      <c r="D21">
        <v>6.4499999999999996E-4</v>
      </c>
      <c r="E21">
        <v>0</v>
      </c>
      <c r="F21">
        <v>5.1E-5</v>
      </c>
      <c r="G21">
        <v>4.0829999999999998E-3</v>
      </c>
      <c r="H21">
        <v>1.6000000000000001E-4</v>
      </c>
      <c r="I21">
        <v>1.8599999999999999E-4</v>
      </c>
      <c r="J21">
        <v>7.7000000000000001E-5</v>
      </c>
      <c r="K21">
        <v>1.64E-3</v>
      </c>
      <c r="L21">
        <v>6.2259999999999998E-3</v>
      </c>
      <c r="M21">
        <v>0</v>
      </c>
      <c r="N21">
        <v>4.0700000000000003E-4</v>
      </c>
      <c r="O21">
        <v>2.8E-5</v>
      </c>
      <c r="P21">
        <v>6.2600000000000004E-4</v>
      </c>
      <c r="Q21">
        <v>1.44E-4</v>
      </c>
      <c r="R21">
        <v>2.5089999999999999E-3</v>
      </c>
      <c r="S21">
        <v>3.5560000000000001E-3</v>
      </c>
      <c r="T21">
        <v>9.2500000000000004E-4</v>
      </c>
      <c r="U21">
        <v>0.18354699999999999</v>
      </c>
      <c r="V21">
        <v>9.3999999999999997E-4</v>
      </c>
      <c r="W21">
        <v>1.7329999999999999E-3</v>
      </c>
      <c r="X21">
        <v>1.3320000000000001E-3</v>
      </c>
      <c r="Y21">
        <v>8.9300000000000002E-4</v>
      </c>
      <c r="Z21">
        <v>3.019E-3</v>
      </c>
      <c r="AA21">
        <v>6.4899999999999995E-4</v>
      </c>
      <c r="AB21">
        <v>2.0830000000000002E-3</v>
      </c>
      <c r="AC21">
        <v>5.1390000000000003E-3</v>
      </c>
      <c r="AD21">
        <v>2.0040000000000001E-3</v>
      </c>
      <c r="AE21">
        <v>1.21E-4</v>
      </c>
      <c r="AF21">
        <v>2.2100000000000001E-4</v>
      </c>
      <c r="AG21">
        <v>3.79E-4</v>
      </c>
      <c r="AH21">
        <v>2.9299999999999999E-3</v>
      </c>
      <c r="AI21">
        <v>7.2909999999999997E-3</v>
      </c>
      <c r="AJ21">
        <v>1.2394000000000001E-2</v>
      </c>
      <c r="AK21">
        <v>1.39E-3</v>
      </c>
      <c r="AL21">
        <v>5.4799999999999998E-4</v>
      </c>
      <c r="AM21">
        <v>9.4399999999999996E-4</v>
      </c>
      <c r="AN21">
        <v>2.173E-3</v>
      </c>
      <c r="AO21">
        <v>6.3199999999999997E-4</v>
      </c>
      <c r="AP21">
        <v>1.3270000000000001E-3</v>
      </c>
      <c r="AQ21">
        <v>9.6900000000000003E-4</v>
      </c>
      <c r="AR21">
        <v>5.7300000000000005E-4</v>
      </c>
      <c r="AS21">
        <v>1.7852E-2</v>
      </c>
      <c r="AT21">
        <v>3.8609999999999998E-3</v>
      </c>
      <c r="AU21">
        <v>1.1762E-2</v>
      </c>
      <c r="AV21">
        <v>5.1710000000000002E-3</v>
      </c>
      <c r="AW21">
        <v>5.326E-3</v>
      </c>
      <c r="AX21">
        <v>1.8569999999999999E-3</v>
      </c>
      <c r="AY21">
        <v>9.5149999999999992E-3</v>
      </c>
      <c r="AZ21">
        <v>9.1690000000000001E-3</v>
      </c>
      <c r="BA21">
        <v>1.8291999999999999E-2</v>
      </c>
      <c r="BB21">
        <v>2.0969999999999999E-3</v>
      </c>
      <c r="BC21">
        <v>3.7820000000000002E-3</v>
      </c>
    </row>
    <row r="22" spans="1:55">
      <c r="A22" t="s">
        <v>22</v>
      </c>
      <c r="B22">
        <v>5.1400000000000001E-2</v>
      </c>
      <c r="C22">
        <v>7.8366000000000005E-2</v>
      </c>
      <c r="D22">
        <v>9.1983999999999996E-2</v>
      </c>
      <c r="E22">
        <v>3.3036999999999997E-2</v>
      </c>
      <c r="F22">
        <v>1.8438E-2</v>
      </c>
      <c r="G22">
        <v>2.7653E-2</v>
      </c>
      <c r="H22">
        <v>5.0350000000000004E-3</v>
      </c>
      <c r="I22">
        <v>3.9399999999999998E-4</v>
      </c>
      <c r="J22">
        <v>1.573E-3</v>
      </c>
      <c r="K22">
        <v>3.1199999999999999E-4</v>
      </c>
      <c r="L22">
        <v>1.1701E-2</v>
      </c>
      <c r="M22">
        <v>0</v>
      </c>
      <c r="N22">
        <v>3.6581000000000002E-2</v>
      </c>
      <c r="O22">
        <v>3.6099999999999999E-4</v>
      </c>
      <c r="P22">
        <v>5.1219999999999998E-3</v>
      </c>
      <c r="Q22">
        <v>0</v>
      </c>
      <c r="R22">
        <v>0.16137299999999999</v>
      </c>
      <c r="S22">
        <v>0.104849</v>
      </c>
      <c r="T22">
        <v>5.2734000000000003E-2</v>
      </c>
      <c r="U22">
        <v>5.4468999999999997E-2</v>
      </c>
      <c r="V22">
        <v>0.112091</v>
      </c>
      <c r="W22">
        <v>8.7486999999999995E-2</v>
      </c>
      <c r="X22">
        <v>4.3661999999999999E-2</v>
      </c>
      <c r="Y22">
        <v>7.9135999999999998E-2</v>
      </c>
      <c r="Z22">
        <v>5.2839999999999998E-2</v>
      </c>
      <c r="AA22">
        <v>5.117E-3</v>
      </c>
      <c r="AB22">
        <v>1.6815E-2</v>
      </c>
      <c r="AC22">
        <v>6.5397999999999998E-2</v>
      </c>
      <c r="AD22">
        <v>7.5039999999999996E-2</v>
      </c>
      <c r="AE22">
        <v>2.6120000000000002E-3</v>
      </c>
      <c r="AF22">
        <v>1.5699999999999999E-4</v>
      </c>
      <c r="AG22">
        <v>0.128135</v>
      </c>
      <c r="AH22">
        <v>9.8960000000000003E-3</v>
      </c>
      <c r="AI22">
        <v>5.6839999999999998E-3</v>
      </c>
      <c r="AJ22">
        <v>4.496E-3</v>
      </c>
      <c r="AK22">
        <v>3.2859999999999999E-3</v>
      </c>
      <c r="AL22">
        <v>1.768E-3</v>
      </c>
      <c r="AM22">
        <v>4.947E-3</v>
      </c>
      <c r="AN22">
        <v>7.5129999999999997E-3</v>
      </c>
      <c r="AO22">
        <v>6.02E-4</v>
      </c>
      <c r="AP22">
        <v>1.5529999999999999E-3</v>
      </c>
      <c r="AQ22">
        <v>4.235E-3</v>
      </c>
      <c r="AR22">
        <v>9.7099999999999997E-4</v>
      </c>
      <c r="AS22">
        <v>2.8960000000000001E-3</v>
      </c>
      <c r="AT22">
        <v>1.946E-3</v>
      </c>
      <c r="AU22">
        <v>5.1409999999999997E-3</v>
      </c>
      <c r="AV22">
        <v>2.0709999999999999E-3</v>
      </c>
      <c r="AW22">
        <v>1.108E-3</v>
      </c>
      <c r="AX22">
        <v>1.5100000000000001E-3</v>
      </c>
      <c r="AY22">
        <v>9.9069999999999991E-3</v>
      </c>
      <c r="AZ22">
        <v>6.5770000000000004E-3</v>
      </c>
      <c r="BA22">
        <v>2.0494999999999999E-2</v>
      </c>
      <c r="BB22">
        <v>0.122434</v>
      </c>
      <c r="BC22">
        <v>4.2354000000000003E-2</v>
      </c>
    </row>
    <row r="23" spans="1:55">
      <c r="A23" t="s">
        <v>23</v>
      </c>
      <c r="B23">
        <v>4.1599999999999997E-4</v>
      </c>
      <c r="C23">
        <v>1.281E-3</v>
      </c>
      <c r="D23">
        <v>4.7899999999999999E-4</v>
      </c>
      <c r="E23">
        <v>0</v>
      </c>
      <c r="F23">
        <v>1.0293999999999999E-2</v>
      </c>
      <c r="G23">
        <v>9.0419999999999997E-3</v>
      </c>
      <c r="H23">
        <v>1.47E-4</v>
      </c>
      <c r="I23">
        <v>1.7899999999999999E-4</v>
      </c>
      <c r="J23">
        <v>1.6799999999999999E-4</v>
      </c>
      <c r="K23">
        <v>1.22E-4</v>
      </c>
      <c r="L23">
        <v>7.1599999999999995E-4</v>
      </c>
      <c r="M23">
        <v>0</v>
      </c>
      <c r="N23">
        <v>4.0400000000000001E-4</v>
      </c>
      <c r="O23">
        <v>3.4999999999999997E-5</v>
      </c>
      <c r="P23">
        <v>2.8600000000000001E-4</v>
      </c>
      <c r="Q23">
        <v>8.6000000000000003E-5</v>
      </c>
      <c r="R23">
        <v>5.1399999999999996E-3</v>
      </c>
      <c r="S23">
        <v>1.4097999999999999E-2</v>
      </c>
      <c r="T23">
        <v>2.8809999999999999E-3</v>
      </c>
      <c r="U23">
        <v>1.949E-3</v>
      </c>
      <c r="V23">
        <v>1.753E-3</v>
      </c>
      <c r="W23">
        <v>5.6487999999999997E-2</v>
      </c>
      <c r="X23">
        <v>3.9599999999999998E-4</v>
      </c>
      <c r="Y23">
        <v>4.1599999999999997E-4</v>
      </c>
      <c r="Z23">
        <v>8.6569999999999998E-3</v>
      </c>
      <c r="AA23">
        <v>1.2030000000000001E-3</v>
      </c>
      <c r="AB23">
        <v>1.9227999999999999E-2</v>
      </c>
      <c r="AC23">
        <v>2.7491999999999999E-2</v>
      </c>
      <c r="AD23">
        <v>1.4741000000000001E-2</v>
      </c>
      <c r="AE23">
        <v>4.8799999999999999E-4</v>
      </c>
      <c r="AF23">
        <v>6.3E-5</v>
      </c>
      <c r="AG23">
        <v>7.3399999999999995E-4</v>
      </c>
      <c r="AH23">
        <v>1.8030999999999998E-2</v>
      </c>
      <c r="AI23">
        <v>8.0459999999999993E-3</v>
      </c>
      <c r="AJ23">
        <v>1.0618000000000001E-2</v>
      </c>
      <c r="AK23">
        <v>1.32E-3</v>
      </c>
      <c r="AL23">
        <v>1.2931E-2</v>
      </c>
      <c r="AM23">
        <v>7.705E-3</v>
      </c>
      <c r="AN23">
        <v>5.9129999999999999E-3</v>
      </c>
      <c r="AO23">
        <v>1.1384E-2</v>
      </c>
      <c r="AP23">
        <v>5.45E-3</v>
      </c>
      <c r="AQ23">
        <v>3.6000000000000002E-4</v>
      </c>
      <c r="AR23">
        <v>7.76E-4</v>
      </c>
      <c r="AS23">
        <v>6.2299999999999996E-4</v>
      </c>
      <c r="AT23">
        <v>2.6549999999999998E-3</v>
      </c>
      <c r="AU23">
        <v>2.5349999999999999E-3</v>
      </c>
      <c r="AV23">
        <v>3.3540000000000002E-3</v>
      </c>
      <c r="AW23">
        <v>3.0569999999999998E-3</v>
      </c>
      <c r="AX23">
        <v>1.397E-3</v>
      </c>
      <c r="AY23">
        <v>4.13E-3</v>
      </c>
      <c r="AZ23">
        <v>1.103E-3</v>
      </c>
      <c r="BA23">
        <v>2.99E-3</v>
      </c>
      <c r="BB23">
        <v>2.4130000000000002E-3</v>
      </c>
      <c r="BC23">
        <v>3.2070000000000002E-3</v>
      </c>
    </row>
    <row r="24" spans="1:55">
      <c r="A24" t="s">
        <v>24</v>
      </c>
      <c r="B24">
        <v>9.9999999999999995E-7</v>
      </c>
      <c r="C24">
        <v>3.0000000000000001E-6</v>
      </c>
      <c r="D24">
        <v>3.5500000000000001E-4</v>
      </c>
      <c r="E24">
        <v>0</v>
      </c>
      <c r="F24">
        <v>9.9999999999999995E-7</v>
      </c>
      <c r="G24">
        <v>6.3299999999999999E-4</v>
      </c>
      <c r="H24">
        <v>9.9999999999999995E-7</v>
      </c>
      <c r="I24">
        <v>9.9999999999999995E-7</v>
      </c>
      <c r="J24">
        <v>1.9999999999999999E-6</v>
      </c>
      <c r="K24">
        <v>0</v>
      </c>
      <c r="L24">
        <v>1.9999999999999999E-6</v>
      </c>
      <c r="M24">
        <v>0</v>
      </c>
      <c r="N24">
        <v>9.9999999999999995E-7</v>
      </c>
      <c r="O24">
        <v>3.2499999999999999E-4</v>
      </c>
      <c r="P24">
        <v>6.7000000000000002E-5</v>
      </c>
      <c r="Q24">
        <v>0</v>
      </c>
      <c r="R24">
        <v>4.26E-4</v>
      </c>
      <c r="S24">
        <v>9.0000000000000006E-5</v>
      </c>
      <c r="T24">
        <v>2.1719999999999999E-3</v>
      </c>
      <c r="U24">
        <v>4.6999999999999997E-5</v>
      </c>
      <c r="V24">
        <v>2.8200000000000002E-4</v>
      </c>
      <c r="W24">
        <v>1.5809999999999999E-3</v>
      </c>
      <c r="X24">
        <v>3.1869000000000001E-2</v>
      </c>
      <c r="Y24">
        <v>6.9800000000000005E-4</v>
      </c>
      <c r="Z24">
        <v>1.124E-3</v>
      </c>
      <c r="AA24">
        <v>4.5000000000000003E-5</v>
      </c>
      <c r="AB24">
        <v>1.359E-3</v>
      </c>
      <c r="AC24">
        <v>4.7010000000000003E-3</v>
      </c>
      <c r="AD24">
        <v>1.1096999999999999E-2</v>
      </c>
      <c r="AE24">
        <v>4.8000000000000001E-5</v>
      </c>
      <c r="AF24">
        <v>0</v>
      </c>
      <c r="AG24">
        <v>5.6599999999999999E-4</v>
      </c>
      <c r="AH24">
        <v>1.6791E-2</v>
      </c>
      <c r="AI24">
        <v>9.6000000000000002E-5</v>
      </c>
      <c r="AJ24">
        <v>1E-4</v>
      </c>
      <c r="AK24">
        <v>1.2206E-2</v>
      </c>
      <c r="AL24">
        <v>2.013E-3</v>
      </c>
      <c r="AM24">
        <v>1.204E-3</v>
      </c>
      <c r="AN24">
        <v>1.0000000000000001E-5</v>
      </c>
      <c r="AO24">
        <v>1.8E-5</v>
      </c>
      <c r="AP24">
        <v>2.0000000000000002E-5</v>
      </c>
      <c r="AQ24">
        <v>9.9999999999999995E-7</v>
      </c>
      <c r="AR24">
        <v>1.9999999999999999E-6</v>
      </c>
      <c r="AS24">
        <v>3.9999999999999998E-6</v>
      </c>
      <c r="AT24">
        <v>1.1E-5</v>
      </c>
      <c r="AU24">
        <v>0</v>
      </c>
      <c r="AV24">
        <v>9.9999999999999995E-7</v>
      </c>
      <c r="AW24">
        <v>1.9999999999999999E-6</v>
      </c>
      <c r="AX24">
        <v>3.7910000000000001E-3</v>
      </c>
      <c r="AY24">
        <v>1.1199999999999999E-3</v>
      </c>
      <c r="AZ24">
        <v>7.2800000000000002E-4</v>
      </c>
      <c r="BA24">
        <v>4.7140000000000003E-3</v>
      </c>
      <c r="BB24">
        <v>2.722E-3</v>
      </c>
      <c r="BC24">
        <v>4.3920000000000001E-3</v>
      </c>
    </row>
    <row r="25" spans="1:55">
      <c r="A25" t="s">
        <v>25</v>
      </c>
      <c r="B25">
        <v>0</v>
      </c>
      <c r="C25">
        <v>0</v>
      </c>
      <c r="D25">
        <v>2.0599999999999999E-4</v>
      </c>
      <c r="E25">
        <v>0</v>
      </c>
      <c r="F25">
        <v>9.9999999999999995E-7</v>
      </c>
      <c r="G25">
        <v>0</v>
      </c>
      <c r="H25">
        <v>0</v>
      </c>
      <c r="I25">
        <v>0</v>
      </c>
      <c r="J25">
        <v>0</v>
      </c>
      <c r="K25">
        <v>0</v>
      </c>
      <c r="L25">
        <v>0</v>
      </c>
      <c r="M25">
        <v>0</v>
      </c>
      <c r="N25">
        <v>0</v>
      </c>
      <c r="O25">
        <v>0</v>
      </c>
      <c r="P25">
        <v>1.7E-5</v>
      </c>
      <c r="Q25">
        <v>0</v>
      </c>
      <c r="R25">
        <v>7.1000000000000005E-5</v>
      </c>
      <c r="S25">
        <v>1.9000000000000001E-5</v>
      </c>
      <c r="T25">
        <v>3.6000000000000001E-5</v>
      </c>
      <c r="U25">
        <v>4.2999999999999999E-4</v>
      </c>
      <c r="V25">
        <v>3.3000000000000003E-5</v>
      </c>
      <c r="W25">
        <v>1.7E-5</v>
      </c>
      <c r="X25">
        <v>1.3200000000000001E-4</v>
      </c>
      <c r="Y25">
        <v>8.6119999999999999E-3</v>
      </c>
      <c r="Z25">
        <v>4.7410000000000004E-3</v>
      </c>
      <c r="AA25">
        <v>5.1000000000000004E-4</v>
      </c>
      <c r="AB25">
        <v>1.5820000000000001E-3</v>
      </c>
      <c r="AC25">
        <v>9.4300000000000004E-4</v>
      </c>
      <c r="AD25">
        <v>3.836E-3</v>
      </c>
      <c r="AE25">
        <v>0</v>
      </c>
      <c r="AF25">
        <v>0</v>
      </c>
      <c r="AG25">
        <v>0</v>
      </c>
      <c r="AH25">
        <v>1.083E-3</v>
      </c>
      <c r="AI25">
        <v>9.9999999999999995E-7</v>
      </c>
      <c r="AJ25">
        <v>0</v>
      </c>
      <c r="AK25">
        <v>9.9999999999999995E-7</v>
      </c>
      <c r="AL25">
        <v>0</v>
      </c>
      <c r="AM25">
        <v>0</v>
      </c>
      <c r="AN25">
        <v>0</v>
      </c>
      <c r="AO25">
        <v>0</v>
      </c>
      <c r="AP25">
        <v>0</v>
      </c>
      <c r="AQ25">
        <v>0</v>
      </c>
      <c r="AR25">
        <v>0</v>
      </c>
      <c r="AS25">
        <v>9.9999999999999995E-7</v>
      </c>
      <c r="AT25">
        <v>0</v>
      </c>
      <c r="AU25">
        <v>0</v>
      </c>
      <c r="AV25">
        <v>0</v>
      </c>
      <c r="AW25">
        <v>0</v>
      </c>
      <c r="AX25">
        <v>0</v>
      </c>
      <c r="AY25">
        <v>9.9999999999999995E-7</v>
      </c>
      <c r="AZ25">
        <v>0</v>
      </c>
      <c r="BA25">
        <v>0</v>
      </c>
      <c r="BB25">
        <v>9.9999999999999995E-7</v>
      </c>
      <c r="BC25">
        <v>9.9999999999999995E-7</v>
      </c>
    </row>
    <row r="26" spans="1:55">
      <c r="A26" t="s">
        <v>26</v>
      </c>
      <c r="B26">
        <v>2.0900000000000001E-4</v>
      </c>
      <c r="C26">
        <v>9.1000000000000003E-5</v>
      </c>
      <c r="D26">
        <v>2.1100000000000001E-4</v>
      </c>
      <c r="E26">
        <v>0</v>
      </c>
      <c r="F26">
        <v>9.0000000000000002E-6</v>
      </c>
      <c r="G26">
        <v>2E-3</v>
      </c>
      <c r="H26">
        <v>1.1E-5</v>
      </c>
      <c r="I26">
        <v>2.4000000000000001E-5</v>
      </c>
      <c r="J26">
        <v>6.9999999999999999E-6</v>
      </c>
      <c r="K26">
        <v>1.21E-4</v>
      </c>
      <c r="L26">
        <v>1.4450000000000001E-3</v>
      </c>
      <c r="M26">
        <v>0</v>
      </c>
      <c r="N26">
        <v>1.0839999999999999E-3</v>
      </c>
      <c r="O26">
        <v>5.1999999999999997E-5</v>
      </c>
      <c r="P26">
        <v>4.3999999999999999E-5</v>
      </c>
      <c r="Q26">
        <v>0</v>
      </c>
      <c r="R26">
        <v>6.4499999999999996E-4</v>
      </c>
      <c r="S26">
        <v>1.237E-3</v>
      </c>
      <c r="T26">
        <v>7.8200000000000003E-4</v>
      </c>
      <c r="U26">
        <v>5.5800000000000001E-4</v>
      </c>
      <c r="V26">
        <v>2.14E-4</v>
      </c>
      <c r="W26">
        <v>3.8200000000000002E-4</v>
      </c>
      <c r="X26">
        <v>6.8999999999999997E-4</v>
      </c>
      <c r="Y26">
        <v>7.6199999999999998E-4</v>
      </c>
      <c r="Z26">
        <v>2.5554E-2</v>
      </c>
      <c r="AA26">
        <v>1.3731999999999999E-2</v>
      </c>
      <c r="AB26">
        <v>6.8929999999999998E-3</v>
      </c>
      <c r="AC26">
        <v>5.4549999999999998E-3</v>
      </c>
      <c r="AD26">
        <v>4.7949999999999998E-3</v>
      </c>
      <c r="AE26">
        <v>8.9800000000000004E-4</v>
      </c>
      <c r="AF26">
        <v>0</v>
      </c>
      <c r="AG26">
        <v>1.0809999999999999E-3</v>
      </c>
      <c r="AH26">
        <v>2.4299999999999999E-3</v>
      </c>
      <c r="AI26">
        <v>5.0460000000000001E-3</v>
      </c>
      <c r="AJ26">
        <v>1.0200000000000001E-3</v>
      </c>
      <c r="AK26">
        <v>2.6329999999999999E-3</v>
      </c>
      <c r="AL26">
        <v>1.0859999999999999E-3</v>
      </c>
      <c r="AM26">
        <v>2.34E-4</v>
      </c>
      <c r="AN26">
        <v>2.9300000000000002E-4</v>
      </c>
      <c r="AO26">
        <v>1.4E-5</v>
      </c>
      <c r="AP26">
        <v>3.4900000000000003E-4</v>
      </c>
      <c r="AQ26">
        <v>2.05E-4</v>
      </c>
      <c r="AR26">
        <v>4.1E-5</v>
      </c>
      <c r="AS26">
        <v>3.4589999999999998E-3</v>
      </c>
      <c r="AT26">
        <v>4.9600000000000002E-4</v>
      </c>
      <c r="AU26">
        <v>2.1699999999999999E-4</v>
      </c>
      <c r="AV26">
        <v>1E-4</v>
      </c>
      <c r="AW26">
        <v>3.1000000000000001E-5</v>
      </c>
      <c r="AX26">
        <v>1.8599999999999999E-4</v>
      </c>
      <c r="AY26">
        <v>2.8700000000000002E-3</v>
      </c>
      <c r="AZ26">
        <v>4.5600000000000003E-4</v>
      </c>
      <c r="BA26">
        <v>2.0070000000000001E-3</v>
      </c>
      <c r="BB26">
        <v>2.6199999999999999E-3</v>
      </c>
      <c r="BC26">
        <v>2.3410000000000002E-3</v>
      </c>
    </row>
    <row r="27" spans="1:55">
      <c r="A27" t="s">
        <v>27</v>
      </c>
      <c r="B27">
        <v>0</v>
      </c>
      <c r="C27">
        <v>0</v>
      </c>
      <c r="D27">
        <v>3.7599999999999998E-4</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row>
    <row r="28" spans="1:55">
      <c r="A28" t="s">
        <v>28</v>
      </c>
      <c r="B28">
        <v>7.1000000000000005E-5</v>
      </c>
      <c r="C28">
        <v>1.1400000000000001E-4</v>
      </c>
      <c r="D28">
        <v>1.1479999999999999E-3</v>
      </c>
      <c r="E28">
        <v>4.2900000000000002E-4</v>
      </c>
      <c r="F28">
        <v>3.0000000000000001E-6</v>
      </c>
      <c r="G28">
        <v>4.1800000000000002E-4</v>
      </c>
      <c r="H28">
        <v>3.9999999999999998E-6</v>
      </c>
      <c r="I28">
        <v>1.3999999999999999E-4</v>
      </c>
      <c r="J28">
        <v>2.32E-4</v>
      </c>
      <c r="K28">
        <v>5.5999999999999999E-5</v>
      </c>
      <c r="L28">
        <v>2.9300000000000002E-4</v>
      </c>
      <c r="M28">
        <v>0</v>
      </c>
      <c r="N28">
        <v>3.1500000000000001E-4</v>
      </c>
      <c r="O28">
        <v>4.8000000000000001E-5</v>
      </c>
      <c r="P28">
        <v>6.4999999999999994E-5</v>
      </c>
      <c r="Q28">
        <v>0</v>
      </c>
      <c r="R28">
        <v>2.8800000000000001E-4</v>
      </c>
      <c r="S28">
        <v>2.2100000000000001E-4</v>
      </c>
      <c r="T28">
        <v>1.2899999999999999E-4</v>
      </c>
      <c r="U28">
        <v>2.3800000000000001E-4</v>
      </c>
      <c r="V28">
        <v>1.12E-4</v>
      </c>
      <c r="W28">
        <v>1.8100000000000001E-4</v>
      </c>
      <c r="X28">
        <v>1.16E-4</v>
      </c>
      <c r="Y28">
        <v>1.9000000000000001E-4</v>
      </c>
      <c r="Z28">
        <v>2.8800000000000001E-4</v>
      </c>
      <c r="AA28">
        <v>8.2000000000000001E-5</v>
      </c>
      <c r="AB28">
        <v>1.5959000000000001E-2</v>
      </c>
      <c r="AC28">
        <v>2.14E-4</v>
      </c>
      <c r="AD28">
        <v>3.6200000000000002E-4</v>
      </c>
      <c r="AE28">
        <v>1.0000000000000001E-5</v>
      </c>
      <c r="AF28">
        <v>1.07E-4</v>
      </c>
      <c r="AG28">
        <v>2.1699999999999999E-4</v>
      </c>
      <c r="AH28">
        <v>2.8899999999999998E-4</v>
      </c>
      <c r="AI28">
        <v>7.94E-4</v>
      </c>
      <c r="AJ28">
        <v>3.1599999999999998E-4</v>
      </c>
      <c r="AK28">
        <v>9.2999999999999997E-5</v>
      </c>
      <c r="AL28">
        <v>2.4299999999999999E-3</v>
      </c>
      <c r="AM28">
        <v>3.0699999999999998E-4</v>
      </c>
      <c r="AN28">
        <v>1.7880000000000001E-3</v>
      </c>
      <c r="AO28">
        <v>2.9429999999999999E-3</v>
      </c>
      <c r="AP28">
        <v>3.9599999999999998E-4</v>
      </c>
      <c r="AQ28">
        <v>6.8999999999999997E-5</v>
      </c>
      <c r="AR28">
        <v>1.6100000000000001E-4</v>
      </c>
      <c r="AS28">
        <v>6.6000000000000005E-5</v>
      </c>
      <c r="AT28">
        <v>1.7000000000000001E-4</v>
      </c>
      <c r="AU28">
        <v>1.2799999999999999E-4</v>
      </c>
      <c r="AV28">
        <v>2.1000000000000001E-4</v>
      </c>
      <c r="AW28">
        <v>9.2999999999999997E-5</v>
      </c>
      <c r="AX28">
        <v>1.05E-4</v>
      </c>
      <c r="AY28">
        <v>6.8000000000000005E-4</v>
      </c>
      <c r="AZ28">
        <v>9.6000000000000002E-5</v>
      </c>
      <c r="BA28">
        <v>9.7E-5</v>
      </c>
      <c r="BB28">
        <v>1.0399999999999999E-4</v>
      </c>
      <c r="BC28">
        <v>8.1000000000000004E-5</v>
      </c>
    </row>
    <row r="29" spans="1:55">
      <c r="A29" t="s">
        <v>29</v>
      </c>
      <c r="B29">
        <v>9.9999999999999995E-7</v>
      </c>
      <c r="C29">
        <v>9.9999999999999995E-7</v>
      </c>
      <c r="D29">
        <v>0</v>
      </c>
      <c r="E29">
        <v>0</v>
      </c>
      <c r="F29">
        <v>9.9999999999999995E-7</v>
      </c>
      <c r="G29">
        <v>9.9999999999999995E-7</v>
      </c>
      <c r="H29">
        <v>9.9999999999999995E-7</v>
      </c>
      <c r="I29">
        <v>0</v>
      </c>
      <c r="J29">
        <v>9.9999999999999995E-7</v>
      </c>
      <c r="K29">
        <v>0</v>
      </c>
      <c r="L29">
        <v>1.9999999999999999E-6</v>
      </c>
      <c r="M29">
        <v>0</v>
      </c>
      <c r="N29">
        <v>3.9999999999999998E-6</v>
      </c>
      <c r="O29">
        <v>0</v>
      </c>
      <c r="P29">
        <v>5.7000000000000003E-5</v>
      </c>
      <c r="Q29">
        <v>0</v>
      </c>
      <c r="R29">
        <v>5.3000000000000001E-5</v>
      </c>
      <c r="S29">
        <v>2.2699999999999999E-4</v>
      </c>
      <c r="T29">
        <v>3.8999999999999999E-5</v>
      </c>
      <c r="U29">
        <v>1.4200000000000001E-4</v>
      </c>
      <c r="V29">
        <v>5.0000000000000004E-6</v>
      </c>
      <c r="W29">
        <v>1.1E-5</v>
      </c>
      <c r="X29">
        <v>9.9999999999999995E-7</v>
      </c>
      <c r="Y29">
        <v>1.9999999999999999E-6</v>
      </c>
      <c r="Z29">
        <v>5.0000000000000004E-6</v>
      </c>
      <c r="AA29">
        <v>3.9999999999999998E-6</v>
      </c>
      <c r="AB29">
        <v>1.2999999999999999E-5</v>
      </c>
      <c r="AC29">
        <v>1.5790000000000001E-3</v>
      </c>
      <c r="AD29">
        <v>3.6600000000000001E-4</v>
      </c>
      <c r="AE29">
        <v>0</v>
      </c>
      <c r="AF29">
        <v>0</v>
      </c>
      <c r="AG29">
        <v>1.9999999999999999E-6</v>
      </c>
      <c r="AH29">
        <v>1.45E-4</v>
      </c>
      <c r="AI29">
        <v>1.9999999999999999E-6</v>
      </c>
      <c r="AJ29">
        <v>1.9999999999999999E-6</v>
      </c>
      <c r="AK29">
        <v>3.0000000000000001E-6</v>
      </c>
      <c r="AL29">
        <v>3.9999999999999998E-6</v>
      </c>
      <c r="AM29">
        <v>2.8E-5</v>
      </c>
      <c r="AN29">
        <v>1.0000000000000001E-5</v>
      </c>
      <c r="AO29">
        <v>1.7E-5</v>
      </c>
      <c r="AP29">
        <v>9.0000000000000002E-6</v>
      </c>
      <c r="AQ29">
        <v>2.1000000000000001E-4</v>
      </c>
      <c r="AR29">
        <v>7.9999999999999996E-6</v>
      </c>
      <c r="AS29">
        <v>9.9999999999999995E-7</v>
      </c>
      <c r="AT29">
        <v>1.6100000000000001E-4</v>
      </c>
      <c r="AU29">
        <v>7.7000000000000001E-5</v>
      </c>
      <c r="AV29">
        <v>6.6000000000000005E-5</v>
      </c>
      <c r="AW29">
        <v>1.3200000000000001E-4</v>
      </c>
      <c r="AX29">
        <v>6.9999999999999999E-6</v>
      </c>
      <c r="AY29">
        <v>1.2799999999999999E-4</v>
      </c>
      <c r="AZ29">
        <v>9.9999999999999995E-7</v>
      </c>
      <c r="BA29">
        <v>1.8100000000000001E-4</v>
      </c>
      <c r="BB29">
        <v>1.3300000000000001E-4</v>
      </c>
      <c r="BC29">
        <v>3.3100000000000002E-4</v>
      </c>
    </row>
    <row r="30" spans="1:55">
      <c r="A30" t="s">
        <v>30</v>
      </c>
      <c r="B30">
        <v>6.3E-5</v>
      </c>
      <c r="C30">
        <v>4.7199999999999998E-4</v>
      </c>
      <c r="D30">
        <v>8.6499999999999999E-4</v>
      </c>
      <c r="E30">
        <v>5.9969999999999997E-3</v>
      </c>
      <c r="F30">
        <v>4.1999999999999998E-5</v>
      </c>
      <c r="G30">
        <v>1.441E-3</v>
      </c>
      <c r="H30">
        <v>4.1999999999999998E-5</v>
      </c>
      <c r="I30">
        <v>1.4200000000000001E-4</v>
      </c>
      <c r="J30">
        <v>8.3299999999999997E-4</v>
      </c>
      <c r="K30">
        <v>1.7799999999999999E-4</v>
      </c>
      <c r="L30">
        <v>2.4699999999999999E-4</v>
      </c>
      <c r="M30">
        <v>0</v>
      </c>
      <c r="N30">
        <v>8.7999999999999998E-5</v>
      </c>
      <c r="O30">
        <v>4.6E-5</v>
      </c>
      <c r="P30">
        <v>5.7000000000000003E-5</v>
      </c>
      <c r="Q30">
        <v>0</v>
      </c>
      <c r="R30">
        <v>5.4799999999999998E-4</v>
      </c>
      <c r="S30">
        <v>1.25E-4</v>
      </c>
      <c r="T30">
        <v>9.6000000000000002E-5</v>
      </c>
      <c r="U30">
        <v>8.3999999999999995E-5</v>
      </c>
      <c r="V30">
        <v>3.19E-4</v>
      </c>
      <c r="W30">
        <v>7.8999999999999996E-5</v>
      </c>
      <c r="X30">
        <v>5.3000000000000001E-5</v>
      </c>
      <c r="Y30">
        <v>1.5200000000000001E-4</v>
      </c>
      <c r="Z30">
        <v>3.1599999999999998E-4</v>
      </c>
      <c r="AA30">
        <v>0</v>
      </c>
      <c r="AB30">
        <v>4.1999999999999998E-5</v>
      </c>
      <c r="AC30">
        <v>3.7500000000000001E-4</v>
      </c>
      <c r="AD30">
        <v>5.0020000000000004E-3</v>
      </c>
      <c r="AE30">
        <v>4.5000000000000003E-5</v>
      </c>
      <c r="AF30">
        <v>4.3100000000000001E-4</v>
      </c>
      <c r="AG30">
        <v>1.03E-4</v>
      </c>
      <c r="AH30">
        <v>1.02E-4</v>
      </c>
      <c r="AI30">
        <v>3.2200000000000002E-4</v>
      </c>
      <c r="AJ30">
        <v>6.78E-4</v>
      </c>
      <c r="AK30">
        <v>5.7869999999999996E-3</v>
      </c>
      <c r="AL30">
        <v>1.8E-5</v>
      </c>
      <c r="AM30">
        <v>2.947E-3</v>
      </c>
      <c r="AN30">
        <v>5.4019999999999997E-3</v>
      </c>
      <c r="AO30">
        <v>1.2899999999999999E-3</v>
      </c>
      <c r="AP30">
        <v>9.2E-5</v>
      </c>
      <c r="AQ30">
        <v>1.5300000000000001E-4</v>
      </c>
      <c r="AR30">
        <v>3.0000000000000001E-5</v>
      </c>
      <c r="AS30">
        <v>8.1800000000000004E-4</v>
      </c>
      <c r="AT30">
        <v>7.4100000000000001E-4</v>
      </c>
      <c r="AU30">
        <v>7.8200000000000003E-4</v>
      </c>
      <c r="AV30">
        <v>3.4400000000000001E-4</v>
      </c>
      <c r="AW30">
        <v>1.02E-4</v>
      </c>
      <c r="AX30">
        <v>2.42E-4</v>
      </c>
      <c r="AY30">
        <v>1.737E-3</v>
      </c>
      <c r="AZ30">
        <v>1.062E-3</v>
      </c>
      <c r="BA30">
        <v>1.7080000000000001E-3</v>
      </c>
      <c r="BB30">
        <v>6.0759999999999998E-3</v>
      </c>
      <c r="BC30">
        <v>4.202E-3</v>
      </c>
    </row>
    <row r="31" spans="1:55">
      <c r="A31" t="s">
        <v>31</v>
      </c>
      <c r="B31">
        <v>1.22E-4</v>
      </c>
      <c r="C31">
        <v>5.5400000000000002E-4</v>
      </c>
      <c r="D31">
        <v>6.4250000000000002E-3</v>
      </c>
      <c r="E31">
        <v>8.1530000000000005E-3</v>
      </c>
      <c r="F31">
        <v>3.0000000000000001E-6</v>
      </c>
      <c r="G31">
        <v>7.7899999999999996E-4</v>
      </c>
      <c r="H31">
        <v>2.8899999999999998E-4</v>
      </c>
      <c r="I31">
        <v>7.9500000000000003E-4</v>
      </c>
      <c r="J31">
        <v>6.87E-4</v>
      </c>
      <c r="K31">
        <v>6.9899999999999997E-4</v>
      </c>
      <c r="L31">
        <v>7.7099999999999998E-4</v>
      </c>
      <c r="M31">
        <v>0</v>
      </c>
      <c r="N31">
        <v>2.5000000000000001E-5</v>
      </c>
      <c r="O31">
        <v>3.77E-4</v>
      </c>
      <c r="P31">
        <v>9.5200000000000005E-4</v>
      </c>
      <c r="Q31">
        <v>0</v>
      </c>
      <c r="R31">
        <v>9.4529999999999996E-3</v>
      </c>
      <c r="S31">
        <v>8.0249999999999991E-3</v>
      </c>
      <c r="T31">
        <v>2.2750000000000001E-3</v>
      </c>
      <c r="U31">
        <v>8.0700000000000008E-3</v>
      </c>
      <c r="V31">
        <v>1.8209999999999999E-3</v>
      </c>
      <c r="W31">
        <v>3.2629999999999998E-3</v>
      </c>
      <c r="X31">
        <v>4.5329999999999997E-3</v>
      </c>
      <c r="Y31">
        <v>4.398E-3</v>
      </c>
      <c r="Z31">
        <v>5.8659999999999997E-3</v>
      </c>
      <c r="AA31">
        <v>1.255E-3</v>
      </c>
      <c r="AB31">
        <v>2.8289999999999999E-3</v>
      </c>
      <c r="AC31">
        <v>4.3899999999999998E-3</v>
      </c>
      <c r="AD31">
        <v>9.4230000000000008E-3</v>
      </c>
      <c r="AE31">
        <v>0.17192099999999999</v>
      </c>
      <c r="AF31">
        <v>2.0699999999999999E-4</v>
      </c>
      <c r="AG31">
        <v>2.9073000000000002E-2</v>
      </c>
      <c r="AH31">
        <v>8.1300000000000003E-4</v>
      </c>
      <c r="AI31">
        <v>6.0089999999999996E-3</v>
      </c>
      <c r="AJ31">
        <v>3.6480000000000002E-3</v>
      </c>
      <c r="AK31">
        <v>4.4247000000000002E-2</v>
      </c>
      <c r="AL31">
        <v>6.6299999999999996E-4</v>
      </c>
      <c r="AM31">
        <v>1.2459999999999999E-3</v>
      </c>
      <c r="AN31">
        <v>6.6559999999999996E-3</v>
      </c>
      <c r="AO31">
        <v>5.1400000000000003E-4</v>
      </c>
      <c r="AP31">
        <v>6.8900000000000003E-3</v>
      </c>
      <c r="AQ31">
        <v>4.117E-3</v>
      </c>
      <c r="AR31">
        <v>1.1150000000000001E-3</v>
      </c>
      <c r="AS31">
        <v>4.1359999999999999E-3</v>
      </c>
      <c r="AT31">
        <v>1.5009999999999999E-3</v>
      </c>
      <c r="AU31">
        <v>2.3860000000000001E-3</v>
      </c>
      <c r="AV31">
        <v>2.4380000000000001E-3</v>
      </c>
      <c r="AW31">
        <v>2.1069999999999999E-3</v>
      </c>
      <c r="AX31">
        <v>1.0499999999999999E-3</v>
      </c>
      <c r="AY31">
        <v>3.702E-3</v>
      </c>
      <c r="AZ31">
        <v>9.3530000000000002E-3</v>
      </c>
      <c r="BA31">
        <v>4.849E-3</v>
      </c>
      <c r="BB31">
        <v>6.5009999999999998E-3</v>
      </c>
      <c r="BC31">
        <v>8.6429999999999996E-3</v>
      </c>
    </row>
    <row r="32" spans="1:55">
      <c r="A32" t="s">
        <v>32</v>
      </c>
      <c r="B32">
        <v>0</v>
      </c>
      <c r="C32">
        <v>0</v>
      </c>
      <c r="D32">
        <v>1.4100000000000001E-4</v>
      </c>
      <c r="E32">
        <v>0</v>
      </c>
      <c r="F32">
        <v>0</v>
      </c>
      <c r="G32">
        <v>0</v>
      </c>
      <c r="H32">
        <v>0</v>
      </c>
      <c r="I32">
        <v>0</v>
      </c>
      <c r="J32">
        <v>9.0700000000000004E-4</v>
      </c>
      <c r="K32">
        <v>0</v>
      </c>
      <c r="L32">
        <v>0</v>
      </c>
      <c r="M32">
        <v>0</v>
      </c>
      <c r="N32">
        <v>9.0000000000000002E-6</v>
      </c>
      <c r="O32">
        <v>0</v>
      </c>
      <c r="P32">
        <v>1.2799999999999999E-4</v>
      </c>
      <c r="Q32">
        <v>0</v>
      </c>
      <c r="R32">
        <v>1.1529999999999999E-3</v>
      </c>
      <c r="S32">
        <v>7.7999999999999999E-4</v>
      </c>
      <c r="T32">
        <v>4.55E-4</v>
      </c>
      <c r="U32">
        <v>5.6099999999999998E-4</v>
      </c>
      <c r="V32">
        <v>4.5100000000000001E-4</v>
      </c>
      <c r="W32">
        <v>6.2100000000000002E-4</v>
      </c>
      <c r="X32">
        <v>1.371E-3</v>
      </c>
      <c r="Y32">
        <v>1.2440000000000001E-3</v>
      </c>
      <c r="Z32">
        <v>1.0560000000000001E-3</v>
      </c>
      <c r="AA32">
        <v>4.0200000000000001E-4</v>
      </c>
      <c r="AB32">
        <v>4.5399999999999998E-4</v>
      </c>
      <c r="AC32">
        <v>1.096E-3</v>
      </c>
      <c r="AD32">
        <v>1.1850000000000001E-3</v>
      </c>
      <c r="AE32">
        <v>4.6999999999999997E-5</v>
      </c>
      <c r="AF32">
        <v>1.9000000000000001E-4</v>
      </c>
      <c r="AG32">
        <v>3.1000000000000001E-5</v>
      </c>
      <c r="AH32">
        <v>1.0900000000000001E-4</v>
      </c>
      <c r="AI32">
        <v>0</v>
      </c>
      <c r="AJ32">
        <v>1.1E-5</v>
      </c>
      <c r="AK32">
        <v>0</v>
      </c>
      <c r="AL32">
        <v>3.5E-4</v>
      </c>
      <c r="AM32">
        <v>0</v>
      </c>
      <c r="AN32">
        <v>0</v>
      </c>
      <c r="AO32">
        <v>6.9999999999999999E-6</v>
      </c>
      <c r="AP32">
        <v>0</v>
      </c>
      <c r="AQ32">
        <v>2.9999999999999997E-4</v>
      </c>
      <c r="AR32">
        <v>5.0000000000000002E-5</v>
      </c>
      <c r="AS32">
        <v>0</v>
      </c>
      <c r="AT32">
        <v>0</v>
      </c>
      <c r="AU32">
        <v>0</v>
      </c>
      <c r="AV32">
        <v>0</v>
      </c>
      <c r="AW32">
        <v>0</v>
      </c>
      <c r="AX32">
        <v>0</v>
      </c>
      <c r="AY32">
        <v>1.1E-5</v>
      </c>
      <c r="AZ32">
        <v>1.8E-5</v>
      </c>
      <c r="BA32">
        <v>6.3999999999999997E-5</v>
      </c>
      <c r="BB32">
        <v>3.4999999999999997E-5</v>
      </c>
      <c r="BC32">
        <v>6.9999999999999999E-6</v>
      </c>
    </row>
    <row r="33" spans="1:55">
      <c r="A33" t="s">
        <v>33</v>
      </c>
      <c r="B33">
        <v>9.0000000000000002E-6</v>
      </c>
      <c r="C33">
        <v>6.4400000000000004E-4</v>
      </c>
      <c r="D33">
        <v>8.8400000000000002E-4</v>
      </c>
      <c r="E33">
        <v>0</v>
      </c>
      <c r="F33">
        <v>5.0000000000000004E-6</v>
      </c>
      <c r="G33">
        <v>6.9999999999999999E-6</v>
      </c>
      <c r="H33">
        <v>1.25E-4</v>
      </c>
      <c r="I33">
        <v>9.9999999999999995E-7</v>
      </c>
      <c r="J33">
        <v>6.8999999999999997E-5</v>
      </c>
      <c r="K33">
        <v>1.9000000000000001E-4</v>
      </c>
      <c r="L33">
        <v>8.2999999999999998E-5</v>
      </c>
      <c r="M33">
        <v>0</v>
      </c>
      <c r="N33">
        <v>1.2E-5</v>
      </c>
      <c r="O33">
        <v>6.0000000000000002E-6</v>
      </c>
      <c r="P33">
        <v>1.6699999999999999E-4</v>
      </c>
      <c r="Q33">
        <v>0</v>
      </c>
      <c r="R33">
        <v>1.1180000000000001E-3</v>
      </c>
      <c r="S33">
        <v>4.5199999999999998E-4</v>
      </c>
      <c r="T33">
        <v>1.5100000000000001E-4</v>
      </c>
      <c r="U33">
        <v>9.1699999999999995E-4</v>
      </c>
      <c r="V33">
        <v>3.2699999999999998E-4</v>
      </c>
      <c r="W33">
        <v>3.2000000000000003E-4</v>
      </c>
      <c r="X33">
        <v>7.8799999999999996E-4</v>
      </c>
      <c r="Y33">
        <v>1.0744999999999999E-2</v>
      </c>
      <c r="Z33">
        <v>2.34E-4</v>
      </c>
      <c r="AA33">
        <v>5.8E-5</v>
      </c>
      <c r="AB33">
        <v>5.1199999999999998E-4</v>
      </c>
      <c r="AC33">
        <v>3.8099999999999999E-4</v>
      </c>
      <c r="AD33">
        <v>3.8099999999999999E-4</v>
      </c>
      <c r="AE33">
        <v>1.9000000000000001E-5</v>
      </c>
      <c r="AF33">
        <v>1.0000000000000001E-5</v>
      </c>
      <c r="AG33">
        <v>2.9418E-2</v>
      </c>
      <c r="AH33">
        <v>8.1000000000000004E-5</v>
      </c>
      <c r="AI33">
        <v>8.6799999999999996E-4</v>
      </c>
      <c r="AJ33">
        <v>6.1399999999999996E-4</v>
      </c>
      <c r="AK33">
        <v>6.3999999999999997E-5</v>
      </c>
      <c r="AL33">
        <v>1.7E-5</v>
      </c>
      <c r="AM33">
        <v>9.7199999999999999E-4</v>
      </c>
      <c r="AN33">
        <v>4.6200000000000001E-4</v>
      </c>
      <c r="AO33">
        <v>6.0999999999999999E-5</v>
      </c>
      <c r="AP33">
        <v>5.7399999999999997E-4</v>
      </c>
      <c r="AQ33">
        <v>7.5799999999999999E-4</v>
      </c>
      <c r="AR33">
        <v>8.1000000000000004E-5</v>
      </c>
      <c r="AS33">
        <v>9.5000000000000005E-5</v>
      </c>
      <c r="AT33">
        <v>3.3000000000000003E-5</v>
      </c>
      <c r="AU33">
        <v>1.4E-5</v>
      </c>
      <c r="AV33">
        <v>9.1000000000000003E-5</v>
      </c>
      <c r="AW33">
        <v>1.1E-5</v>
      </c>
      <c r="AX33">
        <v>6.4999999999999994E-5</v>
      </c>
      <c r="AY33">
        <v>5.6099999999999998E-4</v>
      </c>
      <c r="AZ33">
        <v>3.7399999999999998E-4</v>
      </c>
      <c r="BA33">
        <v>4.95E-4</v>
      </c>
      <c r="BB33">
        <v>2.8930000000000002E-3</v>
      </c>
      <c r="BC33">
        <v>1.5200000000000001E-3</v>
      </c>
    </row>
    <row r="34" spans="1:55">
      <c r="A34" t="s">
        <v>34</v>
      </c>
      <c r="B34">
        <v>3.3231999999999998E-2</v>
      </c>
      <c r="C34">
        <v>2.3127000000000002E-2</v>
      </c>
      <c r="D34">
        <v>1.1919999999999999E-3</v>
      </c>
      <c r="E34">
        <v>1.449E-3</v>
      </c>
      <c r="F34">
        <v>1.1006999999999999E-2</v>
      </c>
      <c r="G34">
        <v>1.5681E-2</v>
      </c>
      <c r="H34">
        <v>1.854E-3</v>
      </c>
      <c r="I34">
        <v>4.6108000000000003E-2</v>
      </c>
      <c r="J34">
        <v>4.6220000000000002E-3</v>
      </c>
      <c r="K34">
        <v>2.0569E-2</v>
      </c>
      <c r="L34">
        <v>4.2269000000000001E-2</v>
      </c>
      <c r="M34">
        <v>0</v>
      </c>
      <c r="N34">
        <v>6.9026000000000004E-2</v>
      </c>
      <c r="O34">
        <v>9.9200000000000004E-4</v>
      </c>
      <c r="P34">
        <v>2.1499999999999999E-4</v>
      </c>
      <c r="Q34">
        <v>9.0000000000000002E-6</v>
      </c>
      <c r="R34">
        <v>1.4450000000000001E-3</v>
      </c>
      <c r="S34">
        <v>1.632E-3</v>
      </c>
      <c r="T34">
        <v>2.9599999999999998E-4</v>
      </c>
      <c r="U34">
        <v>2.4009999999999999E-3</v>
      </c>
      <c r="V34">
        <v>4.3999999999999999E-5</v>
      </c>
      <c r="W34">
        <v>6.6000000000000005E-5</v>
      </c>
      <c r="X34">
        <v>2.0025000000000001E-2</v>
      </c>
      <c r="Y34">
        <v>4.2139999999999999E-3</v>
      </c>
      <c r="Z34">
        <v>2.8600000000000001E-4</v>
      </c>
      <c r="AA34">
        <v>2.3E-5</v>
      </c>
      <c r="AB34">
        <v>1.8200000000000001E-4</v>
      </c>
      <c r="AC34">
        <v>1.0139999999999999E-3</v>
      </c>
      <c r="AD34">
        <v>3.3599999999999998E-4</v>
      </c>
      <c r="AE34">
        <v>1.049E-3</v>
      </c>
      <c r="AF34">
        <v>8.8529999999999998E-3</v>
      </c>
      <c r="AG34">
        <v>3.0551999999999999E-2</v>
      </c>
      <c r="AH34">
        <v>3.3479999999999998E-3</v>
      </c>
      <c r="AI34">
        <v>1.4584E-2</v>
      </c>
      <c r="AJ34">
        <v>3.1004E-2</v>
      </c>
      <c r="AK34">
        <v>7.2682999999999998E-2</v>
      </c>
      <c r="AL34">
        <v>2.7E-4</v>
      </c>
      <c r="AM34">
        <v>3.2809999999999999E-2</v>
      </c>
      <c r="AN34">
        <v>2.1713E-2</v>
      </c>
      <c r="AO34">
        <v>1.482E-3</v>
      </c>
      <c r="AP34">
        <v>9.5703999999999997E-2</v>
      </c>
      <c r="AQ34">
        <v>7.4099999999999999E-3</v>
      </c>
      <c r="AR34">
        <v>1.1329999999999999E-3</v>
      </c>
      <c r="AS34">
        <v>1.8721999999999999E-2</v>
      </c>
      <c r="AT34">
        <v>1.1861E-2</v>
      </c>
      <c r="AU34">
        <v>7.2090000000000001E-3</v>
      </c>
      <c r="AV34">
        <v>3.7889999999999998E-3</v>
      </c>
      <c r="AW34">
        <v>6.4260000000000003E-3</v>
      </c>
      <c r="AX34">
        <v>8.3667000000000005E-2</v>
      </c>
      <c r="AY34">
        <v>6.8700000000000002E-3</v>
      </c>
      <c r="AZ34">
        <v>6.1378000000000002E-2</v>
      </c>
      <c r="BA34">
        <v>8.2789999999999999E-3</v>
      </c>
      <c r="BB34">
        <v>2.9239999999999999E-3</v>
      </c>
      <c r="BC34">
        <v>6.2789999999999999E-3</v>
      </c>
    </row>
    <row r="35" spans="1:55">
      <c r="A35" t="s">
        <v>35</v>
      </c>
      <c r="B35">
        <v>6.8050000000000003E-3</v>
      </c>
      <c r="C35">
        <v>3.1589999999999999E-3</v>
      </c>
      <c r="D35">
        <v>0</v>
      </c>
      <c r="E35">
        <v>0</v>
      </c>
      <c r="F35">
        <v>1.9999999999999999E-6</v>
      </c>
      <c r="G35">
        <v>4.8659999999999997E-3</v>
      </c>
      <c r="H35">
        <v>2.9940000000000001E-3</v>
      </c>
      <c r="I35">
        <v>5.5630000000000002E-3</v>
      </c>
      <c r="J35">
        <v>1.534E-3</v>
      </c>
      <c r="K35">
        <v>6.5499999999999998E-4</v>
      </c>
      <c r="L35">
        <v>7.2439999999999996E-3</v>
      </c>
      <c r="M35">
        <v>0</v>
      </c>
      <c r="N35">
        <v>1.2008E-2</v>
      </c>
      <c r="O35">
        <v>2.1100000000000001E-4</v>
      </c>
      <c r="P35">
        <v>6.5370000000000003E-3</v>
      </c>
      <c r="Q35">
        <v>2.568E-3</v>
      </c>
      <c r="R35">
        <v>9.9480000000000002E-3</v>
      </c>
      <c r="S35">
        <v>7.901E-3</v>
      </c>
      <c r="T35">
        <v>1.0161E-2</v>
      </c>
      <c r="U35">
        <v>1.1277000000000001E-2</v>
      </c>
      <c r="V35">
        <v>4.3909999999999999E-3</v>
      </c>
      <c r="W35">
        <v>7.2589999999999998E-3</v>
      </c>
      <c r="X35">
        <v>3.9680000000000002E-3</v>
      </c>
      <c r="Y35">
        <v>5.9329999999999999E-3</v>
      </c>
      <c r="Z35">
        <v>1.0239E-2</v>
      </c>
      <c r="AA35">
        <v>1.0506E-2</v>
      </c>
      <c r="AB35">
        <v>2.3411000000000001E-2</v>
      </c>
      <c r="AC35">
        <v>1.0312E-2</v>
      </c>
      <c r="AD35">
        <v>9.7370000000000009E-3</v>
      </c>
      <c r="AE35">
        <v>2.183E-3</v>
      </c>
      <c r="AF35">
        <v>1.047E-3</v>
      </c>
      <c r="AG35">
        <v>3.7720000000000002E-3</v>
      </c>
      <c r="AH35">
        <v>1.3417E-2</v>
      </c>
      <c r="AI35">
        <v>9.1870000000000007E-3</v>
      </c>
      <c r="AJ35">
        <v>7.3740000000000003E-3</v>
      </c>
      <c r="AK35">
        <v>7.6309999999999998E-3</v>
      </c>
      <c r="AL35">
        <v>3.2489999999999998E-2</v>
      </c>
      <c r="AM35">
        <v>1.2522999999999999E-2</v>
      </c>
      <c r="AN35">
        <v>1.1516E-2</v>
      </c>
      <c r="AO35">
        <v>9.5420000000000001E-3</v>
      </c>
      <c r="AP35">
        <v>1.2234E-2</v>
      </c>
      <c r="AQ35">
        <v>4.5389999999999996E-3</v>
      </c>
      <c r="AR35">
        <v>7.2760000000000003E-3</v>
      </c>
      <c r="AS35">
        <v>3.091E-3</v>
      </c>
      <c r="AT35">
        <v>3.8400000000000001E-3</v>
      </c>
      <c r="AU35">
        <v>6.5700000000000003E-3</v>
      </c>
      <c r="AV35">
        <v>1.4159999999999999E-3</v>
      </c>
      <c r="AW35">
        <v>1.348E-3</v>
      </c>
      <c r="AX35">
        <v>9.4899999999999997E-4</v>
      </c>
      <c r="AY35">
        <v>1.6188000000000001E-2</v>
      </c>
      <c r="AZ35">
        <v>5.9699999999999996E-3</v>
      </c>
      <c r="BA35">
        <v>5.4840000000000002E-3</v>
      </c>
      <c r="BB35">
        <v>7.143E-3</v>
      </c>
      <c r="BC35">
        <v>5.6049999999999997E-3</v>
      </c>
    </row>
    <row r="36" spans="1:55">
      <c r="A36" t="s">
        <v>36</v>
      </c>
      <c r="B36">
        <v>1.2146000000000001E-2</v>
      </c>
      <c r="C36">
        <v>2.0563999999999999E-2</v>
      </c>
      <c r="D36">
        <v>2.0126000000000002E-2</v>
      </c>
      <c r="E36">
        <v>1.0120000000000001E-2</v>
      </c>
      <c r="F36">
        <v>1.5433000000000001E-2</v>
      </c>
      <c r="G36">
        <v>2.9007000000000002E-2</v>
      </c>
      <c r="H36">
        <v>2.2870999999999999E-2</v>
      </c>
      <c r="I36">
        <v>6.1669999999999997E-3</v>
      </c>
      <c r="J36">
        <v>9.7300000000000008E-3</v>
      </c>
      <c r="K36">
        <v>2.5600000000000002E-3</v>
      </c>
      <c r="L36">
        <v>2.7973999999999999E-2</v>
      </c>
      <c r="M36">
        <v>0</v>
      </c>
      <c r="N36">
        <v>1.7284999999999998E-2</v>
      </c>
      <c r="O36">
        <v>1.4970000000000001E-3</v>
      </c>
      <c r="P36">
        <v>4.9792999999999997E-2</v>
      </c>
      <c r="Q36">
        <v>2.1215000000000001E-2</v>
      </c>
      <c r="R36">
        <v>7.6529E-2</v>
      </c>
      <c r="S36">
        <v>5.8860999999999997E-2</v>
      </c>
      <c r="T36">
        <v>7.5896000000000005E-2</v>
      </c>
      <c r="U36">
        <v>8.405E-2</v>
      </c>
      <c r="V36">
        <v>3.3342999999999998E-2</v>
      </c>
      <c r="W36">
        <v>5.6092000000000003E-2</v>
      </c>
      <c r="X36">
        <v>2.8826000000000001E-2</v>
      </c>
      <c r="Y36">
        <v>4.2868000000000003E-2</v>
      </c>
      <c r="Z36">
        <v>8.0417000000000002E-2</v>
      </c>
      <c r="AA36">
        <v>8.2304000000000002E-2</v>
      </c>
      <c r="AB36">
        <v>0.17910699999999999</v>
      </c>
      <c r="AC36">
        <v>7.2033E-2</v>
      </c>
      <c r="AD36">
        <v>7.5037000000000006E-2</v>
      </c>
      <c r="AE36">
        <v>7.5030000000000001E-3</v>
      </c>
      <c r="AF36">
        <v>5.2389999999999997E-3</v>
      </c>
      <c r="AG36">
        <v>2.2898999999999999E-2</v>
      </c>
      <c r="AH36">
        <v>9.7924999999999998E-2</v>
      </c>
      <c r="AI36">
        <v>2.5999000000000001E-2</v>
      </c>
      <c r="AJ36">
        <v>1.9550999999999999E-2</v>
      </c>
      <c r="AK36">
        <v>2.3400000000000001E-2</v>
      </c>
      <c r="AL36">
        <v>5.2540000000000003E-2</v>
      </c>
      <c r="AM36">
        <v>5.0632000000000003E-2</v>
      </c>
      <c r="AN36">
        <v>4.7040999999999999E-2</v>
      </c>
      <c r="AO36">
        <v>6.1682000000000001E-2</v>
      </c>
      <c r="AP36">
        <v>1.2697E-2</v>
      </c>
      <c r="AQ36">
        <v>3.1470999999999999E-2</v>
      </c>
      <c r="AR36">
        <v>5.4167E-2</v>
      </c>
      <c r="AS36">
        <v>1.7434000000000002E-2</v>
      </c>
      <c r="AT36">
        <v>6.3629999999999997E-3</v>
      </c>
      <c r="AU36">
        <v>9.2130000000000007E-3</v>
      </c>
      <c r="AV36">
        <v>5.8329999999999996E-3</v>
      </c>
      <c r="AW36">
        <v>5.3940000000000004E-3</v>
      </c>
      <c r="AX36">
        <v>4.1790000000000004E-3</v>
      </c>
      <c r="AY36">
        <v>2.5855E-2</v>
      </c>
      <c r="AZ36">
        <v>1.1198E-2</v>
      </c>
      <c r="BA36">
        <v>2.1516E-2</v>
      </c>
      <c r="BB36">
        <v>4.0405000000000003E-2</v>
      </c>
      <c r="BC36">
        <v>2.6259000000000001E-2</v>
      </c>
    </row>
    <row r="37" spans="1:55">
      <c r="A37" t="s">
        <v>37</v>
      </c>
      <c r="B37">
        <v>5.0000000000000004E-6</v>
      </c>
      <c r="C37">
        <v>2.4899999999999998E-4</v>
      </c>
      <c r="D37">
        <v>0</v>
      </c>
      <c r="E37">
        <v>0</v>
      </c>
      <c r="F37">
        <v>1.7E-5</v>
      </c>
      <c r="G37">
        <v>2.8E-5</v>
      </c>
      <c r="H37">
        <v>7.7999999999999999E-5</v>
      </c>
      <c r="I37">
        <v>6.0000000000000002E-6</v>
      </c>
      <c r="J37">
        <v>1.4E-5</v>
      </c>
      <c r="K37">
        <v>5.0000000000000004E-6</v>
      </c>
      <c r="L37">
        <v>2.859E-3</v>
      </c>
      <c r="M37">
        <v>0</v>
      </c>
      <c r="N37">
        <v>1.4999999999999999E-4</v>
      </c>
      <c r="O37">
        <v>3.0000000000000001E-6</v>
      </c>
      <c r="P37">
        <v>2.1999999999999999E-5</v>
      </c>
      <c r="Q37">
        <v>1.4E-5</v>
      </c>
      <c r="R37">
        <v>6.8999999999999997E-5</v>
      </c>
      <c r="S37">
        <v>7.2000000000000002E-5</v>
      </c>
      <c r="T37">
        <v>4.3000000000000002E-5</v>
      </c>
      <c r="U37">
        <v>3.4400000000000001E-4</v>
      </c>
      <c r="V37">
        <v>1.2999999999999999E-5</v>
      </c>
      <c r="W37">
        <v>2.5000000000000001E-5</v>
      </c>
      <c r="X37">
        <v>2.2100000000000001E-4</v>
      </c>
      <c r="Y37">
        <v>4.0000000000000003E-5</v>
      </c>
      <c r="Z37">
        <v>5.0000000000000002E-5</v>
      </c>
      <c r="AA37">
        <v>3.4E-5</v>
      </c>
      <c r="AB37">
        <v>1.5100000000000001E-4</v>
      </c>
      <c r="AC37">
        <v>1.05E-4</v>
      </c>
      <c r="AD37">
        <v>9.0000000000000006E-5</v>
      </c>
      <c r="AE37">
        <v>1.8E-5</v>
      </c>
      <c r="AF37">
        <v>1.1E-5</v>
      </c>
      <c r="AG37">
        <v>1.12E-4</v>
      </c>
      <c r="AH37">
        <v>7.4999999999999993E-5</v>
      </c>
      <c r="AI37">
        <v>4.0000000000000003E-5</v>
      </c>
      <c r="AJ37">
        <v>3.1700000000000001E-4</v>
      </c>
      <c r="AK37">
        <v>1.0399999999999999E-4</v>
      </c>
      <c r="AL37">
        <v>3.0000000000000001E-5</v>
      </c>
      <c r="AM37">
        <v>4.5000000000000003E-5</v>
      </c>
      <c r="AN37">
        <v>3.0000000000000001E-5</v>
      </c>
      <c r="AO37">
        <v>4.6E-5</v>
      </c>
      <c r="AP37">
        <v>1.25E-4</v>
      </c>
      <c r="AQ37">
        <v>2.4000000000000001E-5</v>
      </c>
      <c r="AR37">
        <v>2.4000000000000001E-5</v>
      </c>
      <c r="AS37">
        <v>2.5999999999999998E-5</v>
      </c>
      <c r="AT37">
        <v>1.8E-5</v>
      </c>
      <c r="AU37">
        <v>2.9E-5</v>
      </c>
      <c r="AV37">
        <v>2.8400000000000002E-4</v>
      </c>
      <c r="AW37">
        <v>5.3999999999999998E-5</v>
      </c>
      <c r="AX37">
        <v>9.0000000000000002E-6</v>
      </c>
      <c r="AY37">
        <v>1.627E-3</v>
      </c>
      <c r="AZ37">
        <v>8.0000000000000007E-5</v>
      </c>
      <c r="BA37">
        <v>6.6000000000000005E-5</v>
      </c>
      <c r="BB37">
        <v>4.3999999999999999E-5</v>
      </c>
      <c r="BC37">
        <v>1.2999999999999999E-4</v>
      </c>
    </row>
    <row r="38" spans="1:55">
      <c r="A38" t="s">
        <v>38</v>
      </c>
      <c r="B38">
        <v>1.0089999999999999E-3</v>
      </c>
      <c r="C38">
        <v>4.2059999999999997E-3</v>
      </c>
      <c r="D38">
        <v>1.1381E-2</v>
      </c>
      <c r="E38">
        <v>1.4252000000000001E-2</v>
      </c>
      <c r="F38">
        <v>1.1362000000000001E-2</v>
      </c>
      <c r="G38">
        <v>4.4949999999999999E-3</v>
      </c>
      <c r="H38">
        <v>1.077E-3</v>
      </c>
      <c r="I38">
        <v>7.2499999999999995E-4</v>
      </c>
      <c r="J38">
        <v>1.062E-3</v>
      </c>
      <c r="K38">
        <v>3.7100000000000002E-4</v>
      </c>
      <c r="L38">
        <v>5.5849999999999997E-3</v>
      </c>
      <c r="M38">
        <v>0</v>
      </c>
      <c r="N38">
        <v>1.4978999999999999E-2</v>
      </c>
      <c r="O38">
        <v>1.8200000000000001E-4</v>
      </c>
      <c r="P38">
        <v>1.727E-3</v>
      </c>
      <c r="Q38">
        <v>1.469E-3</v>
      </c>
      <c r="R38">
        <v>5.8170000000000001E-3</v>
      </c>
      <c r="S38">
        <v>6.2459999999999998E-3</v>
      </c>
      <c r="T38">
        <v>4.4980000000000003E-3</v>
      </c>
      <c r="U38">
        <v>1.7954999999999999E-2</v>
      </c>
      <c r="V38">
        <v>2.0609999999999999E-3</v>
      </c>
      <c r="W38">
        <v>3.0839999999999999E-3</v>
      </c>
      <c r="X38">
        <v>3.9399999999999999E-3</v>
      </c>
      <c r="Y38">
        <v>4.0930000000000003E-3</v>
      </c>
      <c r="Z38">
        <v>6.0990000000000003E-3</v>
      </c>
      <c r="AA38">
        <v>4.4349999999999997E-3</v>
      </c>
      <c r="AB38">
        <v>1.2087000000000001E-2</v>
      </c>
      <c r="AC38">
        <v>1.1247E-2</v>
      </c>
      <c r="AD38">
        <v>7.7400000000000004E-3</v>
      </c>
      <c r="AE38">
        <v>6.1899999999999998E-4</v>
      </c>
      <c r="AF38">
        <v>1.6000000000000001E-3</v>
      </c>
      <c r="AG38">
        <v>3.271E-3</v>
      </c>
      <c r="AH38">
        <v>9.2560000000000003E-3</v>
      </c>
      <c r="AI38">
        <v>9.4420000000000007E-3</v>
      </c>
      <c r="AJ38">
        <v>6.7029999999999998E-3</v>
      </c>
      <c r="AK38">
        <v>2.137E-3</v>
      </c>
      <c r="AL38">
        <v>5.476E-3</v>
      </c>
      <c r="AM38">
        <v>5.1700000000000001E-3</v>
      </c>
      <c r="AN38">
        <v>3.0339999999999998E-3</v>
      </c>
      <c r="AO38">
        <v>3.3630000000000001E-3</v>
      </c>
      <c r="AP38">
        <v>3.637E-3</v>
      </c>
      <c r="AQ38">
        <v>2.1359999999999999E-3</v>
      </c>
      <c r="AR38">
        <v>2.862E-3</v>
      </c>
      <c r="AS38">
        <v>2.235E-3</v>
      </c>
      <c r="AT38">
        <v>1.0169999999999999E-3</v>
      </c>
      <c r="AU38">
        <v>1.0859999999999999E-3</v>
      </c>
      <c r="AV38">
        <v>1.7930000000000001E-3</v>
      </c>
      <c r="AW38">
        <v>2.5579999999999999E-3</v>
      </c>
      <c r="AX38">
        <v>5.22E-4</v>
      </c>
      <c r="AY38">
        <v>7.5770000000000004E-3</v>
      </c>
      <c r="AZ38">
        <v>3.0424E-2</v>
      </c>
      <c r="BA38">
        <v>1.0074E-2</v>
      </c>
      <c r="BB38">
        <v>1.2279999999999999E-2</v>
      </c>
      <c r="BC38">
        <v>4.1359999999999999E-3</v>
      </c>
    </row>
    <row r="39" spans="1:55">
      <c r="A39" t="s">
        <v>39</v>
      </c>
      <c r="B39">
        <v>1.21E-4</v>
      </c>
      <c r="C39">
        <v>5.7300000000000005E-4</v>
      </c>
      <c r="D39">
        <v>0</v>
      </c>
      <c r="E39">
        <v>0</v>
      </c>
      <c r="F39">
        <v>4.7600000000000003E-3</v>
      </c>
      <c r="G39">
        <v>5.2800000000000004E-4</v>
      </c>
      <c r="H39">
        <v>2.6600000000000001E-4</v>
      </c>
      <c r="I39">
        <v>6.9999999999999994E-5</v>
      </c>
      <c r="J39">
        <v>1.7899999999999999E-4</v>
      </c>
      <c r="K39">
        <v>5.2700000000000002E-4</v>
      </c>
      <c r="L39">
        <v>2.8639999999999998E-3</v>
      </c>
      <c r="M39">
        <v>0</v>
      </c>
      <c r="N39">
        <v>1.83E-4</v>
      </c>
      <c r="O39">
        <v>2.5099999999999998E-4</v>
      </c>
      <c r="P39">
        <v>5.0000000000000001E-4</v>
      </c>
      <c r="Q39">
        <v>2.7999999999999998E-4</v>
      </c>
      <c r="R39">
        <v>9.0799999999999995E-4</v>
      </c>
      <c r="S39">
        <v>6.38E-4</v>
      </c>
      <c r="T39">
        <v>7.8299999999999995E-4</v>
      </c>
      <c r="U39">
        <v>8.7299999999999997E-4</v>
      </c>
      <c r="V39">
        <v>3.19E-4</v>
      </c>
      <c r="W39">
        <v>5.4699999999999996E-4</v>
      </c>
      <c r="X39">
        <v>2.7900000000000001E-4</v>
      </c>
      <c r="Y39">
        <v>4.7199999999999998E-4</v>
      </c>
      <c r="Z39">
        <v>9.2900000000000003E-4</v>
      </c>
      <c r="AA39">
        <v>8.25E-4</v>
      </c>
      <c r="AB39">
        <v>2.029E-3</v>
      </c>
      <c r="AC39">
        <v>8.2299999999999995E-4</v>
      </c>
      <c r="AD39">
        <v>8.3500000000000002E-4</v>
      </c>
      <c r="AE39">
        <v>7.2999999999999999E-5</v>
      </c>
      <c r="AF39">
        <v>5.1999999999999997E-5</v>
      </c>
      <c r="AG39">
        <v>2.5099999999999998E-4</v>
      </c>
      <c r="AH39">
        <v>1.0610000000000001E-3</v>
      </c>
      <c r="AI39">
        <v>3.2299999999999999E-4</v>
      </c>
      <c r="AJ39">
        <v>2.23E-4</v>
      </c>
      <c r="AK39">
        <v>2.2800000000000001E-4</v>
      </c>
      <c r="AL39">
        <v>5.2999999999999998E-4</v>
      </c>
      <c r="AM39">
        <v>3.7399999999999998E-4</v>
      </c>
      <c r="AN39">
        <v>4.6500000000000003E-4</v>
      </c>
      <c r="AO39">
        <v>5.6499999999999996E-4</v>
      </c>
      <c r="AP39">
        <v>1.3455999999999999E-2</v>
      </c>
      <c r="AQ39">
        <v>3.4000000000000002E-4</v>
      </c>
      <c r="AR39">
        <v>5.5199999999999997E-4</v>
      </c>
      <c r="AS39">
        <v>3.7100000000000002E-4</v>
      </c>
      <c r="AT39">
        <v>7.8999999999999996E-5</v>
      </c>
      <c r="AU39">
        <v>1.37E-4</v>
      </c>
      <c r="AV39">
        <v>7.6000000000000004E-5</v>
      </c>
      <c r="AW39">
        <v>1.66E-4</v>
      </c>
      <c r="AX39">
        <v>5.1E-5</v>
      </c>
      <c r="AY39">
        <v>1.242E-3</v>
      </c>
      <c r="AZ39">
        <v>1.55E-4</v>
      </c>
      <c r="BA39">
        <v>2.4899999999999998E-4</v>
      </c>
      <c r="BB39">
        <v>4.6999999999999999E-4</v>
      </c>
      <c r="BC39">
        <v>4.1100000000000002E-4</v>
      </c>
    </row>
    <row r="40" spans="1:55">
      <c r="A40" t="s">
        <v>40</v>
      </c>
      <c r="B40">
        <v>1.16E-4</v>
      </c>
      <c r="C40">
        <v>1.0330000000000001E-3</v>
      </c>
      <c r="D40">
        <v>1.16E-4</v>
      </c>
      <c r="E40">
        <v>7.2499999999999995E-4</v>
      </c>
      <c r="F40">
        <v>6.8199999999999999E-4</v>
      </c>
      <c r="G40">
        <v>2.24E-4</v>
      </c>
      <c r="H40">
        <v>9.0000000000000006E-5</v>
      </c>
      <c r="I40">
        <v>1.21E-4</v>
      </c>
      <c r="J40">
        <v>1.6899999999999999E-4</v>
      </c>
      <c r="K40">
        <v>3.9399999999999998E-4</v>
      </c>
      <c r="L40">
        <v>7.7200000000000001E-4</v>
      </c>
      <c r="M40">
        <v>0</v>
      </c>
      <c r="N40">
        <v>4.8000000000000001E-5</v>
      </c>
      <c r="O40">
        <v>2.42E-4</v>
      </c>
      <c r="P40">
        <v>1.4300000000000001E-4</v>
      </c>
      <c r="Q40">
        <v>5.3000000000000001E-5</v>
      </c>
      <c r="R40">
        <v>6.2500000000000001E-4</v>
      </c>
      <c r="S40">
        <v>3.8499999999999998E-4</v>
      </c>
      <c r="T40">
        <v>5.1900000000000004E-4</v>
      </c>
      <c r="U40">
        <v>2.31E-4</v>
      </c>
      <c r="V40">
        <v>7.1000000000000005E-5</v>
      </c>
      <c r="W40">
        <v>1.22E-4</v>
      </c>
      <c r="X40">
        <v>2.22E-4</v>
      </c>
      <c r="Y40">
        <v>1.05E-4</v>
      </c>
      <c r="Z40">
        <v>2.34E-4</v>
      </c>
      <c r="AA40">
        <v>1.6699999999999999E-4</v>
      </c>
      <c r="AB40">
        <v>6.2600000000000004E-4</v>
      </c>
      <c r="AC40">
        <v>7.9100000000000004E-4</v>
      </c>
      <c r="AD40">
        <v>5.0799999999999999E-4</v>
      </c>
      <c r="AE40">
        <v>3.0000000000000001E-5</v>
      </c>
      <c r="AF40">
        <v>3.8999999999999999E-5</v>
      </c>
      <c r="AG40">
        <v>9.3499999999999996E-4</v>
      </c>
      <c r="AH40">
        <v>3.6400000000000001E-4</v>
      </c>
      <c r="AI40">
        <v>1.6899999999999999E-4</v>
      </c>
      <c r="AJ40">
        <v>5.9100000000000005E-4</v>
      </c>
      <c r="AK40">
        <v>2.1800000000000001E-4</v>
      </c>
      <c r="AL40">
        <v>2.2959999999999999E-3</v>
      </c>
      <c r="AM40">
        <v>2.1120000000000002E-3</v>
      </c>
      <c r="AN40">
        <v>7.5000000000000002E-4</v>
      </c>
      <c r="AO40">
        <v>1.2290000000000001E-3</v>
      </c>
      <c r="AP40">
        <v>2.6179999999999998E-2</v>
      </c>
      <c r="AQ40">
        <v>1.63E-4</v>
      </c>
      <c r="AR40">
        <v>2.1800000000000001E-4</v>
      </c>
      <c r="AS40">
        <v>8.2000000000000001E-5</v>
      </c>
      <c r="AT40">
        <v>3.1999999999999999E-5</v>
      </c>
      <c r="AU40">
        <v>3.8999999999999999E-5</v>
      </c>
      <c r="AV40">
        <v>5.3000000000000001E-5</v>
      </c>
      <c r="AW40">
        <v>1.6799999999999999E-4</v>
      </c>
      <c r="AX40">
        <v>1.4E-5</v>
      </c>
      <c r="AY40">
        <v>2.2079999999999999E-3</v>
      </c>
      <c r="AZ40">
        <v>4.6999999999999997E-5</v>
      </c>
      <c r="BA40">
        <v>7.2999999999999999E-5</v>
      </c>
      <c r="BB40">
        <v>1.2400000000000001E-4</v>
      </c>
      <c r="BC40">
        <v>2.4800000000000001E-4</v>
      </c>
    </row>
    <row r="41" spans="1:55">
      <c r="A41" t="s">
        <v>41</v>
      </c>
      <c r="B41">
        <v>1.64E-4</v>
      </c>
      <c r="C41">
        <v>4.8799999999999999E-4</v>
      </c>
      <c r="D41">
        <v>9.9159999999999995E-3</v>
      </c>
      <c r="E41">
        <v>9.6900000000000003E-4</v>
      </c>
      <c r="F41">
        <v>1.474E-3</v>
      </c>
      <c r="G41">
        <v>2.72E-4</v>
      </c>
      <c r="H41">
        <v>1.7899999999999999E-4</v>
      </c>
      <c r="I41">
        <v>2.7E-4</v>
      </c>
      <c r="J41">
        <v>2.8899999999999998E-4</v>
      </c>
      <c r="K41">
        <v>1.9319999999999999E-3</v>
      </c>
      <c r="L41">
        <v>7.2859999999999999E-3</v>
      </c>
      <c r="M41">
        <v>0</v>
      </c>
      <c r="N41">
        <v>1.6199999999999999E-3</v>
      </c>
      <c r="O41">
        <v>2.0900000000000001E-4</v>
      </c>
      <c r="P41">
        <v>4.44E-4</v>
      </c>
      <c r="Q41">
        <v>2.2900000000000001E-4</v>
      </c>
      <c r="R41">
        <v>2.575E-3</v>
      </c>
      <c r="S41">
        <v>1.072E-3</v>
      </c>
      <c r="T41">
        <v>1.403E-3</v>
      </c>
      <c r="U41">
        <v>1.013E-3</v>
      </c>
      <c r="V41">
        <v>5.2700000000000002E-4</v>
      </c>
      <c r="W41">
        <v>9.0399999999999996E-4</v>
      </c>
      <c r="X41">
        <v>6.1899999999999998E-4</v>
      </c>
      <c r="Y41">
        <v>1.0859999999999999E-3</v>
      </c>
      <c r="Z41">
        <v>1.629E-3</v>
      </c>
      <c r="AA41">
        <v>8.9700000000000001E-4</v>
      </c>
      <c r="AB41">
        <v>2.1210000000000001E-3</v>
      </c>
      <c r="AC41">
        <v>1.4920000000000001E-3</v>
      </c>
      <c r="AD41">
        <v>1.7229999999999999E-3</v>
      </c>
      <c r="AE41">
        <v>5.2999999999999998E-4</v>
      </c>
      <c r="AF41">
        <v>1.7899999999999999E-4</v>
      </c>
      <c r="AG41">
        <v>1.3389999999999999E-3</v>
      </c>
      <c r="AH41">
        <v>1.668E-3</v>
      </c>
      <c r="AI41">
        <v>1.3699999999999999E-3</v>
      </c>
      <c r="AJ41">
        <v>4.5979999999999997E-3</v>
      </c>
      <c r="AK41">
        <v>6.9700000000000003E-4</v>
      </c>
      <c r="AL41">
        <v>1.3780000000000001E-3</v>
      </c>
      <c r="AM41">
        <v>3.9129999999999998E-3</v>
      </c>
      <c r="AN41">
        <v>1.493E-3</v>
      </c>
      <c r="AO41">
        <v>1.5622E-2</v>
      </c>
      <c r="AP41">
        <v>2.7407999999999998E-2</v>
      </c>
      <c r="AQ41">
        <v>7.54E-4</v>
      </c>
      <c r="AR41">
        <v>3.6200000000000002E-4</v>
      </c>
      <c r="AS41">
        <v>1.8220000000000001E-3</v>
      </c>
      <c r="AT41">
        <v>2.787E-3</v>
      </c>
      <c r="AU41">
        <v>5.0500000000000002E-4</v>
      </c>
      <c r="AV41">
        <v>2.2569999999999999E-3</v>
      </c>
      <c r="AW41">
        <v>1.9189999999999999E-3</v>
      </c>
      <c r="AX41">
        <v>1.2359999999999999E-3</v>
      </c>
      <c r="AY41">
        <v>1.1734E-2</v>
      </c>
      <c r="AZ41">
        <v>5.1519000000000002E-2</v>
      </c>
      <c r="BA41">
        <v>8.9040000000000005E-3</v>
      </c>
      <c r="BB41">
        <v>5.313E-3</v>
      </c>
      <c r="BC41">
        <v>2.6819999999999999E-3</v>
      </c>
    </row>
    <row r="42" spans="1:55">
      <c r="A42" t="s">
        <v>42</v>
      </c>
      <c r="B42">
        <v>8.3999999999999995E-5</v>
      </c>
      <c r="C42">
        <v>8.4000000000000003E-4</v>
      </c>
      <c r="D42">
        <v>1.1839999999999999E-3</v>
      </c>
      <c r="E42">
        <v>1.2489999999999999E-3</v>
      </c>
      <c r="F42">
        <v>7.5259999999999997E-3</v>
      </c>
      <c r="G42">
        <v>2.3599999999999999E-4</v>
      </c>
      <c r="H42">
        <v>1.03E-4</v>
      </c>
      <c r="I42">
        <v>1.64E-4</v>
      </c>
      <c r="J42">
        <v>2.2000000000000001E-4</v>
      </c>
      <c r="K42">
        <v>7.7000000000000001E-5</v>
      </c>
      <c r="L42">
        <v>6.78E-4</v>
      </c>
      <c r="M42">
        <v>0</v>
      </c>
      <c r="N42">
        <v>2.6600000000000001E-4</v>
      </c>
      <c r="O42">
        <v>2.1999999999999999E-5</v>
      </c>
      <c r="P42">
        <v>2.2000000000000001E-4</v>
      </c>
      <c r="Q42">
        <v>1.5100000000000001E-4</v>
      </c>
      <c r="R42">
        <v>7.7700000000000002E-4</v>
      </c>
      <c r="S42">
        <v>6.4700000000000001E-4</v>
      </c>
      <c r="T42">
        <v>3.4400000000000001E-4</v>
      </c>
      <c r="U42">
        <v>5.5999999999999995E-4</v>
      </c>
      <c r="V42">
        <v>2.9E-4</v>
      </c>
      <c r="W42">
        <v>4.1899999999999999E-4</v>
      </c>
      <c r="X42">
        <v>3.1799999999999998E-4</v>
      </c>
      <c r="Y42">
        <v>5.2899999999999996E-4</v>
      </c>
      <c r="Z42">
        <v>8.3900000000000001E-4</v>
      </c>
      <c r="AA42">
        <v>4.0999999999999999E-4</v>
      </c>
      <c r="AB42">
        <v>1.851E-3</v>
      </c>
      <c r="AC42">
        <v>1.039E-3</v>
      </c>
      <c r="AD42">
        <v>1.0809999999999999E-3</v>
      </c>
      <c r="AE42">
        <v>5.8E-5</v>
      </c>
      <c r="AF42">
        <v>3.6999999999999998E-5</v>
      </c>
      <c r="AG42">
        <v>2.9399999999999999E-4</v>
      </c>
      <c r="AH42">
        <v>1.114E-3</v>
      </c>
      <c r="AI42">
        <v>1.317E-3</v>
      </c>
      <c r="AJ42">
        <v>1.8079999999999999E-3</v>
      </c>
      <c r="AK42">
        <v>3.8470000000000002E-3</v>
      </c>
      <c r="AL42">
        <v>2.7109999999999999E-3</v>
      </c>
      <c r="AM42">
        <v>4.4743999999999999E-2</v>
      </c>
      <c r="AN42">
        <v>1.4513E-2</v>
      </c>
      <c r="AO42">
        <v>2.4608999999999999E-2</v>
      </c>
      <c r="AP42">
        <v>1.4265999999999999E-2</v>
      </c>
      <c r="AQ42">
        <v>1.83E-4</v>
      </c>
      <c r="AR42">
        <v>2.4600000000000002E-4</v>
      </c>
      <c r="AS42">
        <v>4.0000000000000002E-4</v>
      </c>
      <c r="AT42">
        <v>7.2999999999999999E-5</v>
      </c>
      <c r="AU42">
        <v>8.0000000000000007E-5</v>
      </c>
      <c r="AV42">
        <v>8.3000000000000001E-4</v>
      </c>
      <c r="AW42">
        <v>2.526E-3</v>
      </c>
      <c r="AX42">
        <v>8.7000000000000001E-5</v>
      </c>
      <c r="AY42">
        <v>1.2329999999999999E-3</v>
      </c>
      <c r="AZ42">
        <v>2.1699999999999999E-4</v>
      </c>
      <c r="BA42">
        <v>2.0000000000000001E-4</v>
      </c>
      <c r="BB42">
        <v>2.5500000000000002E-4</v>
      </c>
      <c r="BC42">
        <v>3.1100000000000002E-4</v>
      </c>
    </row>
    <row r="43" spans="1:55">
      <c r="A43" t="s">
        <v>43</v>
      </c>
      <c r="B43">
        <v>3.9999999999999998E-6</v>
      </c>
      <c r="C43">
        <v>1.63E-4</v>
      </c>
      <c r="D43">
        <v>1.0599000000000001E-2</v>
      </c>
      <c r="E43">
        <v>1.2263E-2</v>
      </c>
      <c r="F43">
        <v>1.3461000000000001E-2</v>
      </c>
      <c r="G43">
        <v>1.235E-3</v>
      </c>
      <c r="H43">
        <v>9.9999999999999995E-7</v>
      </c>
      <c r="I43">
        <v>1.8000000000000001E-4</v>
      </c>
      <c r="J43">
        <v>4.4099999999999999E-4</v>
      </c>
      <c r="K43">
        <v>1.66E-4</v>
      </c>
      <c r="L43">
        <v>9.7799999999999992E-4</v>
      </c>
      <c r="M43">
        <v>0</v>
      </c>
      <c r="N43">
        <v>0</v>
      </c>
      <c r="O43">
        <v>1.2999999999999999E-5</v>
      </c>
      <c r="P43">
        <v>1.7899999999999999E-4</v>
      </c>
      <c r="Q43">
        <v>0</v>
      </c>
      <c r="R43">
        <v>6.3670000000000003E-3</v>
      </c>
      <c r="S43">
        <v>5.4900000000000001E-4</v>
      </c>
      <c r="T43">
        <v>2.8499999999999999E-4</v>
      </c>
      <c r="U43">
        <v>4.1800000000000002E-4</v>
      </c>
      <c r="V43">
        <v>4.35E-4</v>
      </c>
      <c r="W43">
        <v>2.4600000000000002E-4</v>
      </c>
      <c r="X43">
        <v>1.7899999999999999E-4</v>
      </c>
      <c r="Y43">
        <v>7.3800000000000005E-4</v>
      </c>
      <c r="Z43">
        <v>5.6599999999999999E-4</v>
      </c>
      <c r="AA43">
        <v>3.5199999999999999E-4</v>
      </c>
      <c r="AB43">
        <v>6.888E-3</v>
      </c>
      <c r="AC43">
        <v>4.8000000000000001E-5</v>
      </c>
      <c r="AD43">
        <v>2.4600000000000002E-4</v>
      </c>
      <c r="AE43">
        <v>2.0000000000000002E-5</v>
      </c>
      <c r="AF43">
        <v>8.3999999999999995E-5</v>
      </c>
      <c r="AG43">
        <v>3.2000000000000003E-4</v>
      </c>
      <c r="AH43">
        <v>3.6999999999999999E-4</v>
      </c>
      <c r="AI43">
        <v>5.6010000000000001E-3</v>
      </c>
      <c r="AJ43">
        <v>2.1940000000000002E-3</v>
      </c>
      <c r="AK43">
        <v>3.2100000000000002E-3</v>
      </c>
      <c r="AL43">
        <v>1.4430000000000001E-3</v>
      </c>
      <c r="AM43">
        <v>5.5230000000000001E-3</v>
      </c>
      <c r="AN43">
        <v>1.1521999999999999E-2</v>
      </c>
      <c r="AO43">
        <v>3.5379999999999999E-3</v>
      </c>
      <c r="AP43">
        <v>6.0039999999999998E-3</v>
      </c>
      <c r="AQ43">
        <v>8.9099999999999997E-4</v>
      </c>
      <c r="AR43">
        <v>6.9999999999999999E-6</v>
      </c>
      <c r="AS43">
        <v>4.333E-3</v>
      </c>
      <c r="AT43">
        <v>1.9289999999999999E-3</v>
      </c>
      <c r="AU43">
        <v>3.9001000000000001E-2</v>
      </c>
      <c r="AV43">
        <v>1.8828999999999999E-2</v>
      </c>
      <c r="AW43">
        <v>9.1950000000000004E-2</v>
      </c>
      <c r="AX43">
        <v>8.0900000000000004E-4</v>
      </c>
      <c r="AY43">
        <v>1.098E-2</v>
      </c>
      <c r="AZ43">
        <v>1.94E-4</v>
      </c>
      <c r="BA43">
        <v>2.8499999999999999E-4</v>
      </c>
      <c r="BB43">
        <v>1.325E-3</v>
      </c>
      <c r="BC43">
        <v>4.73E-4</v>
      </c>
    </row>
    <row r="44" spans="1:55">
      <c r="A44" t="s">
        <v>44</v>
      </c>
      <c r="B44">
        <v>4.5300000000000001E-4</v>
      </c>
      <c r="C44">
        <v>7.85E-4</v>
      </c>
      <c r="D44">
        <v>9.1439999999999994E-3</v>
      </c>
      <c r="E44">
        <v>4.6589999999999999E-3</v>
      </c>
      <c r="F44">
        <v>1.4858E-2</v>
      </c>
      <c r="G44">
        <v>3.4400000000000001E-4</v>
      </c>
      <c r="H44">
        <v>1.2E-4</v>
      </c>
      <c r="I44">
        <v>1.34E-4</v>
      </c>
      <c r="J44">
        <v>8.1099999999999998E-4</v>
      </c>
      <c r="K44">
        <v>6.1200000000000002E-4</v>
      </c>
      <c r="L44">
        <v>4.8200000000000001E-4</v>
      </c>
      <c r="M44">
        <v>0</v>
      </c>
      <c r="N44">
        <v>2.5860000000000002E-3</v>
      </c>
      <c r="O44">
        <v>2.8E-5</v>
      </c>
      <c r="P44">
        <v>2.8899999999999998E-4</v>
      </c>
      <c r="Q44">
        <v>1.1E-4</v>
      </c>
      <c r="R44">
        <v>7.7099999999999998E-4</v>
      </c>
      <c r="S44">
        <v>1.0989999999999999E-3</v>
      </c>
      <c r="T44">
        <v>2.4650000000000002E-3</v>
      </c>
      <c r="U44">
        <v>1.639E-3</v>
      </c>
      <c r="V44">
        <v>4.6799999999999999E-4</v>
      </c>
      <c r="W44">
        <v>9.810000000000001E-4</v>
      </c>
      <c r="X44">
        <v>1.5529999999999999E-3</v>
      </c>
      <c r="Y44">
        <v>1.5039999999999999E-3</v>
      </c>
      <c r="Z44">
        <v>6.9800000000000005E-4</v>
      </c>
      <c r="AA44">
        <v>6.1399999999999996E-4</v>
      </c>
      <c r="AB44">
        <v>2.385E-3</v>
      </c>
      <c r="AC44">
        <v>1.3619999999999999E-3</v>
      </c>
      <c r="AD44">
        <v>6.4180000000000001E-3</v>
      </c>
      <c r="AE44">
        <v>3.9300000000000001E-4</v>
      </c>
      <c r="AF44">
        <v>1.3100000000000001E-4</v>
      </c>
      <c r="AG44">
        <v>4.2000000000000002E-4</v>
      </c>
      <c r="AH44">
        <v>6.6930000000000002E-3</v>
      </c>
      <c r="AI44">
        <v>2.421E-3</v>
      </c>
      <c r="AJ44">
        <v>7.7650000000000002E-3</v>
      </c>
      <c r="AK44">
        <v>1.093E-3</v>
      </c>
      <c r="AL44">
        <v>7.2400000000000003E-4</v>
      </c>
      <c r="AM44">
        <v>3.5339999999999998E-3</v>
      </c>
      <c r="AN44">
        <v>4.9459999999999999E-3</v>
      </c>
      <c r="AO44">
        <v>2.3705E-2</v>
      </c>
      <c r="AP44">
        <v>1.794E-3</v>
      </c>
      <c r="AQ44">
        <v>1.1119999999999999E-3</v>
      </c>
      <c r="AR44">
        <v>4.2400000000000001E-4</v>
      </c>
      <c r="AS44">
        <v>1.1980000000000001E-3</v>
      </c>
      <c r="AT44">
        <v>8.0599999999999997E-4</v>
      </c>
      <c r="AU44">
        <v>4.6799999999999999E-4</v>
      </c>
      <c r="AV44">
        <v>1.936E-3</v>
      </c>
      <c r="AW44">
        <v>2.186E-3</v>
      </c>
      <c r="AX44">
        <v>2.6200000000000003E-4</v>
      </c>
      <c r="AY44">
        <v>3.6380000000000002E-3</v>
      </c>
      <c r="AZ44">
        <v>9.5429999999999994E-3</v>
      </c>
      <c r="BA44">
        <v>8.8400000000000002E-4</v>
      </c>
      <c r="BB44">
        <v>2.6419999999999998E-3</v>
      </c>
      <c r="BC44">
        <v>2.8119999999999998E-3</v>
      </c>
    </row>
    <row r="45" spans="1:55">
      <c r="A45" t="s">
        <v>45</v>
      </c>
      <c r="B45">
        <v>1.6000000000000001E-4</v>
      </c>
      <c r="C45">
        <v>5.3700000000000004E-4</v>
      </c>
      <c r="D45">
        <v>1.1535999999999999E-2</v>
      </c>
      <c r="E45">
        <v>9.4579999999999994E-3</v>
      </c>
      <c r="F45">
        <v>5.2800000000000004E-4</v>
      </c>
      <c r="G45">
        <v>2.0890000000000001E-3</v>
      </c>
      <c r="H45">
        <v>2.9500000000000001E-4</v>
      </c>
      <c r="I45">
        <v>2.1849999999999999E-3</v>
      </c>
      <c r="J45">
        <v>3.6299999999999999E-4</v>
      </c>
      <c r="K45">
        <v>1.191E-3</v>
      </c>
      <c r="L45">
        <v>3.0330000000000001E-3</v>
      </c>
      <c r="M45">
        <v>0</v>
      </c>
      <c r="N45">
        <v>3.9969999999999997E-3</v>
      </c>
      <c r="O45">
        <v>1.493E-3</v>
      </c>
      <c r="P45">
        <v>6.0229999999999997E-3</v>
      </c>
      <c r="Q45">
        <v>2.7E-4</v>
      </c>
      <c r="R45">
        <v>2.6012E-2</v>
      </c>
      <c r="S45">
        <v>3.8823999999999997E-2</v>
      </c>
      <c r="T45">
        <v>9.6819999999999996E-3</v>
      </c>
      <c r="U45">
        <v>1.7510000000000001E-2</v>
      </c>
      <c r="V45">
        <v>1.2626E-2</v>
      </c>
      <c r="W45">
        <v>5.8209999999999998E-3</v>
      </c>
      <c r="X45">
        <v>5.6220000000000003E-3</v>
      </c>
      <c r="Y45">
        <v>3.7629999999999999E-3</v>
      </c>
      <c r="Z45">
        <v>8.8929999999999999E-3</v>
      </c>
      <c r="AA45">
        <v>4.1780000000000003E-3</v>
      </c>
      <c r="AB45">
        <v>1.6791E-2</v>
      </c>
      <c r="AC45">
        <v>4.9713E-2</v>
      </c>
      <c r="AD45">
        <v>2.5752000000000001E-2</v>
      </c>
      <c r="AE45">
        <v>3.1800000000000001E-3</v>
      </c>
      <c r="AF45">
        <v>8.7100000000000003E-4</v>
      </c>
      <c r="AG45">
        <v>3.9880000000000002E-3</v>
      </c>
      <c r="AH45">
        <v>9.1959999999999993E-3</v>
      </c>
      <c r="AI45">
        <v>1.6475E-2</v>
      </c>
      <c r="AJ45">
        <v>2.2428E-2</v>
      </c>
      <c r="AK45">
        <v>5.96E-3</v>
      </c>
      <c r="AL45">
        <v>4.8599999999999997E-3</v>
      </c>
      <c r="AM45">
        <v>1.8495999999999999E-2</v>
      </c>
      <c r="AN45">
        <v>4.5582999999999999E-2</v>
      </c>
      <c r="AO45">
        <v>2.3824000000000001E-2</v>
      </c>
      <c r="AP45">
        <v>3.7116999999999997E-2</v>
      </c>
      <c r="AQ45">
        <v>9.7280000000000005E-3</v>
      </c>
      <c r="AR45">
        <v>3.9639999999999996E-3</v>
      </c>
      <c r="AS45">
        <v>0.13164899999999999</v>
      </c>
      <c r="AT45">
        <v>2.1367000000000001E-2</v>
      </c>
      <c r="AU45">
        <v>5.1669E-2</v>
      </c>
      <c r="AV45">
        <v>1.9615E-2</v>
      </c>
      <c r="AW45">
        <v>2.6789E-2</v>
      </c>
      <c r="AX45">
        <v>1.1651999999999999E-2</v>
      </c>
      <c r="AY45">
        <v>6.9085999999999995E-2</v>
      </c>
      <c r="AZ45">
        <v>3.2934999999999999E-2</v>
      </c>
      <c r="BA45">
        <v>4.0577000000000002E-2</v>
      </c>
      <c r="BB45">
        <v>1.4289E-2</v>
      </c>
      <c r="BC45">
        <v>1.3849E-2</v>
      </c>
    </row>
    <row r="46" spans="1:55">
      <c r="A46" t="s">
        <v>46</v>
      </c>
      <c r="B46">
        <v>1.2179999999999999E-3</v>
      </c>
      <c r="C46">
        <v>2.777E-3</v>
      </c>
      <c r="D46">
        <v>3.6089999999999998E-3</v>
      </c>
      <c r="E46">
        <v>7.8600000000000002E-4</v>
      </c>
      <c r="F46">
        <v>9.7999999999999997E-3</v>
      </c>
      <c r="G46">
        <v>1.3598000000000001E-2</v>
      </c>
      <c r="H46">
        <v>8.5700000000000001E-4</v>
      </c>
      <c r="I46">
        <v>1.6169999999999999E-3</v>
      </c>
      <c r="J46">
        <v>2.8570000000000002E-3</v>
      </c>
      <c r="K46">
        <v>2.3600000000000001E-3</v>
      </c>
      <c r="L46">
        <v>9.3290000000000005E-3</v>
      </c>
      <c r="M46">
        <v>0</v>
      </c>
      <c r="N46">
        <v>9.3609999999999995E-3</v>
      </c>
      <c r="O46">
        <v>1.9100000000000001E-4</v>
      </c>
      <c r="P46">
        <v>2.647E-3</v>
      </c>
      <c r="Q46">
        <v>3.9999999999999998E-6</v>
      </c>
      <c r="R46">
        <v>1.0962E-2</v>
      </c>
      <c r="S46">
        <v>6.2490000000000002E-3</v>
      </c>
      <c r="T46">
        <v>3.663E-3</v>
      </c>
      <c r="U46">
        <v>1.5521E-2</v>
      </c>
      <c r="V46">
        <v>3.7239999999999999E-3</v>
      </c>
      <c r="W46">
        <v>5.7159999999999997E-3</v>
      </c>
      <c r="X46">
        <v>2.7880000000000001E-3</v>
      </c>
      <c r="Y46">
        <v>4.2709999999999996E-3</v>
      </c>
      <c r="Z46">
        <v>2.493E-3</v>
      </c>
      <c r="AA46">
        <v>3.5539999999999999E-3</v>
      </c>
      <c r="AB46">
        <v>3.8660000000000001E-3</v>
      </c>
      <c r="AC46">
        <v>5.6389999999999999E-3</v>
      </c>
      <c r="AD46">
        <v>1.8952E-2</v>
      </c>
      <c r="AE46">
        <v>8.4670000000000006E-3</v>
      </c>
      <c r="AF46">
        <v>2.5769999999999999E-3</v>
      </c>
      <c r="AG46">
        <v>1.25E-3</v>
      </c>
      <c r="AH46">
        <v>3.666E-3</v>
      </c>
      <c r="AI46">
        <v>5.0920000000000002E-3</v>
      </c>
      <c r="AJ46">
        <v>1.9050000000000001E-2</v>
      </c>
      <c r="AK46">
        <v>4.6990000000000001E-3</v>
      </c>
      <c r="AL46">
        <v>3.3969999999999998E-3</v>
      </c>
      <c r="AM46">
        <v>1.5358E-2</v>
      </c>
      <c r="AN46">
        <v>4.5710000000000004E-3</v>
      </c>
      <c r="AO46">
        <v>1.9239999999999999E-3</v>
      </c>
      <c r="AP46">
        <v>3.29E-3</v>
      </c>
      <c r="AQ46">
        <v>5.7650000000000002E-3</v>
      </c>
      <c r="AR46">
        <v>7.2900000000000005E-4</v>
      </c>
      <c r="AS46">
        <v>5.1460000000000004E-3</v>
      </c>
      <c r="AT46">
        <v>6.0720000000000001E-3</v>
      </c>
      <c r="AU46">
        <v>1.4713E-2</v>
      </c>
      <c r="AV46">
        <v>7.8711000000000003E-2</v>
      </c>
      <c r="AW46">
        <v>3.0370000000000001E-2</v>
      </c>
      <c r="AX46">
        <v>1.1613999999999999E-2</v>
      </c>
      <c r="AY46">
        <v>1.6816999999999999E-2</v>
      </c>
      <c r="AZ46">
        <v>9.1500000000000001E-4</v>
      </c>
      <c r="BA46">
        <v>1.954E-3</v>
      </c>
      <c r="BB46">
        <v>2.4320000000000001E-3</v>
      </c>
      <c r="BC46">
        <v>5.0000000000000001E-3</v>
      </c>
    </row>
    <row r="47" spans="1:55">
      <c r="A47" t="s">
        <v>47</v>
      </c>
      <c r="B47">
        <v>2.34E-4</v>
      </c>
      <c r="C47">
        <v>5.7899999999999998E-4</v>
      </c>
      <c r="D47">
        <v>2.4499999999999999E-4</v>
      </c>
      <c r="E47">
        <v>1.21E-4</v>
      </c>
      <c r="F47">
        <v>6.4999999999999997E-4</v>
      </c>
      <c r="G47">
        <v>0</v>
      </c>
      <c r="H47">
        <v>0</v>
      </c>
      <c r="I47">
        <v>4.7699999999999999E-4</v>
      </c>
      <c r="J47">
        <v>6.4000000000000005E-4</v>
      </c>
      <c r="K47">
        <v>3.0860000000000002E-3</v>
      </c>
      <c r="L47">
        <v>1.402E-3</v>
      </c>
      <c r="M47">
        <v>0</v>
      </c>
      <c r="N47">
        <v>1.3569999999999999E-3</v>
      </c>
      <c r="O47">
        <v>1.93E-4</v>
      </c>
      <c r="P47">
        <v>1.2E-4</v>
      </c>
      <c r="Q47">
        <v>0</v>
      </c>
      <c r="R47">
        <v>0</v>
      </c>
      <c r="S47">
        <v>2.3410000000000002E-3</v>
      </c>
      <c r="T47">
        <v>1.593E-3</v>
      </c>
      <c r="U47">
        <v>6.3599999999999996E-4</v>
      </c>
      <c r="V47">
        <v>7.6099999999999996E-4</v>
      </c>
      <c r="W47">
        <v>2.9300000000000002E-4</v>
      </c>
      <c r="X47">
        <v>5.0000000000000004E-6</v>
      </c>
      <c r="Y47">
        <v>2.4699999999999999E-4</v>
      </c>
      <c r="Z47">
        <v>1.1E-5</v>
      </c>
      <c r="AA47">
        <v>2.3800000000000001E-4</v>
      </c>
      <c r="AB47">
        <v>2.5799999999999998E-3</v>
      </c>
      <c r="AC47">
        <v>1.5E-5</v>
      </c>
      <c r="AD47">
        <v>9.4700000000000003E-4</v>
      </c>
      <c r="AE47">
        <v>4.3999999999999999E-5</v>
      </c>
      <c r="AF47">
        <v>8.2000000000000001E-5</v>
      </c>
      <c r="AG47">
        <v>3.0000000000000001E-6</v>
      </c>
      <c r="AH47">
        <v>1.1709999999999999E-3</v>
      </c>
      <c r="AI47">
        <v>5.561E-3</v>
      </c>
      <c r="AJ47">
        <v>2.3110000000000001E-3</v>
      </c>
      <c r="AK47">
        <v>1.9900000000000001E-4</v>
      </c>
      <c r="AL47">
        <v>2.3900000000000001E-4</v>
      </c>
      <c r="AM47">
        <v>8.5520000000000006E-3</v>
      </c>
      <c r="AN47">
        <v>1.3646999999999999E-2</v>
      </c>
      <c r="AO47">
        <v>4.5909999999999996E-3</v>
      </c>
      <c r="AP47">
        <v>7.9509999999999997E-3</v>
      </c>
      <c r="AQ47">
        <v>8.6200000000000003E-4</v>
      </c>
      <c r="AR47">
        <v>4.8299999999999998E-4</v>
      </c>
      <c r="AS47">
        <v>1.7520000000000001E-3</v>
      </c>
      <c r="AT47">
        <v>6.241E-3</v>
      </c>
      <c r="AU47">
        <v>1.0292000000000001E-2</v>
      </c>
      <c r="AV47">
        <v>1.1785E-2</v>
      </c>
      <c r="AW47">
        <v>2.4275999999999999E-2</v>
      </c>
      <c r="AX47">
        <v>1.65E-3</v>
      </c>
      <c r="AY47">
        <v>4.5329999999999997E-3</v>
      </c>
      <c r="AZ47">
        <v>1.867E-3</v>
      </c>
      <c r="BA47">
        <v>5.04E-4</v>
      </c>
      <c r="BB47">
        <v>2.3180000000000002E-3</v>
      </c>
      <c r="BC47">
        <v>4.4200000000000001E-4</v>
      </c>
    </row>
    <row r="48" spans="1:55">
      <c r="A48" t="s">
        <v>48</v>
      </c>
      <c r="B48">
        <v>1.2780000000000001E-3</v>
      </c>
      <c r="C48">
        <v>5.0939999999999996E-3</v>
      </c>
      <c r="D48">
        <v>5.1500000000000005E-4</v>
      </c>
      <c r="E48">
        <v>5.5000000000000002E-5</v>
      </c>
      <c r="F48">
        <v>1.585E-3</v>
      </c>
      <c r="G48">
        <v>5.2599999999999999E-4</v>
      </c>
      <c r="H48">
        <v>1.01E-4</v>
      </c>
      <c r="I48">
        <v>5.9400000000000002E-4</v>
      </c>
      <c r="J48">
        <v>3.3500000000000001E-4</v>
      </c>
      <c r="K48">
        <v>3.7599999999999998E-4</v>
      </c>
      <c r="L48">
        <v>1.1479999999999999E-3</v>
      </c>
      <c r="M48">
        <v>0</v>
      </c>
      <c r="N48">
        <v>9.1000000000000003E-5</v>
      </c>
      <c r="O48">
        <v>6.9999999999999999E-6</v>
      </c>
      <c r="P48">
        <v>2.22E-4</v>
      </c>
      <c r="Q48">
        <v>0</v>
      </c>
      <c r="R48">
        <v>3.643E-3</v>
      </c>
      <c r="S48">
        <v>5.1110000000000001E-3</v>
      </c>
      <c r="T48">
        <v>1.0139999999999999E-3</v>
      </c>
      <c r="U48">
        <v>3.9690000000000003E-3</v>
      </c>
      <c r="V48">
        <v>1.067E-3</v>
      </c>
      <c r="W48">
        <v>7.5699999999999997E-4</v>
      </c>
      <c r="X48">
        <v>2.5799999999999998E-4</v>
      </c>
      <c r="Y48">
        <v>3.5799999999999997E-4</v>
      </c>
      <c r="Z48">
        <v>1.4369999999999999E-3</v>
      </c>
      <c r="AA48">
        <v>5.8200000000000005E-4</v>
      </c>
      <c r="AB48">
        <v>2.1080000000000001E-3</v>
      </c>
      <c r="AC48">
        <v>6.0000000000000002E-6</v>
      </c>
      <c r="AD48">
        <v>3.078E-3</v>
      </c>
      <c r="AE48">
        <v>4.0790000000000002E-3</v>
      </c>
      <c r="AF48">
        <v>1.9999999999999999E-6</v>
      </c>
      <c r="AG48">
        <v>4.08E-4</v>
      </c>
      <c r="AH48">
        <v>4.75E-4</v>
      </c>
      <c r="AI48">
        <v>7.5760000000000003E-3</v>
      </c>
      <c r="AJ48">
        <v>5.3340000000000002E-3</v>
      </c>
      <c r="AK48">
        <v>3.0000000000000001E-6</v>
      </c>
      <c r="AL48">
        <v>1.477E-3</v>
      </c>
      <c r="AM48">
        <v>2.444E-3</v>
      </c>
      <c r="AN48">
        <v>7.9999999999999996E-6</v>
      </c>
      <c r="AO48">
        <v>8.0000000000000004E-4</v>
      </c>
      <c r="AP48">
        <v>2.2659999999999998E-3</v>
      </c>
      <c r="AQ48">
        <v>1.405E-3</v>
      </c>
      <c r="AR48">
        <v>5.6800000000000004E-4</v>
      </c>
      <c r="AS48">
        <v>1.8500000000000001E-3</v>
      </c>
      <c r="AT48">
        <v>5.1900000000000004E-4</v>
      </c>
      <c r="AU48">
        <v>3.5458000000000003E-2</v>
      </c>
      <c r="AV48">
        <v>6.2338999999999999E-2</v>
      </c>
      <c r="AW48">
        <v>2.2196E-2</v>
      </c>
      <c r="AX48">
        <v>3.542E-3</v>
      </c>
      <c r="AY48">
        <v>1.0187999999999999E-2</v>
      </c>
      <c r="AZ48">
        <v>1.256E-3</v>
      </c>
      <c r="BA48">
        <v>1.6800000000000001E-3</v>
      </c>
      <c r="BB48">
        <v>2.8149999999999998E-3</v>
      </c>
      <c r="BC48">
        <v>2.49E-3</v>
      </c>
    </row>
    <row r="49" spans="1:55">
      <c r="A49" t="s">
        <v>49</v>
      </c>
      <c r="B49">
        <v>3.9999999999999998E-6</v>
      </c>
      <c r="C49">
        <v>9.9999999999999995E-7</v>
      </c>
      <c r="D49">
        <v>1.13E-4</v>
      </c>
      <c r="E49">
        <v>2.5300000000000002E-4</v>
      </c>
      <c r="F49">
        <v>4.6E-5</v>
      </c>
      <c r="G49">
        <v>3.9999999999999998E-6</v>
      </c>
      <c r="H49">
        <v>0</v>
      </c>
      <c r="I49">
        <v>9.9999999999999995E-7</v>
      </c>
      <c r="J49">
        <v>9.9999999999999995E-7</v>
      </c>
      <c r="K49">
        <v>9.9999999999999995E-7</v>
      </c>
      <c r="L49">
        <v>3.0000000000000001E-6</v>
      </c>
      <c r="M49">
        <v>0</v>
      </c>
      <c r="N49">
        <v>0</v>
      </c>
      <c r="O49">
        <v>0</v>
      </c>
      <c r="P49">
        <v>9.9999999999999995E-7</v>
      </c>
      <c r="Q49">
        <v>0</v>
      </c>
      <c r="R49">
        <v>2.0999999999999999E-5</v>
      </c>
      <c r="S49">
        <v>3.0000000000000001E-6</v>
      </c>
      <c r="T49">
        <v>9.9999999999999995E-7</v>
      </c>
      <c r="U49">
        <v>9.9999999999999995E-7</v>
      </c>
      <c r="V49">
        <v>9.9999999999999995E-7</v>
      </c>
      <c r="W49">
        <v>9.9999999999999995E-7</v>
      </c>
      <c r="X49">
        <v>9.9999999999999995E-7</v>
      </c>
      <c r="Y49">
        <v>1.9999999999999999E-6</v>
      </c>
      <c r="Z49">
        <v>1.9999999999999999E-6</v>
      </c>
      <c r="AA49">
        <v>9.9999999999999995E-7</v>
      </c>
      <c r="AB49">
        <v>2.1999999999999999E-5</v>
      </c>
      <c r="AC49">
        <v>0</v>
      </c>
      <c r="AD49">
        <v>9.9999999999999995E-7</v>
      </c>
      <c r="AE49">
        <v>0</v>
      </c>
      <c r="AF49">
        <v>0</v>
      </c>
      <c r="AG49">
        <v>9.9999999999999995E-7</v>
      </c>
      <c r="AH49">
        <v>9.9999999999999995E-7</v>
      </c>
      <c r="AI49">
        <v>1.8E-5</v>
      </c>
      <c r="AJ49">
        <v>6.9999999999999999E-6</v>
      </c>
      <c r="AK49">
        <v>1.0000000000000001E-5</v>
      </c>
      <c r="AL49">
        <v>5.0000000000000004E-6</v>
      </c>
      <c r="AM49">
        <v>1.8E-5</v>
      </c>
      <c r="AN49">
        <v>3.8000000000000002E-5</v>
      </c>
      <c r="AO49">
        <v>1.2E-5</v>
      </c>
      <c r="AP49">
        <v>2.0000000000000002E-5</v>
      </c>
      <c r="AQ49">
        <v>3.0000000000000001E-6</v>
      </c>
      <c r="AR49">
        <v>0</v>
      </c>
      <c r="AS49">
        <v>1.4E-5</v>
      </c>
      <c r="AT49">
        <v>6.0000000000000002E-6</v>
      </c>
      <c r="AU49">
        <v>1.27E-4</v>
      </c>
      <c r="AV49">
        <v>6.0999999999999999E-5</v>
      </c>
      <c r="AW49">
        <v>2.99E-4</v>
      </c>
      <c r="AX49">
        <v>3.0000000000000001E-6</v>
      </c>
      <c r="AY49">
        <v>3.6000000000000001E-5</v>
      </c>
      <c r="AZ49">
        <v>9.9999999999999995E-7</v>
      </c>
      <c r="BA49">
        <v>9.9999999999999995E-7</v>
      </c>
      <c r="BB49">
        <v>3.9999999999999998E-6</v>
      </c>
      <c r="BC49">
        <v>1.9999999999999999E-6</v>
      </c>
    </row>
    <row r="50" spans="1:55">
      <c r="A50" t="s">
        <v>50</v>
      </c>
      <c r="B50">
        <v>0</v>
      </c>
      <c r="C50">
        <v>0</v>
      </c>
      <c r="D50">
        <v>0</v>
      </c>
      <c r="E50">
        <v>0</v>
      </c>
      <c r="F50">
        <v>0</v>
      </c>
      <c r="G50">
        <v>0</v>
      </c>
      <c r="H50">
        <v>0</v>
      </c>
      <c r="I50">
        <v>0</v>
      </c>
      <c r="J50">
        <v>0</v>
      </c>
      <c r="K50">
        <v>4.8999999999999998E-4</v>
      </c>
      <c r="L50">
        <v>5.5589999999999997E-3</v>
      </c>
      <c r="M50">
        <v>0</v>
      </c>
      <c r="N50">
        <v>1.4239999999999999E-3</v>
      </c>
      <c r="O50">
        <v>2.2900000000000001E-4</v>
      </c>
      <c r="P50">
        <v>3.6699999999999998E-4</v>
      </c>
      <c r="Q50">
        <v>0</v>
      </c>
      <c r="R50">
        <v>2.0760000000000002E-3</v>
      </c>
      <c r="S50">
        <v>3.8860000000000001E-3</v>
      </c>
      <c r="T50">
        <v>9.9500000000000001E-4</v>
      </c>
      <c r="U50">
        <v>2.3909999999999999E-3</v>
      </c>
      <c r="V50">
        <v>7.6599999999999997E-4</v>
      </c>
      <c r="W50">
        <v>1.65E-3</v>
      </c>
      <c r="X50">
        <v>1.237E-3</v>
      </c>
      <c r="Y50">
        <v>1.3680000000000001E-3</v>
      </c>
      <c r="Z50">
        <v>2.5439999999999998E-3</v>
      </c>
      <c r="AA50">
        <v>0</v>
      </c>
      <c r="AB50">
        <v>2.7859999999999998E-3</v>
      </c>
      <c r="AC50">
        <v>5.0049999999999999E-3</v>
      </c>
      <c r="AD50">
        <v>1.9680000000000001E-3</v>
      </c>
      <c r="AE50">
        <v>0</v>
      </c>
      <c r="AF50">
        <v>0</v>
      </c>
      <c r="AG50">
        <v>3.852E-3</v>
      </c>
      <c r="AH50">
        <v>1.338E-3</v>
      </c>
      <c r="AI50">
        <v>1.7569999999999999E-2</v>
      </c>
      <c r="AJ50">
        <v>1.9816E-2</v>
      </c>
      <c r="AK50">
        <v>1.1875999999999999E-2</v>
      </c>
      <c r="AL50">
        <v>1.9819999999999998E-3</v>
      </c>
      <c r="AM50">
        <v>2.6159999999999998E-3</v>
      </c>
      <c r="AN50">
        <v>6.8869999999999999E-3</v>
      </c>
      <c r="AO50">
        <v>2.8649999999999999E-3</v>
      </c>
      <c r="AP50">
        <v>4.8329999999999996E-3</v>
      </c>
      <c r="AQ50">
        <v>1.591E-3</v>
      </c>
      <c r="AR50">
        <v>8.5300000000000003E-4</v>
      </c>
      <c r="AS50">
        <v>6.6290000000000003E-3</v>
      </c>
      <c r="AT50">
        <v>5.287E-3</v>
      </c>
      <c r="AU50">
        <v>7.4089999999999998E-3</v>
      </c>
      <c r="AV50">
        <v>4.1099999999999999E-3</v>
      </c>
      <c r="AW50">
        <v>6.875E-3</v>
      </c>
      <c r="AX50">
        <v>1.848E-3</v>
      </c>
      <c r="AY50">
        <v>1.0288E-2</v>
      </c>
      <c r="AZ50">
        <v>2.0110000000000002E-3</v>
      </c>
      <c r="BA50">
        <v>9.6699999999999998E-3</v>
      </c>
      <c r="BB50">
        <v>4.8139999999999997E-3</v>
      </c>
      <c r="BC50">
        <v>1.1540999999999999E-2</v>
      </c>
    </row>
    <row r="51" spans="1:55">
      <c r="A51" t="s">
        <v>51</v>
      </c>
      <c r="B51">
        <v>2.8600000000000001E-4</v>
      </c>
      <c r="C51">
        <v>4.0999999999999999E-4</v>
      </c>
      <c r="D51">
        <v>6.3530000000000001E-3</v>
      </c>
      <c r="E51">
        <v>1.1329999999999999E-3</v>
      </c>
      <c r="F51">
        <v>4.6999999999999997E-5</v>
      </c>
      <c r="G51">
        <v>2.4160000000000002E-3</v>
      </c>
      <c r="H51">
        <v>6.0000000000000002E-5</v>
      </c>
      <c r="I51">
        <v>6.8900000000000005E-4</v>
      </c>
      <c r="J51">
        <v>2.1800000000000001E-4</v>
      </c>
      <c r="K51">
        <v>1.013E-3</v>
      </c>
      <c r="L51">
        <v>7.2300000000000001E-4</v>
      </c>
      <c r="M51">
        <v>0</v>
      </c>
      <c r="N51">
        <v>4.8899999999999996E-4</v>
      </c>
      <c r="O51">
        <v>1.7799999999999999E-4</v>
      </c>
      <c r="P51">
        <v>1.01E-4</v>
      </c>
      <c r="Q51">
        <v>3.9999999999999998E-6</v>
      </c>
      <c r="R51">
        <v>5.8E-4</v>
      </c>
      <c r="S51">
        <v>7.8899999999999999E-4</v>
      </c>
      <c r="T51">
        <v>4.0400000000000001E-4</v>
      </c>
      <c r="U51">
        <v>6.6E-4</v>
      </c>
      <c r="V51">
        <v>1.92E-4</v>
      </c>
      <c r="W51">
        <v>2.34E-4</v>
      </c>
      <c r="X51">
        <v>4.9700000000000005E-4</v>
      </c>
      <c r="Y51">
        <v>2.2499999999999999E-4</v>
      </c>
      <c r="Z51">
        <v>4.5100000000000001E-4</v>
      </c>
      <c r="AA51">
        <v>1.66E-4</v>
      </c>
      <c r="AB51">
        <v>1.14E-3</v>
      </c>
      <c r="AC51">
        <v>8.3699999999999996E-4</v>
      </c>
      <c r="AD51">
        <v>4.44E-4</v>
      </c>
      <c r="AE51">
        <v>1.9889999999999999E-3</v>
      </c>
      <c r="AF51">
        <v>3.1799999999999998E-4</v>
      </c>
      <c r="AG51">
        <v>6.3000000000000003E-4</v>
      </c>
      <c r="AH51">
        <v>6.5700000000000003E-4</v>
      </c>
      <c r="AI51">
        <v>1.5430000000000001E-3</v>
      </c>
      <c r="AJ51">
        <v>9.5500000000000001E-4</v>
      </c>
      <c r="AK51">
        <v>1.23E-3</v>
      </c>
      <c r="AL51">
        <v>1.779E-3</v>
      </c>
      <c r="AM51">
        <v>3.2230000000000002E-3</v>
      </c>
      <c r="AN51">
        <v>1.9949999999999998E-3</v>
      </c>
      <c r="AO51">
        <v>3.6570000000000001E-3</v>
      </c>
      <c r="AP51">
        <v>2.032E-3</v>
      </c>
      <c r="AQ51">
        <v>5.1999999999999995E-4</v>
      </c>
      <c r="AR51">
        <v>1.5799999999999999E-4</v>
      </c>
      <c r="AS51">
        <v>1.0269999999999999E-3</v>
      </c>
      <c r="AT51">
        <v>3.3790000000000001E-3</v>
      </c>
      <c r="AU51">
        <v>2.8649999999999999E-3</v>
      </c>
      <c r="AV51">
        <v>1.892E-3</v>
      </c>
      <c r="AW51">
        <v>1.5690000000000001E-3</v>
      </c>
      <c r="AX51">
        <v>8.8099999999999995E-4</v>
      </c>
      <c r="AY51">
        <v>2.4620000000000002E-3</v>
      </c>
      <c r="AZ51">
        <v>2.6459999999999999E-3</v>
      </c>
      <c r="BA51">
        <v>1.598E-3</v>
      </c>
      <c r="BB51">
        <v>3.0600000000000001E-4</v>
      </c>
      <c r="BC51">
        <v>5.1199999999999998E-4</v>
      </c>
    </row>
    <row r="52" spans="1:55">
      <c r="A52" t="s">
        <v>52</v>
      </c>
      <c r="B52">
        <v>0</v>
      </c>
      <c r="C52">
        <v>0</v>
      </c>
      <c r="D52">
        <v>0</v>
      </c>
      <c r="E52">
        <v>0</v>
      </c>
      <c r="F52">
        <v>6.7599999999999995E-4</v>
      </c>
      <c r="G52">
        <v>0</v>
      </c>
      <c r="H52">
        <v>0</v>
      </c>
      <c r="I52">
        <v>0</v>
      </c>
      <c r="J52">
        <v>0</v>
      </c>
      <c r="K52">
        <v>2.9750000000000002E-3</v>
      </c>
      <c r="L52">
        <v>5.0759999999999998E-3</v>
      </c>
      <c r="M52">
        <v>0</v>
      </c>
      <c r="N52">
        <v>0</v>
      </c>
      <c r="O52">
        <v>4.9299999999999995E-4</v>
      </c>
      <c r="P52">
        <v>2.8600000000000001E-4</v>
      </c>
      <c r="Q52">
        <v>0</v>
      </c>
      <c r="R52">
        <v>2.9350000000000001E-3</v>
      </c>
      <c r="S52">
        <v>0</v>
      </c>
      <c r="T52">
        <v>0</v>
      </c>
      <c r="U52">
        <v>3.8470000000000002E-3</v>
      </c>
      <c r="V52">
        <v>1.485E-3</v>
      </c>
      <c r="W52">
        <v>2.4489999999999998E-3</v>
      </c>
      <c r="X52">
        <v>0</v>
      </c>
      <c r="Y52">
        <v>0</v>
      </c>
      <c r="Z52">
        <v>0</v>
      </c>
      <c r="AA52">
        <v>0</v>
      </c>
      <c r="AB52">
        <v>6.437E-3</v>
      </c>
      <c r="AC52">
        <v>0</v>
      </c>
      <c r="AD52">
        <v>0</v>
      </c>
      <c r="AE52">
        <v>1.155E-3</v>
      </c>
      <c r="AF52">
        <v>3.9999999999999998E-6</v>
      </c>
      <c r="AG52">
        <v>2.1798000000000001E-2</v>
      </c>
      <c r="AH52">
        <v>4.5880000000000001E-3</v>
      </c>
      <c r="AI52">
        <v>1.21E-4</v>
      </c>
      <c r="AJ52">
        <v>1.08E-4</v>
      </c>
      <c r="AK52">
        <v>0.197217</v>
      </c>
      <c r="AL52">
        <v>1.691E-3</v>
      </c>
      <c r="AM52">
        <v>5.4850000000000003E-3</v>
      </c>
      <c r="AN52">
        <v>2.0929999999999998E-3</v>
      </c>
      <c r="AO52">
        <v>2.1949999999999999E-3</v>
      </c>
      <c r="AP52">
        <v>1.22E-4</v>
      </c>
      <c r="AQ52">
        <v>1.851E-3</v>
      </c>
      <c r="AR52">
        <v>2.5119999999999999E-3</v>
      </c>
      <c r="AS52">
        <v>2.4754000000000002E-2</v>
      </c>
      <c r="AT52">
        <v>2.5630000000000002E-3</v>
      </c>
      <c r="AU52">
        <v>5.4219999999999997E-3</v>
      </c>
      <c r="AV52">
        <v>3.614E-3</v>
      </c>
      <c r="AW52">
        <v>8.4599999999999996E-4</v>
      </c>
      <c r="AX52">
        <v>8.9759999999999996E-3</v>
      </c>
      <c r="AY52">
        <v>7.3239999999999998E-3</v>
      </c>
      <c r="AZ52">
        <v>3.2620000000000001E-3</v>
      </c>
      <c r="BA52">
        <v>1.812E-3</v>
      </c>
      <c r="BB52">
        <v>2.1559999999999999E-3</v>
      </c>
      <c r="BC52">
        <v>8.3999999999999995E-5</v>
      </c>
    </row>
    <row r="53" spans="1:55">
      <c r="A53" t="s">
        <v>53</v>
      </c>
      <c r="B53">
        <v>6.0000000000000002E-6</v>
      </c>
      <c r="C53">
        <v>1.0000000000000001E-5</v>
      </c>
      <c r="D53">
        <v>0</v>
      </c>
      <c r="E53">
        <v>0</v>
      </c>
      <c r="F53">
        <v>1.9999999999999999E-6</v>
      </c>
      <c r="G53">
        <v>1.8E-5</v>
      </c>
      <c r="H53">
        <v>1.1E-5</v>
      </c>
      <c r="I53">
        <v>3.9999999999999998E-6</v>
      </c>
      <c r="J53">
        <v>5.0000000000000004E-6</v>
      </c>
      <c r="K53">
        <v>1.2E-5</v>
      </c>
      <c r="L53">
        <v>1.2799999999999999E-4</v>
      </c>
      <c r="M53">
        <v>0</v>
      </c>
      <c r="N53">
        <v>1.0000000000000001E-5</v>
      </c>
      <c r="O53">
        <v>6.9999999999999999E-6</v>
      </c>
      <c r="P53">
        <v>3.0000000000000001E-5</v>
      </c>
      <c r="Q53">
        <v>9.0000000000000002E-6</v>
      </c>
      <c r="R53">
        <v>1.37E-4</v>
      </c>
      <c r="S53">
        <v>7.7999999999999999E-5</v>
      </c>
      <c r="T53">
        <v>4.1E-5</v>
      </c>
      <c r="U53">
        <v>1.9900000000000001E-4</v>
      </c>
      <c r="V53">
        <v>7.7999999999999999E-5</v>
      </c>
      <c r="W53">
        <v>4.8000000000000001E-5</v>
      </c>
      <c r="X53">
        <v>1.07E-4</v>
      </c>
      <c r="Y53">
        <v>8.6000000000000003E-5</v>
      </c>
      <c r="Z53">
        <v>5.8999999999999998E-5</v>
      </c>
      <c r="AA53">
        <v>6.7000000000000002E-5</v>
      </c>
      <c r="AB53">
        <v>1.16E-4</v>
      </c>
      <c r="AC53">
        <v>3.6999999999999998E-5</v>
      </c>
      <c r="AD53">
        <v>4.6E-5</v>
      </c>
      <c r="AE53">
        <v>5.8999999999999998E-5</v>
      </c>
      <c r="AF53">
        <v>1.0000000000000001E-5</v>
      </c>
      <c r="AG53">
        <v>8.3999999999999995E-5</v>
      </c>
      <c r="AH53">
        <v>1.9599999999999999E-4</v>
      </c>
      <c r="AI53">
        <v>4.8999999999999998E-5</v>
      </c>
      <c r="AJ53">
        <v>2.8800000000000001E-4</v>
      </c>
      <c r="AK53">
        <v>8.7000000000000001E-4</v>
      </c>
      <c r="AL53">
        <v>1.12E-4</v>
      </c>
      <c r="AM53">
        <v>2.8E-5</v>
      </c>
      <c r="AN53">
        <v>1.1E-4</v>
      </c>
      <c r="AO53">
        <v>1.8900000000000001E-4</v>
      </c>
      <c r="AP53">
        <v>2.6899999999999998E-4</v>
      </c>
      <c r="AQ53">
        <v>2.5099999999999998E-4</v>
      </c>
      <c r="AR53">
        <v>2.6999999999999999E-5</v>
      </c>
      <c r="AS53">
        <v>2.81E-4</v>
      </c>
      <c r="AT53">
        <v>6.3870000000000003E-3</v>
      </c>
      <c r="AU53">
        <v>1.059E-3</v>
      </c>
      <c r="AV53">
        <v>5.0299999999999997E-4</v>
      </c>
      <c r="AW53">
        <v>4.6700000000000002E-4</v>
      </c>
      <c r="AX53">
        <v>3.9999999999999998E-6</v>
      </c>
      <c r="AY53">
        <v>2.03E-4</v>
      </c>
      <c r="AZ53">
        <v>4.0499999999999998E-4</v>
      </c>
      <c r="BA53">
        <v>2.3319999999999999E-3</v>
      </c>
      <c r="BB53">
        <v>6.0300000000000002E-4</v>
      </c>
      <c r="BC53">
        <v>9.6599999999999995E-4</v>
      </c>
    </row>
    <row r="54" spans="1:55">
      <c r="A54" t="s">
        <v>54</v>
      </c>
      <c r="B54">
        <v>7.7999999999999999E-4</v>
      </c>
      <c r="C54">
        <v>9.0200000000000002E-4</v>
      </c>
      <c r="D54">
        <v>1.2160000000000001E-3</v>
      </c>
      <c r="E54">
        <v>1.4009999999999999E-3</v>
      </c>
      <c r="F54">
        <v>6.7000000000000002E-5</v>
      </c>
      <c r="G54">
        <v>3.1199999999999999E-4</v>
      </c>
      <c r="H54">
        <v>5.8E-5</v>
      </c>
      <c r="I54">
        <v>3.9999999999999998E-6</v>
      </c>
      <c r="J54">
        <v>2.3E-5</v>
      </c>
      <c r="K54">
        <v>1.35E-4</v>
      </c>
      <c r="L54">
        <v>1.3100000000000001E-4</v>
      </c>
      <c r="M54">
        <v>0</v>
      </c>
      <c r="N54">
        <v>1.0139999999999999E-3</v>
      </c>
      <c r="O54">
        <v>1.1E-5</v>
      </c>
      <c r="P54">
        <v>6.0000000000000002E-5</v>
      </c>
      <c r="Q54">
        <v>0</v>
      </c>
      <c r="R54">
        <v>1.828E-3</v>
      </c>
      <c r="S54">
        <v>1.1900000000000001E-3</v>
      </c>
      <c r="T54">
        <v>6.0700000000000001E-4</v>
      </c>
      <c r="U54">
        <v>2.0249999999999999E-3</v>
      </c>
      <c r="V54">
        <v>2.7690000000000002E-3</v>
      </c>
      <c r="W54">
        <v>2.8869999999999998E-3</v>
      </c>
      <c r="X54">
        <v>5.9900000000000003E-4</v>
      </c>
      <c r="Y54">
        <v>1.4170000000000001E-3</v>
      </c>
      <c r="Z54">
        <v>7.3099999999999999E-4</v>
      </c>
      <c r="AA54">
        <v>6.0999999999999999E-5</v>
      </c>
      <c r="AB54">
        <v>4.2400000000000001E-4</v>
      </c>
      <c r="AC54">
        <v>7.45E-4</v>
      </c>
      <c r="AD54">
        <v>8.6499999999999999E-4</v>
      </c>
      <c r="AE54">
        <v>2.9E-5</v>
      </c>
      <c r="AF54">
        <v>1.9999999999999999E-6</v>
      </c>
      <c r="AG54">
        <v>1.451E-3</v>
      </c>
      <c r="AH54">
        <v>2.9599999999999998E-4</v>
      </c>
      <c r="AI54">
        <v>4.7100000000000001E-4</v>
      </c>
      <c r="AJ54">
        <v>3.3500000000000001E-4</v>
      </c>
      <c r="AK54">
        <v>2.1000000000000001E-4</v>
      </c>
      <c r="AL54">
        <v>4.0000000000000003E-5</v>
      </c>
      <c r="AM54">
        <v>5.6700000000000001E-4</v>
      </c>
      <c r="AN54">
        <v>1.124E-3</v>
      </c>
      <c r="AO54">
        <v>1.4300000000000001E-4</v>
      </c>
      <c r="AP54">
        <v>7.1500000000000003E-4</v>
      </c>
      <c r="AQ54">
        <v>1.06E-4</v>
      </c>
      <c r="AR54">
        <v>1.2999999999999999E-5</v>
      </c>
      <c r="AS54">
        <v>3.6000000000000001E-5</v>
      </c>
      <c r="AT54">
        <v>6.4999999999999997E-4</v>
      </c>
      <c r="AU54">
        <v>1.591E-3</v>
      </c>
      <c r="AV54">
        <v>1.0900000000000001E-4</v>
      </c>
      <c r="AW54">
        <v>4.7100000000000001E-4</v>
      </c>
      <c r="AX54">
        <v>5.8999999999999998E-5</v>
      </c>
      <c r="AY54">
        <v>4.46E-4</v>
      </c>
      <c r="AZ54">
        <v>9.5000000000000005E-5</v>
      </c>
      <c r="BA54">
        <v>7.4899999999999999E-4</v>
      </c>
      <c r="BB54">
        <v>5.2160000000000002E-3</v>
      </c>
      <c r="BC54">
        <v>2.477E-3</v>
      </c>
    </row>
    <row r="55" spans="1:55">
      <c r="A55" t="s">
        <v>55</v>
      </c>
      <c r="B55">
        <v>2.1519999999999998E-3</v>
      </c>
      <c r="C55">
        <v>5.1180000000000002E-3</v>
      </c>
      <c r="D55">
        <v>2.4600000000000002E-4</v>
      </c>
      <c r="E55">
        <v>2.8200000000000002E-4</v>
      </c>
      <c r="F55">
        <v>4.8999999999999998E-4</v>
      </c>
      <c r="G55">
        <v>5.5870999999999997E-2</v>
      </c>
      <c r="H55">
        <v>3.2699999999999998E-4</v>
      </c>
      <c r="I55">
        <v>5.8100000000000003E-4</v>
      </c>
      <c r="J55">
        <v>2.1499999999999999E-4</v>
      </c>
      <c r="K55">
        <v>3.39E-4</v>
      </c>
      <c r="L55">
        <v>4.75E-4</v>
      </c>
      <c r="M55">
        <v>0</v>
      </c>
      <c r="N55">
        <v>1.37E-4</v>
      </c>
      <c r="O55">
        <v>1.5799999999999999E-4</v>
      </c>
      <c r="P55">
        <v>2.8890000000000001E-3</v>
      </c>
      <c r="Q55">
        <v>4.0000000000000003E-5</v>
      </c>
      <c r="R55">
        <v>1.9530000000000001E-3</v>
      </c>
      <c r="S55">
        <v>9.6400000000000001E-4</v>
      </c>
      <c r="T55">
        <v>3.6299999999999999E-4</v>
      </c>
      <c r="U55">
        <v>1.732E-3</v>
      </c>
      <c r="V55">
        <v>2.9459999999999998E-3</v>
      </c>
      <c r="W55">
        <v>2.2290000000000001E-3</v>
      </c>
      <c r="X55">
        <v>1.242E-3</v>
      </c>
      <c r="Y55">
        <v>1.5679999999999999E-2</v>
      </c>
      <c r="Z55">
        <v>5.2599999999999999E-4</v>
      </c>
      <c r="AA55">
        <v>2.1699999999999999E-4</v>
      </c>
      <c r="AB55">
        <v>1.16E-3</v>
      </c>
      <c r="AC55">
        <v>7.8399999999999997E-4</v>
      </c>
      <c r="AD55">
        <v>7.9000000000000001E-4</v>
      </c>
      <c r="AE55">
        <v>1.11E-4</v>
      </c>
      <c r="AF55">
        <v>4.8999999999999998E-5</v>
      </c>
      <c r="AG55">
        <v>4.2757000000000003E-2</v>
      </c>
      <c r="AH55">
        <v>1.119E-3</v>
      </c>
      <c r="AI55">
        <v>3.908E-3</v>
      </c>
      <c r="AJ55">
        <v>2.0409999999999998E-3</v>
      </c>
      <c r="AK55">
        <v>7.6499999999999995E-4</v>
      </c>
      <c r="AL55">
        <v>1.3829999999999999E-3</v>
      </c>
      <c r="AM55">
        <v>5.4549999999999998E-3</v>
      </c>
      <c r="AN55">
        <v>1.9980000000000002E-3</v>
      </c>
      <c r="AO55">
        <v>2.8389999999999999E-3</v>
      </c>
      <c r="AP55">
        <v>2.3240000000000001E-3</v>
      </c>
      <c r="AQ55">
        <v>4.6350000000000002E-3</v>
      </c>
      <c r="AR55">
        <v>5.3270000000000001E-3</v>
      </c>
      <c r="AS55">
        <v>9.0300000000000005E-4</v>
      </c>
      <c r="AT55">
        <v>4.06E-4</v>
      </c>
      <c r="AU55">
        <v>3.4900000000000003E-4</v>
      </c>
      <c r="AV55">
        <v>3.6000000000000002E-4</v>
      </c>
      <c r="AW55">
        <v>7.6400000000000003E-4</v>
      </c>
      <c r="AX55">
        <v>3.4600000000000001E-4</v>
      </c>
      <c r="AY55">
        <v>3.5439999999999998E-3</v>
      </c>
      <c r="AZ55">
        <v>4.3429999999999996E-3</v>
      </c>
      <c r="BA55">
        <v>4.47E-3</v>
      </c>
      <c r="BB55">
        <v>7.5399999999999998E-3</v>
      </c>
      <c r="BC55">
        <v>2.7234999999999999E-2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C55"/>
  <sheetViews>
    <sheetView topLeftCell="A28" workbookViewId="0"/>
  </sheetViews>
  <sheetFormatPr defaultRowHeight="14.5"/>
  <sheetData>
    <row r="1" spans="1:55" s="1" customFormat="1">
      <c r="A1" s="1" t="s">
        <v>140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c r="AM1" s="1" t="s">
        <v>39</v>
      </c>
      <c r="AN1" s="1" t="s">
        <v>40</v>
      </c>
      <c r="AO1" s="1" t="s">
        <v>41</v>
      </c>
      <c r="AP1" s="1" t="s">
        <v>42</v>
      </c>
      <c r="AQ1" s="1" t="s">
        <v>43</v>
      </c>
      <c r="AR1" s="1" t="s">
        <v>44</v>
      </c>
      <c r="AS1" s="1" t="s">
        <v>45</v>
      </c>
      <c r="AT1" s="1" t="s">
        <v>46</v>
      </c>
      <c r="AU1" s="1" t="s">
        <v>47</v>
      </c>
      <c r="AV1" s="1" t="s">
        <v>48</v>
      </c>
      <c r="AW1" s="1" t="s">
        <v>49</v>
      </c>
      <c r="AX1" s="1" t="s">
        <v>50</v>
      </c>
      <c r="AY1" s="1" t="s">
        <v>51</v>
      </c>
      <c r="AZ1" s="1" t="s">
        <v>52</v>
      </c>
      <c r="BA1" s="1" t="s">
        <v>53</v>
      </c>
      <c r="BB1" s="1" t="s">
        <v>54</v>
      </c>
      <c r="BC1" s="1" t="s">
        <v>55</v>
      </c>
    </row>
    <row r="2" spans="1:55">
      <c r="A2" t="s">
        <v>2</v>
      </c>
      <c r="B2">
        <v>5.9490000000000001E-2</v>
      </c>
      <c r="C2">
        <v>0</v>
      </c>
      <c r="D2">
        <v>0</v>
      </c>
      <c r="E2">
        <v>0</v>
      </c>
      <c r="F2">
        <v>0</v>
      </c>
      <c r="G2">
        <v>5.3999999999999998E-5</v>
      </c>
      <c r="H2">
        <v>0</v>
      </c>
      <c r="I2">
        <v>0</v>
      </c>
      <c r="J2">
        <v>1.2390000000000001E-3</v>
      </c>
      <c r="K2">
        <v>0</v>
      </c>
      <c r="L2">
        <v>0</v>
      </c>
      <c r="M2">
        <v>0</v>
      </c>
      <c r="N2">
        <v>0</v>
      </c>
      <c r="O2">
        <v>0</v>
      </c>
      <c r="P2">
        <v>9.8900000000000002E-2</v>
      </c>
      <c r="Q2">
        <v>0</v>
      </c>
      <c r="R2">
        <v>0</v>
      </c>
      <c r="S2">
        <v>0</v>
      </c>
      <c r="T2">
        <v>0</v>
      </c>
      <c r="U2">
        <v>0</v>
      </c>
      <c r="V2">
        <v>2.34E-4</v>
      </c>
      <c r="W2">
        <v>0</v>
      </c>
      <c r="X2">
        <v>5.8399999999999999E-4</v>
      </c>
      <c r="Y2">
        <v>0</v>
      </c>
      <c r="Z2">
        <v>0</v>
      </c>
      <c r="AA2">
        <v>0</v>
      </c>
      <c r="AB2">
        <v>0</v>
      </c>
      <c r="AC2">
        <v>0</v>
      </c>
      <c r="AD2">
        <v>0</v>
      </c>
      <c r="AE2">
        <v>0</v>
      </c>
      <c r="AF2">
        <v>0</v>
      </c>
      <c r="AG2">
        <v>0</v>
      </c>
      <c r="AH2">
        <v>0</v>
      </c>
      <c r="AI2">
        <v>0</v>
      </c>
      <c r="AJ2">
        <v>0</v>
      </c>
      <c r="AK2">
        <v>0</v>
      </c>
      <c r="AL2">
        <v>0</v>
      </c>
      <c r="AM2">
        <v>0</v>
      </c>
      <c r="AN2">
        <v>0</v>
      </c>
      <c r="AO2">
        <v>0</v>
      </c>
      <c r="AP2">
        <v>0</v>
      </c>
      <c r="AQ2">
        <v>2.6949999999999999E-3</v>
      </c>
      <c r="AR2">
        <v>7.8340000000000007E-3</v>
      </c>
      <c r="AS2">
        <v>0</v>
      </c>
      <c r="AT2">
        <v>0</v>
      </c>
      <c r="AU2">
        <v>0</v>
      </c>
      <c r="AV2">
        <v>0</v>
      </c>
      <c r="AW2">
        <v>0</v>
      </c>
      <c r="AX2">
        <v>0</v>
      </c>
      <c r="AY2">
        <v>0</v>
      </c>
      <c r="AZ2">
        <v>2.8379999999999998E-3</v>
      </c>
      <c r="BA2">
        <v>2.9799999999999998E-4</v>
      </c>
      <c r="BB2">
        <v>1.024E-3</v>
      </c>
      <c r="BC2">
        <v>5.2969999999999996E-3</v>
      </c>
    </row>
    <row r="3" spans="1:55">
      <c r="A3" t="s">
        <v>3</v>
      </c>
      <c r="B3">
        <v>0</v>
      </c>
      <c r="C3">
        <v>1.1165E-2</v>
      </c>
      <c r="D3">
        <v>0</v>
      </c>
      <c r="E3">
        <v>0</v>
      </c>
      <c r="F3">
        <v>1.4E-5</v>
      </c>
      <c r="G3">
        <v>0</v>
      </c>
      <c r="H3">
        <v>0</v>
      </c>
      <c r="I3">
        <v>0</v>
      </c>
      <c r="J3">
        <v>0</v>
      </c>
      <c r="K3">
        <v>0</v>
      </c>
      <c r="L3">
        <v>0</v>
      </c>
      <c r="M3">
        <v>0</v>
      </c>
      <c r="N3">
        <v>0</v>
      </c>
      <c r="O3">
        <v>0</v>
      </c>
      <c r="P3">
        <v>7.2090000000000001E-3</v>
      </c>
      <c r="Q3">
        <v>0</v>
      </c>
      <c r="R3">
        <v>0</v>
      </c>
      <c r="S3">
        <v>0</v>
      </c>
      <c r="T3">
        <v>0</v>
      </c>
      <c r="U3">
        <v>0</v>
      </c>
      <c r="V3">
        <v>4.6200000000000001E-4</v>
      </c>
      <c r="W3">
        <v>0</v>
      </c>
      <c r="X3">
        <v>0</v>
      </c>
      <c r="Y3">
        <v>0</v>
      </c>
      <c r="Z3">
        <v>0</v>
      </c>
      <c r="AA3">
        <v>0</v>
      </c>
      <c r="AB3">
        <v>0</v>
      </c>
      <c r="AC3">
        <v>4.8999999999999998E-5</v>
      </c>
      <c r="AD3">
        <v>0</v>
      </c>
      <c r="AE3">
        <v>3.9999999999999998E-6</v>
      </c>
      <c r="AF3">
        <v>0</v>
      </c>
      <c r="AG3">
        <v>0</v>
      </c>
      <c r="AH3">
        <v>1.85E-4</v>
      </c>
      <c r="AI3">
        <v>0</v>
      </c>
      <c r="AJ3">
        <v>0</v>
      </c>
      <c r="AK3">
        <v>1.0219999999999999E-3</v>
      </c>
      <c r="AL3">
        <v>0</v>
      </c>
      <c r="AM3">
        <v>6.3100000000000005E-4</v>
      </c>
      <c r="AN3">
        <v>0</v>
      </c>
      <c r="AO3">
        <v>1.5529999999999999E-3</v>
      </c>
      <c r="AP3">
        <v>0</v>
      </c>
      <c r="AQ3">
        <v>8.4430000000000009E-3</v>
      </c>
      <c r="AR3">
        <v>1.8501E-2</v>
      </c>
      <c r="AS3">
        <v>0</v>
      </c>
      <c r="AT3">
        <v>2.5000000000000001E-5</v>
      </c>
      <c r="AU3">
        <v>0</v>
      </c>
      <c r="AV3">
        <v>0</v>
      </c>
      <c r="AW3">
        <v>0</v>
      </c>
      <c r="AX3">
        <v>0</v>
      </c>
      <c r="AY3">
        <v>0</v>
      </c>
      <c r="AZ3">
        <v>8.3999999999999995E-5</v>
      </c>
      <c r="BA3">
        <v>1.2300000000000001E-4</v>
      </c>
      <c r="BB3">
        <v>7.4460000000000004E-3</v>
      </c>
      <c r="BC3">
        <v>6.0800000000000003E-4</v>
      </c>
    </row>
    <row r="4" spans="1:55">
      <c r="A4" t="s">
        <v>4</v>
      </c>
      <c r="B4">
        <v>0</v>
      </c>
      <c r="C4">
        <v>0</v>
      </c>
      <c r="D4">
        <v>7.6270000000000004E-2</v>
      </c>
      <c r="E4">
        <v>0</v>
      </c>
      <c r="F4">
        <v>0</v>
      </c>
      <c r="G4">
        <v>0</v>
      </c>
      <c r="H4">
        <v>0</v>
      </c>
      <c r="I4">
        <v>0</v>
      </c>
      <c r="J4">
        <v>0</v>
      </c>
      <c r="K4">
        <v>0</v>
      </c>
      <c r="L4">
        <v>0</v>
      </c>
      <c r="M4">
        <v>0</v>
      </c>
      <c r="N4">
        <v>0</v>
      </c>
      <c r="O4">
        <v>0</v>
      </c>
      <c r="P4">
        <v>0</v>
      </c>
      <c r="Q4">
        <v>0</v>
      </c>
      <c r="R4">
        <v>0</v>
      </c>
      <c r="S4">
        <v>0</v>
      </c>
      <c r="T4">
        <v>0</v>
      </c>
      <c r="U4">
        <v>0</v>
      </c>
      <c r="V4">
        <v>0</v>
      </c>
      <c r="W4">
        <v>0.22894800000000001</v>
      </c>
      <c r="X4">
        <v>0</v>
      </c>
      <c r="Y4">
        <v>0</v>
      </c>
      <c r="Z4">
        <v>0</v>
      </c>
      <c r="AA4">
        <v>0</v>
      </c>
      <c r="AB4">
        <v>0</v>
      </c>
      <c r="AC4">
        <v>0</v>
      </c>
      <c r="AD4">
        <v>0</v>
      </c>
      <c r="AE4">
        <v>0</v>
      </c>
      <c r="AF4">
        <v>0</v>
      </c>
      <c r="AG4">
        <v>0</v>
      </c>
      <c r="AH4">
        <v>0</v>
      </c>
      <c r="AI4">
        <v>0</v>
      </c>
      <c r="AJ4">
        <v>4.1999999999999998E-5</v>
      </c>
      <c r="AK4">
        <v>0</v>
      </c>
      <c r="AL4">
        <v>0</v>
      </c>
      <c r="AM4">
        <v>0</v>
      </c>
      <c r="AN4">
        <v>0</v>
      </c>
      <c r="AO4">
        <v>0</v>
      </c>
      <c r="AP4">
        <v>0</v>
      </c>
      <c r="AQ4">
        <v>0</v>
      </c>
      <c r="AR4">
        <v>0</v>
      </c>
      <c r="AS4">
        <v>0</v>
      </c>
      <c r="AT4">
        <v>0</v>
      </c>
      <c r="AU4">
        <v>0</v>
      </c>
      <c r="AV4">
        <v>0</v>
      </c>
      <c r="AW4">
        <v>0</v>
      </c>
      <c r="AX4">
        <v>0</v>
      </c>
      <c r="AY4">
        <v>0</v>
      </c>
      <c r="AZ4">
        <v>0</v>
      </c>
      <c r="BA4">
        <v>0</v>
      </c>
      <c r="BB4">
        <v>0</v>
      </c>
      <c r="BC4">
        <v>0</v>
      </c>
    </row>
    <row r="5" spans="1:55">
      <c r="A5" t="s">
        <v>5</v>
      </c>
      <c r="B5">
        <v>0</v>
      </c>
      <c r="C5">
        <v>0</v>
      </c>
      <c r="D5">
        <v>0</v>
      </c>
      <c r="E5">
        <v>8.4192000000000003E-2</v>
      </c>
      <c r="F5">
        <v>0</v>
      </c>
      <c r="G5">
        <v>0</v>
      </c>
      <c r="H5">
        <v>0</v>
      </c>
      <c r="I5">
        <v>0</v>
      </c>
      <c r="J5">
        <v>0</v>
      </c>
      <c r="K5">
        <v>0</v>
      </c>
      <c r="L5">
        <v>0</v>
      </c>
      <c r="M5">
        <v>0</v>
      </c>
      <c r="N5">
        <v>0</v>
      </c>
      <c r="O5">
        <v>0</v>
      </c>
      <c r="P5">
        <v>0.11957</v>
      </c>
      <c r="Q5">
        <v>0</v>
      </c>
      <c r="R5">
        <v>0</v>
      </c>
      <c r="S5">
        <v>0</v>
      </c>
      <c r="T5">
        <v>0</v>
      </c>
      <c r="U5">
        <v>0</v>
      </c>
      <c r="V5">
        <v>0</v>
      </c>
      <c r="W5">
        <v>0</v>
      </c>
      <c r="X5">
        <v>0</v>
      </c>
      <c r="Y5">
        <v>0</v>
      </c>
      <c r="Z5">
        <v>0</v>
      </c>
      <c r="AA5">
        <v>0</v>
      </c>
      <c r="AB5">
        <v>0</v>
      </c>
      <c r="AC5">
        <v>0</v>
      </c>
      <c r="AD5">
        <v>0</v>
      </c>
      <c r="AE5">
        <v>0</v>
      </c>
      <c r="AF5">
        <v>0</v>
      </c>
      <c r="AG5">
        <v>0</v>
      </c>
      <c r="AH5">
        <v>0</v>
      </c>
      <c r="AI5">
        <v>0</v>
      </c>
      <c r="AJ5">
        <v>1.22E-4</v>
      </c>
      <c r="AK5">
        <v>0</v>
      </c>
      <c r="AL5">
        <v>0</v>
      </c>
      <c r="AM5">
        <v>0</v>
      </c>
      <c r="AN5">
        <v>0</v>
      </c>
      <c r="AO5">
        <v>0</v>
      </c>
      <c r="AP5">
        <v>0</v>
      </c>
      <c r="AQ5">
        <v>0</v>
      </c>
      <c r="AR5">
        <v>0</v>
      </c>
      <c r="AS5">
        <v>0</v>
      </c>
      <c r="AT5">
        <v>0</v>
      </c>
      <c r="AU5">
        <v>0</v>
      </c>
      <c r="AV5">
        <v>0</v>
      </c>
      <c r="AW5">
        <v>0</v>
      </c>
      <c r="AX5">
        <v>0</v>
      </c>
      <c r="AY5">
        <v>0</v>
      </c>
      <c r="AZ5">
        <v>0</v>
      </c>
      <c r="BA5">
        <v>0</v>
      </c>
      <c r="BB5">
        <v>0</v>
      </c>
      <c r="BC5">
        <v>0</v>
      </c>
    </row>
    <row r="6" spans="1:55">
      <c r="A6" t="s">
        <v>6</v>
      </c>
      <c r="B6">
        <v>0</v>
      </c>
      <c r="C6">
        <v>0</v>
      </c>
      <c r="D6">
        <v>0</v>
      </c>
      <c r="E6">
        <v>0</v>
      </c>
      <c r="F6">
        <v>5.5931000000000002E-2</v>
      </c>
      <c r="G6">
        <v>0</v>
      </c>
      <c r="H6">
        <v>0</v>
      </c>
      <c r="I6">
        <v>0</v>
      </c>
      <c r="J6">
        <v>0</v>
      </c>
      <c r="K6">
        <v>0</v>
      </c>
      <c r="L6">
        <v>0</v>
      </c>
      <c r="M6">
        <v>0</v>
      </c>
      <c r="N6">
        <v>0</v>
      </c>
      <c r="O6">
        <v>0</v>
      </c>
      <c r="P6">
        <v>1.3990000000000001E-3</v>
      </c>
      <c r="Q6">
        <v>0</v>
      </c>
      <c r="R6">
        <v>0</v>
      </c>
      <c r="S6">
        <v>7.1539999999999998E-3</v>
      </c>
      <c r="T6">
        <v>1.5E-5</v>
      </c>
      <c r="U6">
        <v>0</v>
      </c>
      <c r="V6">
        <v>3.2446000000000003E-2</v>
      </c>
      <c r="W6">
        <v>8.3999999999999995E-5</v>
      </c>
      <c r="X6">
        <v>3.0000000000000001E-6</v>
      </c>
      <c r="Y6">
        <v>0</v>
      </c>
      <c r="Z6">
        <v>0</v>
      </c>
      <c r="AA6">
        <v>7.2000000000000002E-5</v>
      </c>
      <c r="AB6">
        <v>0</v>
      </c>
      <c r="AC6">
        <v>4.81E-3</v>
      </c>
      <c r="AD6">
        <v>2.7920000000000002E-3</v>
      </c>
      <c r="AE6">
        <v>0</v>
      </c>
      <c r="AF6">
        <v>0</v>
      </c>
      <c r="AG6">
        <v>0</v>
      </c>
      <c r="AH6">
        <v>1.9999999999999999E-6</v>
      </c>
      <c r="AI6">
        <v>0</v>
      </c>
      <c r="AJ6">
        <v>0</v>
      </c>
      <c r="AK6">
        <v>0</v>
      </c>
      <c r="AL6">
        <v>0</v>
      </c>
      <c r="AM6">
        <v>0</v>
      </c>
      <c r="AN6">
        <v>0</v>
      </c>
      <c r="AO6">
        <v>0</v>
      </c>
      <c r="AP6">
        <v>0</v>
      </c>
      <c r="AQ6">
        <v>3.4999999999999997E-5</v>
      </c>
      <c r="AR6">
        <v>5.4580000000000002E-3</v>
      </c>
      <c r="AS6">
        <v>0</v>
      </c>
      <c r="AT6">
        <v>0</v>
      </c>
      <c r="AU6">
        <v>0</v>
      </c>
      <c r="AV6">
        <v>0</v>
      </c>
      <c r="AW6">
        <v>0</v>
      </c>
      <c r="AX6">
        <v>0</v>
      </c>
      <c r="AY6">
        <v>0</v>
      </c>
      <c r="AZ6">
        <v>9.9999999999999995E-7</v>
      </c>
      <c r="BA6">
        <v>6.0000000000000002E-6</v>
      </c>
      <c r="BB6">
        <v>9.7999999999999997E-4</v>
      </c>
      <c r="BC6">
        <v>1.3999999999999999E-4</v>
      </c>
    </row>
    <row r="7" spans="1:55">
      <c r="A7" t="s">
        <v>7</v>
      </c>
      <c r="B7">
        <v>1.542E-3</v>
      </c>
      <c r="C7">
        <v>9.1330000000000005E-3</v>
      </c>
      <c r="D7">
        <v>0</v>
      </c>
      <c r="E7">
        <v>4.5000000000000003E-5</v>
      </c>
      <c r="F7">
        <v>6.0000000000000002E-5</v>
      </c>
      <c r="G7">
        <v>1.0192E-2</v>
      </c>
      <c r="H7">
        <v>3.4870000000000001E-3</v>
      </c>
      <c r="I7">
        <v>8.6000000000000003E-5</v>
      </c>
      <c r="J7">
        <v>9.0000000000000002E-6</v>
      </c>
      <c r="K7">
        <v>0</v>
      </c>
      <c r="L7">
        <v>0</v>
      </c>
      <c r="M7">
        <v>0</v>
      </c>
      <c r="N7">
        <v>0</v>
      </c>
      <c r="O7">
        <v>0</v>
      </c>
      <c r="P7">
        <v>3.0518E-2</v>
      </c>
      <c r="Q7">
        <v>0</v>
      </c>
      <c r="R7">
        <v>6.7260000000000002E-3</v>
      </c>
      <c r="S7">
        <v>7.6080000000000002E-3</v>
      </c>
      <c r="T7">
        <v>0</v>
      </c>
      <c r="U7">
        <v>0</v>
      </c>
      <c r="V7">
        <v>1.9000000000000001E-5</v>
      </c>
      <c r="W7">
        <v>0</v>
      </c>
      <c r="X7">
        <v>0</v>
      </c>
      <c r="Y7">
        <v>0</v>
      </c>
      <c r="Z7">
        <v>0</v>
      </c>
      <c r="AA7">
        <v>0</v>
      </c>
      <c r="AB7">
        <v>0</v>
      </c>
      <c r="AC7">
        <v>0</v>
      </c>
      <c r="AD7">
        <v>0</v>
      </c>
      <c r="AE7">
        <v>0</v>
      </c>
      <c r="AF7">
        <v>0</v>
      </c>
      <c r="AG7">
        <v>0</v>
      </c>
      <c r="AH7">
        <v>0</v>
      </c>
      <c r="AI7">
        <v>0</v>
      </c>
      <c r="AJ7">
        <v>0</v>
      </c>
      <c r="AK7">
        <v>0</v>
      </c>
      <c r="AL7">
        <v>0</v>
      </c>
      <c r="AM7">
        <v>0</v>
      </c>
      <c r="AN7">
        <v>0</v>
      </c>
      <c r="AO7">
        <v>0</v>
      </c>
      <c r="AP7">
        <v>0</v>
      </c>
      <c r="AQ7">
        <v>1.5696000000000002E-2</v>
      </c>
      <c r="AR7">
        <v>2.3299E-2</v>
      </c>
      <c r="AS7">
        <v>0</v>
      </c>
      <c r="AT7">
        <v>0</v>
      </c>
      <c r="AU7">
        <v>0</v>
      </c>
      <c r="AV7">
        <v>0</v>
      </c>
      <c r="AW7">
        <v>0</v>
      </c>
      <c r="AX7">
        <v>0</v>
      </c>
      <c r="AY7">
        <v>0</v>
      </c>
      <c r="AZ7">
        <v>1.8489999999999999E-3</v>
      </c>
      <c r="BA7">
        <v>7.0100000000000002E-4</v>
      </c>
      <c r="BB7">
        <v>5.3330000000000001E-3</v>
      </c>
      <c r="BC7">
        <v>4.8919999999999996E-3</v>
      </c>
    </row>
    <row r="8" spans="1:55">
      <c r="A8" t="s">
        <v>8</v>
      </c>
      <c r="B8">
        <v>1.4094000000000001E-2</v>
      </c>
      <c r="C8">
        <v>1.0076999999999999E-2</v>
      </c>
      <c r="D8">
        <v>0</v>
      </c>
      <c r="E8">
        <v>5.6683999999999998E-2</v>
      </c>
      <c r="F8">
        <v>0.189606</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3.6999999999999999E-4</v>
      </c>
      <c r="BA8">
        <v>0</v>
      </c>
      <c r="BB8">
        <v>0</v>
      </c>
      <c r="BC8">
        <v>0</v>
      </c>
    </row>
    <row r="9" spans="1:55">
      <c r="A9" t="s">
        <v>9</v>
      </c>
      <c r="B9">
        <v>0</v>
      </c>
      <c r="C9">
        <v>9.3999999999999994E-5</v>
      </c>
      <c r="D9">
        <v>0</v>
      </c>
      <c r="E9">
        <v>8.0599999999999997E-4</v>
      </c>
      <c r="F9">
        <v>2.9399999999999999E-4</v>
      </c>
      <c r="G9">
        <v>5.0299999999999997E-4</v>
      </c>
      <c r="H9">
        <v>9.9999999999999995E-7</v>
      </c>
      <c r="I9">
        <v>1.2936E-2</v>
      </c>
      <c r="J9">
        <v>3.8999999999999999E-5</v>
      </c>
      <c r="K9">
        <v>0</v>
      </c>
      <c r="L9">
        <v>3.2400000000000001E-4</v>
      </c>
      <c r="M9">
        <v>0</v>
      </c>
      <c r="N9">
        <v>1.2799999999999999E-4</v>
      </c>
      <c r="O9">
        <v>4.3999999999999999E-5</v>
      </c>
      <c r="P9">
        <v>4.8000000000000001E-4</v>
      </c>
      <c r="Q9">
        <v>0</v>
      </c>
      <c r="R9">
        <v>4.4450000000000002E-3</v>
      </c>
      <c r="S9">
        <v>1.013E-3</v>
      </c>
      <c r="T9">
        <v>0.23222699999999999</v>
      </c>
      <c r="U9">
        <v>3.0661999999999998E-2</v>
      </c>
      <c r="V9">
        <v>1.606E-3</v>
      </c>
      <c r="W9">
        <v>3.4200000000000002E-4</v>
      </c>
      <c r="X9">
        <v>3.6999999999999998E-5</v>
      </c>
      <c r="Y9">
        <v>1.9999999999999999E-6</v>
      </c>
      <c r="Z9">
        <v>4.1E-5</v>
      </c>
      <c r="AA9">
        <v>0</v>
      </c>
      <c r="AB9">
        <v>2.32E-4</v>
      </c>
      <c r="AC9">
        <v>8.7819999999999999E-3</v>
      </c>
      <c r="AD9">
        <v>4.2630000000000003E-3</v>
      </c>
      <c r="AE9">
        <v>0</v>
      </c>
      <c r="AF9">
        <v>0</v>
      </c>
      <c r="AG9">
        <v>0</v>
      </c>
      <c r="AH9">
        <v>1.9262000000000001E-2</v>
      </c>
      <c r="AI9">
        <v>2.22E-4</v>
      </c>
      <c r="AJ9">
        <v>1.2999999999999999E-5</v>
      </c>
      <c r="AK9">
        <v>0</v>
      </c>
      <c r="AL9">
        <v>0</v>
      </c>
      <c r="AM9">
        <v>0</v>
      </c>
      <c r="AN9">
        <v>0</v>
      </c>
      <c r="AO9">
        <v>0</v>
      </c>
      <c r="AP9">
        <v>0</v>
      </c>
      <c r="AQ9">
        <v>2.13E-4</v>
      </c>
      <c r="AR9">
        <v>1.84E-4</v>
      </c>
      <c r="AS9">
        <v>0</v>
      </c>
      <c r="AT9">
        <v>0</v>
      </c>
      <c r="AU9">
        <v>0</v>
      </c>
      <c r="AV9">
        <v>0</v>
      </c>
      <c r="AW9">
        <v>0</v>
      </c>
      <c r="AX9">
        <v>0</v>
      </c>
      <c r="AY9">
        <v>0</v>
      </c>
      <c r="AZ9">
        <v>3.0000000000000001E-6</v>
      </c>
      <c r="BA9">
        <v>0</v>
      </c>
      <c r="BB9">
        <v>0</v>
      </c>
      <c r="BC9">
        <v>1.2E-4</v>
      </c>
    </row>
    <row r="10" spans="1:55">
      <c r="A10" t="s">
        <v>10</v>
      </c>
      <c r="B10">
        <v>0</v>
      </c>
      <c r="C10">
        <v>0</v>
      </c>
      <c r="D10">
        <v>0</v>
      </c>
      <c r="E10">
        <v>0</v>
      </c>
      <c r="F10">
        <v>0</v>
      </c>
      <c r="G10">
        <v>0</v>
      </c>
      <c r="H10">
        <v>0</v>
      </c>
      <c r="I10">
        <v>0</v>
      </c>
      <c r="J10">
        <v>1.6022000000000002E-2</v>
      </c>
      <c r="K10">
        <v>0</v>
      </c>
      <c r="L10">
        <v>0</v>
      </c>
      <c r="M10">
        <v>0</v>
      </c>
      <c r="N10">
        <v>0</v>
      </c>
      <c r="O10">
        <v>0</v>
      </c>
      <c r="P10">
        <v>3.5142E-2</v>
      </c>
      <c r="Q10">
        <v>0</v>
      </c>
      <c r="R10">
        <v>0</v>
      </c>
      <c r="S10">
        <v>0</v>
      </c>
      <c r="T10">
        <v>0</v>
      </c>
      <c r="U10">
        <v>0</v>
      </c>
      <c r="V10">
        <v>1.13E-4</v>
      </c>
      <c r="W10">
        <v>0</v>
      </c>
      <c r="X10">
        <v>0</v>
      </c>
      <c r="Y10">
        <v>0</v>
      </c>
      <c r="Z10">
        <v>0</v>
      </c>
      <c r="AA10">
        <v>0</v>
      </c>
      <c r="AB10">
        <v>0</v>
      </c>
      <c r="AC10">
        <v>3.1000000000000001E-5</v>
      </c>
      <c r="AD10">
        <v>3.1250000000000002E-3</v>
      </c>
      <c r="AE10">
        <v>0</v>
      </c>
      <c r="AF10">
        <v>0</v>
      </c>
      <c r="AG10">
        <v>0</v>
      </c>
      <c r="AH10">
        <v>0</v>
      </c>
      <c r="AI10">
        <v>0</v>
      </c>
      <c r="AJ10">
        <v>0</v>
      </c>
      <c r="AK10">
        <v>0</v>
      </c>
      <c r="AL10">
        <v>0</v>
      </c>
      <c r="AM10">
        <v>0</v>
      </c>
      <c r="AN10">
        <v>0</v>
      </c>
      <c r="AO10">
        <v>0</v>
      </c>
      <c r="AP10">
        <v>0</v>
      </c>
      <c r="AQ10">
        <v>1.6924000000000002E-2</v>
      </c>
      <c r="AR10">
        <v>5.6401E-2</v>
      </c>
      <c r="AS10">
        <v>0</v>
      </c>
      <c r="AT10">
        <v>0</v>
      </c>
      <c r="AU10">
        <v>0</v>
      </c>
      <c r="AV10">
        <v>0</v>
      </c>
      <c r="AW10">
        <v>0</v>
      </c>
      <c r="AX10">
        <v>0</v>
      </c>
      <c r="AY10">
        <v>0</v>
      </c>
      <c r="AZ10">
        <v>3.0800000000000001E-4</v>
      </c>
      <c r="BA10">
        <v>1.926E-3</v>
      </c>
      <c r="BB10">
        <v>3.8219999999999999E-3</v>
      </c>
      <c r="BC10">
        <v>1.3585E-2</v>
      </c>
    </row>
    <row r="11" spans="1:55">
      <c r="A11" t="s">
        <v>11</v>
      </c>
      <c r="B11">
        <v>6.9999999999999994E-5</v>
      </c>
      <c r="C11">
        <v>1.05E-4</v>
      </c>
      <c r="D11">
        <v>0</v>
      </c>
      <c r="E11">
        <v>0</v>
      </c>
      <c r="F11">
        <v>1.4E-5</v>
      </c>
      <c r="G11">
        <v>5.9599999999999996E-4</v>
      </c>
      <c r="H11">
        <v>1.5E-5</v>
      </c>
      <c r="I11">
        <v>1.7200000000000001E-4</v>
      </c>
      <c r="J11">
        <v>5.3999999999999998E-5</v>
      </c>
      <c r="K11">
        <v>0.10730199999999999</v>
      </c>
      <c r="L11">
        <v>2.1389999999999998E-3</v>
      </c>
      <c r="M11">
        <v>0</v>
      </c>
      <c r="N11">
        <v>2.05E-4</v>
      </c>
      <c r="O11">
        <v>0.20952499999999999</v>
      </c>
      <c r="P11">
        <v>2.9E-5</v>
      </c>
      <c r="Q11">
        <v>0</v>
      </c>
      <c r="R11">
        <v>1.4899999999999999E-4</v>
      </c>
      <c r="S11">
        <v>2.05E-4</v>
      </c>
      <c r="T11">
        <v>9.8999999999999994E-5</v>
      </c>
      <c r="U11">
        <v>1.66E-4</v>
      </c>
      <c r="V11">
        <v>0.16828099999999999</v>
      </c>
      <c r="W11">
        <v>3.7217E-2</v>
      </c>
      <c r="X11">
        <v>1.8676000000000002E-2</v>
      </c>
      <c r="Y11">
        <v>8.3042000000000005E-2</v>
      </c>
      <c r="Z11">
        <v>1.1198E-2</v>
      </c>
      <c r="AA11">
        <v>4.0000000000000003E-5</v>
      </c>
      <c r="AB11">
        <v>2.9599999999999998E-4</v>
      </c>
      <c r="AC11">
        <v>2.32E-4</v>
      </c>
      <c r="AD11">
        <v>1.5899999999999999E-4</v>
      </c>
      <c r="AE11">
        <v>0.456119</v>
      </c>
      <c r="AF11">
        <v>0.18914</v>
      </c>
      <c r="AG11">
        <v>1.63E-4</v>
      </c>
      <c r="AH11">
        <v>5.4799999999999998E-4</v>
      </c>
      <c r="AI11">
        <v>3.8900000000000002E-4</v>
      </c>
      <c r="AJ11">
        <v>4.4000000000000002E-4</v>
      </c>
      <c r="AK11">
        <v>3.0699999999999998E-4</v>
      </c>
      <c r="AL11">
        <v>4.1199999999999999E-4</v>
      </c>
      <c r="AM11">
        <v>7.76E-4</v>
      </c>
      <c r="AN11">
        <v>4.8299999999999998E-4</v>
      </c>
      <c r="AO11">
        <v>8.83E-4</v>
      </c>
      <c r="AP11">
        <v>5.2099999999999998E-4</v>
      </c>
      <c r="AQ11">
        <v>1.3300000000000001E-4</v>
      </c>
      <c r="AR11">
        <v>3.8000000000000002E-5</v>
      </c>
      <c r="AS11">
        <v>6.0800000000000003E-4</v>
      </c>
      <c r="AT11">
        <v>8.7699999999999996E-4</v>
      </c>
      <c r="AU11">
        <v>7.5799999999999999E-4</v>
      </c>
      <c r="AV11">
        <v>4.8200000000000001E-4</v>
      </c>
      <c r="AW11">
        <v>4.2299999999999998E-4</v>
      </c>
      <c r="AX11">
        <v>2.2599999999999999E-4</v>
      </c>
      <c r="AY11">
        <v>6.3000000000000003E-4</v>
      </c>
      <c r="AZ11">
        <v>6.8900000000000005E-4</v>
      </c>
      <c r="BA11">
        <v>4.1399999999999998E-4</v>
      </c>
      <c r="BB11">
        <v>7.7999999999999999E-5</v>
      </c>
      <c r="BC11">
        <v>1.2899999999999999E-4</v>
      </c>
    </row>
    <row r="12" spans="1:55">
      <c r="A12" t="s">
        <v>12</v>
      </c>
      <c r="B12">
        <v>8.2000000000000001E-5</v>
      </c>
      <c r="C12">
        <v>1.2400000000000001E-4</v>
      </c>
      <c r="D12">
        <v>0</v>
      </c>
      <c r="E12">
        <v>0</v>
      </c>
      <c r="F12">
        <v>1.4E-5</v>
      </c>
      <c r="G12">
        <v>6.9200000000000002E-4</v>
      </c>
      <c r="H12">
        <v>1.9000000000000001E-5</v>
      </c>
      <c r="I12">
        <v>2.03E-4</v>
      </c>
      <c r="J12">
        <v>6.6000000000000005E-5</v>
      </c>
      <c r="K12">
        <v>3.3300000000000002E-4</v>
      </c>
      <c r="L12">
        <v>0.12897700000000001</v>
      </c>
      <c r="M12">
        <v>0</v>
      </c>
      <c r="N12">
        <v>1.3999999999999999E-4</v>
      </c>
      <c r="O12">
        <v>7.2589999999999998E-3</v>
      </c>
      <c r="P12">
        <v>3.4E-5</v>
      </c>
      <c r="Q12">
        <v>0</v>
      </c>
      <c r="R12">
        <v>2.9799999999999998E-4</v>
      </c>
      <c r="S12">
        <v>2.9500000000000001E-4</v>
      </c>
      <c r="T12">
        <v>1.44E-4</v>
      </c>
      <c r="U12">
        <v>2.9999999999999997E-4</v>
      </c>
      <c r="V12">
        <v>1.14E-3</v>
      </c>
      <c r="W12">
        <v>1.08E-4</v>
      </c>
      <c r="X12">
        <v>0.242035</v>
      </c>
      <c r="Y12">
        <v>2.5010999999999999E-2</v>
      </c>
      <c r="Z12">
        <v>2.4760000000000001E-2</v>
      </c>
      <c r="AA12">
        <v>6.6000000000000005E-5</v>
      </c>
      <c r="AB12">
        <v>3.6000000000000002E-4</v>
      </c>
      <c r="AC12">
        <v>2.7799999999999998E-4</v>
      </c>
      <c r="AD12">
        <v>1.8900000000000001E-4</v>
      </c>
      <c r="AE12">
        <v>0.17638499999999999</v>
      </c>
      <c r="AF12">
        <v>4.6342000000000001E-2</v>
      </c>
      <c r="AG12">
        <v>3.77E-4</v>
      </c>
      <c r="AH12">
        <v>3.2899999999999997E-4</v>
      </c>
      <c r="AI12">
        <v>4.8700000000000002E-4</v>
      </c>
      <c r="AJ12">
        <v>5.4100000000000003E-4</v>
      </c>
      <c r="AK12">
        <v>6.3199999999999997E-4</v>
      </c>
      <c r="AL12">
        <v>4.7899999999999999E-4</v>
      </c>
      <c r="AM12">
        <v>9.0300000000000005E-4</v>
      </c>
      <c r="AN12">
        <v>5.9800000000000001E-4</v>
      </c>
      <c r="AO12">
        <v>1.0219999999999999E-3</v>
      </c>
      <c r="AP12">
        <v>6.4499999999999996E-4</v>
      </c>
      <c r="AQ12">
        <v>1.8000000000000001E-4</v>
      </c>
      <c r="AR12">
        <v>5.1E-5</v>
      </c>
      <c r="AS12">
        <v>7.2900000000000005E-4</v>
      </c>
      <c r="AT12">
        <v>1.0219999999999999E-3</v>
      </c>
      <c r="AU12">
        <v>8.8999999999999995E-4</v>
      </c>
      <c r="AV12">
        <v>5.7200000000000003E-4</v>
      </c>
      <c r="AW12">
        <v>5.0299999999999997E-4</v>
      </c>
      <c r="AX12">
        <v>2.6800000000000001E-4</v>
      </c>
      <c r="AY12">
        <v>7.5000000000000002E-4</v>
      </c>
      <c r="AZ12">
        <v>8.5599999999999999E-4</v>
      </c>
      <c r="BA12">
        <v>5.0900000000000001E-4</v>
      </c>
      <c r="BB12">
        <v>1.3200000000000001E-4</v>
      </c>
      <c r="BC12">
        <v>2.04E-4</v>
      </c>
    </row>
    <row r="13" spans="1:55">
      <c r="A13" t="s">
        <v>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row>
    <row r="14" spans="1:55">
      <c r="A14" t="s">
        <v>14</v>
      </c>
      <c r="B14">
        <v>2.0999999999999999E-5</v>
      </c>
      <c r="C14">
        <v>2.5999999999999998E-5</v>
      </c>
      <c r="D14">
        <v>0</v>
      </c>
      <c r="E14">
        <v>0</v>
      </c>
      <c r="F14">
        <v>1.4E-5</v>
      </c>
      <c r="G14">
        <v>1.1900000000000001E-4</v>
      </c>
      <c r="H14">
        <v>3.0000000000000001E-6</v>
      </c>
      <c r="I14">
        <v>4.3000000000000002E-5</v>
      </c>
      <c r="J14">
        <v>1.1E-5</v>
      </c>
      <c r="K14">
        <v>9.5770000000000004E-3</v>
      </c>
      <c r="L14">
        <v>0.10514</v>
      </c>
      <c r="M14">
        <v>0</v>
      </c>
      <c r="N14">
        <v>1.6559999999999998E-2</v>
      </c>
      <c r="O14">
        <v>3.4E-5</v>
      </c>
      <c r="P14">
        <v>1.1119999999999999E-3</v>
      </c>
      <c r="Q14">
        <v>0</v>
      </c>
      <c r="R14">
        <v>2.9E-5</v>
      </c>
      <c r="S14">
        <v>4.6999999999999999E-4</v>
      </c>
      <c r="T14">
        <v>5.1999999999999997E-5</v>
      </c>
      <c r="U14">
        <v>3.3000000000000003E-5</v>
      </c>
      <c r="V14">
        <v>2.9003000000000001E-2</v>
      </c>
      <c r="W14">
        <v>5.4699999999999996E-4</v>
      </c>
      <c r="X14">
        <v>7.2835999999999998E-2</v>
      </c>
      <c r="Y14">
        <v>7.3499999999999998E-4</v>
      </c>
      <c r="Z14">
        <v>1.194E-3</v>
      </c>
      <c r="AA14">
        <v>4.3000000000000002E-5</v>
      </c>
      <c r="AB14">
        <v>1.8599999999999999E-4</v>
      </c>
      <c r="AC14">
        <v>3.1840000000000002E-3</v>
      </c>
      <c r="AD14">
        <v>9.3120000000000008E-3</v>
      </c>
      <c r="AE14">
        <v>1.493E-3</v>
      </c>
      <c r="AF14">
        <v>1.7E-5</v>
      </c>
      <c r="AG14">
        <v>3.8999999999999999E-5</v>
      </c>
      <c r="AH14">
        <v>5.3881999999999999E-2</v>
      </c>
      <c r="AI14">
        <v>7.8999999999999996E-5</v>
      </c>
      <c r="AJ14">
        <v>9.2E-5</v>
      </c>
      <c r="AK14">
        <v>7.6000000000000004E-5</v>
      </c>
      <c r="AL14">
        <v>8.0000000000000007E-5</v>
      </c>
      <c r="AM14">
        <v>1.5699999999999999E-4</v>
      </c>
      <c r="AN14">
        <v>9.7999999999999997E-5</v>
      </c>
      <c r="AO14">
        <v>1.7100000000000001E-4</v>
      </c>
      <c r="AP14">
        <v>1.22E-4</v>
      </c>
      <c r="AQ14">
        <v>2.6999999999999999E-5</v>
      </c>
      <c r="AR14">
        <v>7.9999999999999996E-6</v>
      </c>
      <c r="AS14">
        <v>1.22E-4</v>
      </c>
      <c r="AT14">
        <v>1.73E-4</v>
      </c>
      <c r="AU14">
        <v>1.4899999999999999E-4</v>
      </c>
      <c r="AV14">
        <v>9.3999999999999994E-5</v>
      </c>
      <c r="AW14">
        <v>8.2999999999999998E-5</v>
      </c>
      <c r="AX14">
        <v>6.3E-5</v>
      </c>
      <c r="AY14">
        <v>1.2400000000000001E-4</v>
      </c>
      <c r="AZ14">
        <v>1.4999999999999999E-4</v>
      </c>
      <c r="BA14">
        <v>8.2000000000000001E-5</v>
      </c>
      <c r="BB14">
        <v>1.5999999999999999E-5</v>
      </c>
      <c r="BC14">
        <v>2.5999999999999998E-5</v>
      </c>
    </row>
    <row r="15" spans="1:55">
      <c r="A15" t="s">
        <v>15</v>
      </c>
      <c r="B15">
        <v>7.9199999999999995E-4</v>
      </c>
      <c r="C15">
        <v>2.4450000000000001E-3</v>
      </c>
      <c r="D15">
        <v>0</v>
      </c>
      <c r="E15">
        <v>0</v>
      </c>
      <c r="F15">
        <v>2.9399999999999999E-4</v>
      </c>
      <c r="G15">
        <v>8.0147999999999997E-2</v>
      </c>
      <c r="H15">
        <v>5.6599999999999999E-4</v>
      </c>
      <c r="I15">
        <v>1.5469999999999999E-2</v>
      </c>
      <c r="J15">
        <v>1.7375999999999999E-2</v>
      </c>
      <c r="K15">
        <v>2.2859999999999998E-3</v>
      </c>
      <c r="L15">
        <v>3.1446000000000002E-2</v>
      </c>
      <c r="M15">
        <v>0</v>
      </c>
      <c r="N15">
        <v>3.7726999999999997E-2</v>
      </c>
      <c r="O15">
        <v>3.993E-3</v>
      </c>
      <c r="P15">
        <v>1.6919999999999999E-3</v>
      </c>
      <c r="Q15">
        <v>0</v>
      </c>
      <c r="R15">
        <v>2.3452000000000001E-2</v>
      </c>
      <c r="S15">
        <v>1.9233E-2</v>
      </c>
      <c r="T15">
        <v>1.2123E-2</v>
      </c>
      <c r="U15">
        <v>2.5173000000000001E-2</v>
      </c>
      <c r="V15">
        <v>1.3729E-2</v>
      </c>
      <c r="W15">
        <v>5.9369999999999996E-3</v>
      </c>
      <c r="X15">
        <v>1.5233999999999999E-2</v>
      </c>
      <c r="Y15">
        <v>1.4102E-2</v>
      </c>
      <c r="Z15">
        <v>5.2560000000000003E-3</v>
      </c>
      <c r="AA15">
        <v>9.1799999999999998E-4</v>
      </c>
      <c r="AB15">
        <v>1.1214E-2</v>
      </c>
      <c r="AC15">
        <v>8.6390000000000008E-3</v>
      </c>
      <c r="AD15">
        <v>1.3074000000000001E-2</v>
      </c>
      <c r="AE15">
        <v>3.7829999999999999E-3</v>
      </c>
      <c r="AF15">
        <v>2.6786999999999998E-2</v>
      </c>
      <c r="AG15">
        <v>4.6979999999999999E-3</v>
      </c>
      <c r="AH15">
        <v>4.5692999999999998E-2</v>
      </c>
      <c r="AI15">
        <v>2.894E-2</v>
      </c>
      <c r="AJ15">
        <v>5.9029999999999999E-2</v>
      </c>
      <c r="AK15">
        <v>0.100926</v>
      </c>
      <c r="AL15">
        <v>0.25295800000000002</v>
      </c>
      <c r="AM15">
        <v>0.26620899999999997</v>
      </c>
      <c r="AN15">
        <v>0.19862199999999999</v>
      </c>
      <c r="AO15">
        <v>0.23257800000000001</v>
      </c>
      <c r="AP15">
        <v>1.4408000000000001E-2</v>
      </c>
      <c r="AQ15">
        <v>2.5709999999999999E-3</v>
      </c>
      <c r="AR15">
        <v>2.4069999999999999E-3</v>
      </c>
      <c r="AS15">
        <v>2.281E-3</v>
      </c>
      <c r="AT15">
        <v>5.2300000000000003E-4</v>
      </c>
      <c r="AU15">
        <v>7.1400000000000001E-4</v>
      </c>
      <c r="AV15">
        <v>1.8E-5</v>
      </c>
      <c r="AW15">
        <v>1.7030000000000001E-3</v>
      </c>
      <c r="AX15">
        <v>3.5820000000000001E-3</v>
      </c>
      <c r="AY15">
        <v>3.2523999999999997E-2</v>
      </c>
      <c r="AZ15">
        <v>1.3649999999999999E-3</v>
      </c>
      <c r="BA15">
        <v>3.1879999999999999E-3</v>
      </c>
      <c r="BB15">
        <v>7.1700000000000002E-3</v>
      </c>
      <c r="BC15">
        <v>2.0566000000000001E-2</v>
      </c>
    </row>
    <row r="16" spans="1:55">
      <c r="A16" t="s">
        <v>16</v>
      </c>
      <c r="B16">
        <v>1.9000000000000001E-5</v>
      </c>
      <c r="C16">
        <v>4.3999999999999999E-5</v>
      </c>
      <c r="D16">
        <v>2.1191999999999999E-2</v>
      </c>
      <c r="E16">
        <v>2.6088E-2</v>
      </c>
      <c r="F16">
        <v>5.4840000000000002E-3</v>
      </c>
      <c r="G16">
        <v>3.2822999999999998E-2</v>
      </c>
      <c r="H16">
        <v>0.22444</v>
      </c>
      <c r="I16">
        <v>1.3200000000000001E-4</v>
      </c>
      <c r="J16">
        <v>3.0102E-2</v>
      </c>
      <c r="K16">
        <v>7.9299999999999998E-4</v>
      </c>
      <c r="L16">
        <v>1.902E-3</v>
      </c>
      <c r="M16">
        <v>0</v>
      </c>
      <c r="N16">
        <v>3.0000000000000001E-5</v>
      </c>
      <c r="O16">
        <v>3.1500000000000001E-4</v>
      </c>
      <c r="P16">
        <v>0.17861199999999999</v>
      </c>
      <c r="Q16">
        <v>3.3000000000000003E-5</v>
      </c>
      <c r="R16">
        <v>1.3325E-2</v>
      </c>
      <c r="S16">
        <v>0.101878</v>
      </c>
      <c r="T16">
        <v>4.6020000000000002E-3</v>
      </c>
      <c r="U16">
        <v>2.3119999999999998E-3</v>
      </c>
      <c r="V16">
        <v>2.0145E-2</v>
      </c>
      <c r="W16">
        <v>4.57E-4</v>
      </c>
      <c r="X16">
        <v>8.8999999999999995E-4</v>
      </c>
      <c r="Y16">
        <v>1.4580000000000001E-3</v>
      </c>
      <c r="Z16">
        <v>1.2110000000000001E-3</v>
      </c>
      <c r="AA16">
        <v>7.2300000000000001E-4</v>
      </c>
      <c r="AB16">
        <v>2.3440000000000002E-3</v>
      </c>
      <c r="AC16">
        <v>3.6189999999999998E-3</v>
      </c>
      <c r="AD16">
        <v>2.6280000000000001E-3</v>
      </c>
      <c r="AE16">
        <v>3.7399999999999998E-4</v>
      </c>
      <c r="AF16">
        <v>1.475E-3</v>
      </c>
      <c r="AG16">
        <v>5.999E-3</v>
      </c>
      <c r="AH16">
        <v>6.6399999999999999E-4</v>
      </c>
      <c r="AI16">
        <v>1.1119999999999999E-3</v>
      </c>
      <c r="AJ16">
        <v>1.4809999999999999E-3</v>
      </c>
      <c r="AK16">
        <v>2.8240000000000001E-3</v>
      </c>
      <c r="AL16">
        <v>7.7999999999999999E-5</v>
      </c>
      <c r="AM16">
        <v>6.6113000000000005E-2</v>
      </c>
      <c r="AN16">
        <v>1.7350000000000001E-2</v>
      </c>
      <c r="AO16">
        <v>1.9969000000000001E-2</v>
      </c>
      <c r="AP16">
        <v>4.1159999999999999E-3</v>
      </c>
      <c r="AQ16">
        <v>0.17802999999999999</v>
      </c>
      <c r="AR16">
        <v>0.29237800000000003</v>
      </c>
      <c r="AS16">
        <v>8.0500000000000005E-4</v>
      </c>
      <c r="AT16">
        <v>3.4030000000000002E-3</v>
      </c>
      <c r="AU16">
        <v>7.9349999999999993E-3</v>
      </c>
      <c r="AV16">
        <v>8.6600000000000002E-4</v>
      </c>
      <c r="AW16">
        <v>2.8210000000000002E-3</v>
      </c>
      <c r="AX16">
        <v>7.2599999999999997E-4</v>
      </c>
      <c r="AY16">
        <v>3.0920000000000001E-3</v>
      </c>
      <c r="AZ16">
        <v>2.7234999999999999E-2</v>
      </c>
      <c r="BA16">
        <v>3.7338000000000003E-2</v>
      </c>
      <c r="BB16">
        <v>0.101831</v>
      </c>
      <c r="BC16">
        <v>3.0029E-2</v>
      </c>
    </row>
    <row r="17" spans="1:55">
      <c r="A17" t="s">
        <v>17</v>
      </c>
      <c r="B17">
        <v>0</v>
      </c>
      <c r="C17">
        <v>0</v>
      </c>
      <c r="D17">
        <v>0</v>
      </c>
      <c r="E17">
        <v>0</v>
      </c>
      <c r="F17">
        <v>9.9999999999999995E-7</v>
      </c>
      <c r="G17">
        <v>9.9999999999999995E-7</v>
      </c>
      <c r="H17">
        <v>0</v>
      </c>
      <c r="I17">
        <v>0</v>
      </c>
      <c r="J17">
        <v>7.9999999999999996E-6</v>
      </c>
      <c r="K17">
        <v>0</v>
      </c>
      <c r="L17">
        <v>1.9999999999999999E-6</v>
      </c>
      <c r="M17">
        <v>0</v>
      </c>
      <c r="N17">
        <v>0</v>
      </c>
      <c r="O17">
        <v>0</v>
      </c>
      <c r="P17">
        <v>0</v>
      </c>
      <c r="Q17">
        <v>1.065E-3</v>
      </c>
      <c r="R17">
        <v>0</v>
      </c>
      <c r="S17">
        <v>0</v>
      </c>
      <c r="T17">
        <v>0</v>
      </c>
      <c r="U17">
        <v>0</v>
      </c>
      <c r="V17">
        <v>0</v>
      </c>
      <c r="W17">
        <v>0</v>
      </c>
      <c r="X17">
        <v>0</v>
      </c>
      <c r="Y17">
        <v>0</v>
      </c>
      <c r="Z17">
        <v>0</v>
      </c>
      <c r="AA17">
        <v>0</v>
      </c>
      <c r="AB17">
        <v>0</v>
      </c>
      <c r="AC17">
        <v>0</v>
      </c>
      <c r="AD17">
        <v>0</v>
      </c>
      <c r="AE17">
        <v>9.9999999999999995E-7</v>
      </c>
      <c r="AF17">
        <v>0</v>
      </c>
      <c r="AG17">
        <v>0</v>
      </c>
      <c r="AH17">
        <v>0</v>
      </c>
      <c r="AI17">
        <v>9.9999999999999995E-7</v>
      </c>
      <c r="AJ17">
        <v>9.9999999999999995E-7</v>
      </c>
      <c r="AK17">
        <v>0</v>
      </c>
      <c r="AL17">
        <v>9.9999999999999995E-7</v>
      </c>
      <c r="AM17">
        <v>9.9999999999999995E-7</v>
      </c>
      <c r="AN17">
        <v>9.9999999999999995E-7</v>
      </c>
      <c r="AO17">
        <v>9.9999999999999995E-7</v>
      </c>
      <c r="AP17">
        <v>9.9999999999999995E-7</v>
      </c>
      <c r="AQ17">
        <v>0</v>
      </c>
      <c r="AR17">
        <v>0</v>
      </c>
      <c r="AS17">
        <v>9.9999999999999995E-7</v>
      </c>
      <c r="AT17">
        <v>9.9999999999999995E-7</v>
      </c>
      <c r="AU17">
        <v>9.9999999999999995E-7</v>
      </c>
      <c r="AV17">
        <v>9.9999999999999995E-7</v>
      </c>
      <c r="AW17">
        <v>9.9999999999999995E-7</v>
      </c>
      <c r="AX17">
        <v>0</v>
      </c>
      <c r="AY17">
        <v>9.9999999999999995E-7</v>
      </c>
      <c r="AZ17">
        <v>9.9999999999999995E-7</v>
      </c>
      <c r="BA17">
        <v>9.9999999999999995E-7</v>
      </c>
      <c r="BB17">
        <v>0</v>
      </c>
      <c r="BC17">
        <v>0</v>
      </c>
    </row>
    <row r="18" spans="1:55">
      <c r="A18" t="s">
        <v>18</v>
      </c>
      <c r="B18">
        <v>9.5000000000000005E-5</v>
      </c>
      <c r="C18">
        <v>5.5099999999999995E-4</v>
      </c>
      <c r="D18">
        <v>8.6779999999999999E-3</v>
      </c>
      <c r="E18">
        <v>1.5799999999999999E-4</v>
      </c>
      <c r="F18">
        <v>4.8000000000000001E-5</v>
      </c>
      <c r="G18">
        <v>1.66E-4</v>
      </c>
      <c r="H18">
        <v>9.9999999999999995E-7</v>
      </c>
      <c r="I18">
        <v>2.3E-5</v>
      </c>
      <c r="J18">
        <v>1.8E-5</v>
      </c>
      <c r="K18">
        <v>6.9999999999999999E-6</v>
      </c>
      <c r="L18">
        <v>3.6000000000000001E-5</v>
      </c>
      <c r="M18">
        <v>0</v>
      </c>
      <c r="N18">
        <v>9.9999999999999995E-7</v>
      </c>
      <c r="O18">
        <v>0</v>
      </c>
      <c r="P18">
        <v>1.1E-5</v>
      </c>
      <c r="Q18">
        <v>0</v>
      </c>
      <c r="R18">
        <v>3.3350999999999999E-2</v>
      </c>
      <c r="S18">
        <v>2.0600000000000002E-3</v>
      </c>
      <c r="T18">
        <v>1.01E-4</v>
      </c>
      <c r="U18">
        <v>8.5000000000000006E-5</v>
      </c>
      <c r="V18">
        <v>6.2000000000000003E-5</v>
      </c>
      <c r="W18">
        <v>2.2000000000000001E-4</v>
      </c>
      <c r="X18">
        <v>1.4E-5</v>
      </c>
      <c r="Y18">
        <v>1.9999999999999999E-6</v>
      </c>
      <c r="Z18">
        <v>7.8999999999999996E-5</v>
      </c>
      <c r="AA18">
        <v>1.9999999999999999E-6</v>
      </c>
      <c r="AB18">
        <v>2.5999999999999998E-5</v>
      </c>
      <c r="AC18">
        <v>2.372E-3</v>
      </c>
      <c r="AD18">
        <v>2.8800000000000001E-4</v>
      </c>
      <c r="AE18">
        <v>0</v>
      </c>
      <c r="AF18">
        <v>3.0000000000000001E-6</v>
      </c>
      <c r="AG18">
        <v>2.5000000000000001E-5</v>
      </c>
      <c r="AH18">
        <v>7.7999999999999999E-5</v>
      </c>
      <c r="AI18">
        <v>2.4899999999999998E-4</v>
      </c>
      <c r="AJ18">
        <v>1.85E-4</v>
      </c>
      <c r="AK18">
        <v>0</v>
      </c>
      <c r="AL18">
        <v>9.9999999999999995E-7</v>
      </c>
      <c r="AM18">
        <v>2.0000000000000002E-5</v>
      </c>
      <c r="AN18">
        <v>0</v>
      </c>
      <c r="AO18">
        <v>9.9999999999999995E-7</v>
      </c>
      <c r="AP18">
        <v>8.6000000000000003E-5</v>
      </c>
      <c r="AQ18">
        <v>2.02E-4</v>
      </c>
      <c r="AR18">
        <v>1.1E-5</v>
      </c>
      <c r="AS18">
        <v>1.1E-5</v>
      </c>
      <c r="AT18">
        <v>9.2999999999999997E-5</v>
      </c>
      <c r="AU18">
        <v>2.3E-5</v>
      </c>
      <c r="AV18">
        <v>1.1E-5</v>
      </c>
      <c r="AW18">
        <v>1.1E-5</v>
      </c>
      <c r="AX18">
        <v>2.5999999999999998E-5</v>
      </c>
      <c r="AY18">
        <v>7.2999999999999999E-5</v>
      </c>
      <c r="AZ18">
        <v>1.45E-4</v>
      </c>
      <c r="BA18">
        <v>2.5900000000000001E-4</v>
      </c>
      <c r="BB18">
        <v>1.072E-3</v>
      </c>
      <c r="BC18">
        <v>1.377E-3</v>
      </c>
    </row>
    <row r="19" spans="1:55">
      <c r="A19" t="s">
        <v>19</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5.8999999999999998E-5</v>
      </c>
      <c r="AD19">
        <v>0</v>
      </c>
      <c r="AE19">
        <v>0</v>
      </c>
      <c r="AF19">
        <v>0</v>
      </c>
      <c r="AG19">
        <v>2.9E-5</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row>
    <row r="20" spans="1:55">
      <c r="A20" t="s">
        <v>20</v>
      </c>
      <c r="B20">
        <v>2.0000000000000002E-5</v>
      </c>
      <c r="C20">
        <v>7.1000000000000005E-5</v>
      </c>
      <c r="D20">
        <v>4.2069999999999998E-3</v>
      </c>
      <c r="E20">
        <v>0</v>
      </c>
      <c r="F20">
        <v>2.8E-5</v>
      </c>
      <c r="G20">
        <v>2.1900000000000001E-4</v>
      </c>
      <c r="H20">
        <v>2.9E-5</v>
      </c>
      <c r="I20">
        <v>2.3E-5</v>
      </c>
      <c r="J20">
        <v>1.5E-5</v>
      </c>
      <c r="K20">
        <v>1.2999999999999999E-5</v>
      </c>
      <c r="L20">
        <v>1.02E-4</v>
      </c>
      <c r="M20">
        <v>0</v>
      </c>
      <c r="N20">
        <v>4.0000000000000003E-5</v>
      </c>
      <c r="O20">
        <v>3.9999999999999998E-6</v>
      </c>
      <c r="P20">
        <v>6.3E-5</v>
      </c>
      <c r="Q20">
        <v>2.9E-5</v>
      </c>
      <c r="R20">
        <v>1.02E-4</v>
      </c>
      <c r="S20">
        <v>8.8999999999999995E-5</v>
      </c>
      <c r="T20">
        <v>2.9810000000000001E-3</v>
      </c>
      <c r="U20">
        <v>1.12E-4</v>
      </c>
      <c r="V20">
        <v>6.0000000000000002E-5</v>
      </c>
      <c r="W20">
        <v>8.3999999999999995E-5</v>
      </c>
      <c r="X20">
        <v>4.3999999999999999E-5</v>
      </c>
      <c r="Y20">
        <v>5.3999999999999998E-5</v>
      </c>
      <c r="Z20">
        <v>1.1900000000000001E-4</v>
      </c>
      <c r="AA20">
        <v>1.05E-4</v>
      </c>
      <c r="AB20">
        <v>3.0899999999999998E-4</v>
      </c>
      <c r="AC20">
        <v>4.1939999999999998E-3</v>
      </c>
      <c r="AD20">
        <v>2.8770000000000002E-3</v>
      </c>
      <c r="AE20">
        <v>3.0000000000000001E-5</v>
      </c>
      <c r="AF20">
        <v>9.0000000000000002E-6</v>
      </c>
      <c r="AG20">
        <v>3.4999999999999997E-5</v>
      </c>
      <c r="AH20">
        <v>1.885E-3</v>
      </c>
      <c r="AI20">
        <v>5.5999999999999999E-5</v>
      </c>
      <c r="AJ20">
        <v>1.4100000000000001E-4</v>
      </c>
      <c r="AK20">
        <v>4.0000000000000003E-5</v>
      </c>
      <c r="AL20">
        <v>7.4999999999999993E-5</v>
      </c>
      <c r="AM20">
        <v>7.7000000000000001E-5</v>
      </c>
      <c r="AN20">
        <v>6.9999999999999994E-5</v>
      </c>
      <c r="AO20">
        <v>1.01E-4</v>
      </c>
      <c r="AP20">
        <v>4.0000000000000003E-5</v>
      </c>
      <c r="AQ20">
        <v>4.6E-5</v>
      </c>
      <c r="AR20">
        <v>7.2000000000000002E-5</v>
      </c>
      <c r="AS20">
        <v>4.8999999999999998E-5</v>
      </c>
      <c r="AT20">
        <v>4.6E-5</v>
      </c>
      <c r="AU20">
        <v>4.3999999999999999E-5</v>
      </c>
      <c r="AV20">
        <v>2.8E-5</v>
      </c>
      <c r="AW20">
        <v>2.4000000000000001E-5</v>
      </c>
      <c r="AX20">
        <v>1.5E-5</v>
      </c>
      <c r="AY20">
        <v>5.8E-5</v>
      </c>
      <c r="AZ20">
        <v>4.8999999999999998E-5</v>
      </c>
      <c r="BA20">
        <v>4.3999999999999999E-5</v>
      </c>
      <c r="BB20">
        <v>5.3000000000000001E-5</v>
      </c>
      <c r="BC20">
        <v>1.22E-4</v>
      </c>
    </row>
    <row r="21" spans="1:55">
      <c r="A21" t="s">
        <v>21</v>
      </c>
      <c r="B21">
        <v>2.5099999999999998E-4</v>
      </c>
      <c r="C21">
        <v>1.8879999999999999E-3</v>
      </c>
      <c r="D21">
        <v>7.0899999999999999E-4</v>
      </c>
      <c r="E21">
        <v>0</v>
      </c>
      <c r="F21">
        <v>4.5000000000000003E-5</v>
      </c>
      <c r="G21">
        <v>3.9589999999999998E-3</v>
      </c>
      <c r="H21">
        <v>1.64E-4</v>
      </c>
      <c r="I21">
        <v>1.83E-4</v>
      </c>
      <c r="J21">
        <v>7.4999999999999993E-5</v>
      </c>
      <c r="K21">
        <v>1.552E-3</v>
      </c>
      <c r="L21">
        <v>6.1219999999999998E-3</v>
      </c>
      <c r="M21">
        <v>0</v>
      </c>
      <c r="N21">
        <v>4.0000000000000002E-4</v>
      </c>
      <c r="O21">
        <v>2.5999999999999998E-5</v>
      </c>
      <c r="P21">
        <v>6.2299999999999996E-4</v>
      </c>
      <c r="Q21">
        <v>1.5300000000000001E-4</v>
      </c>
      <c r="R21">
        <v>2.5890000000000002E-3</v>
      </c>
      <c r="S21">
        <v>3.653E-3</v>
      </c>
      <c r="T21">
        <v>9.1699999999999995E-4</v>
      </c>
      <c r="U21">
        <v>0.18521099999999999</v>
      </c>
      <c r="V21">
        <v>9.2299999999999999E-4</v>
      </c>
      <c r="W21">
        <v>1.967E-3</v>
      </c>
      <c r="X21">
        <v>1.333E-3</v>
      </c>
      <c r="Y21">
        <v>8.8699999999999998E-4</v>
      </c>
      <c r="Z21">
        <v>3.0539999999999999E-3</v>
      </c>
      <c r="AA21">
        <v>6.7100000000000005E-4</v>
      </c>
      <c r="AB21">
        <v>2.1710000000000002E-3</v>
      </c>
      <c r="AC21">
        <v>5.2769999999999996E-3</v>
      </c>
      <c r="AD21">
        <v>2.0300000000000001E-3</v>
      </c>
      <c r="AE21">
        <v>1.17E-4</v>
      </c>
      <c r="AF21">
        <v>2.0900000000000001E-4</v>
      </c>
      <c r="AG21">
        <v>3.86E-4</v>
      </c>
      <c r="AH21">
        <v>2.8860000000000001E-3</v>
      </c>
      <c r="AI21">
        <v>7.2519999999999998E-3</v>
      </c>
      <c r="AJ21">
        <v>1.2154E-2</v>
      </c>
      <c r="AK21">
        <v>1.3680000000000001E-3</v>
      </c>
      <c r="AL21">
        <v>5.0299999999999997E-4</v>
      </c>
      <c r="AM21">
        <v>8.9499999999999996E-4</v>
      </c>
      <c r="AN21">
        <v>2.0739999999999999E-3</v>
      </c>
      <c r="AO21">
        <v>6.0099999999999997E-4</v>
      </c>
      <c r="AP21">
        <v>1.338E-3</v>
      </c>
      <c r="AQ21">
        <v>9.8400000000000007E-4</v>
      </c>
      <c r="AR21">
        <v>5.7899999999999998E-4</v>
      </c>
      <c r="AS21">
        <v>1.8474000000000001E-2</v>
      </c>
      <c r="AT21">
        <v>3.9370000000000004E-3</v>
      </c>
      <c r="AU21">
        <v>1.2226000000000001E-2</v>
      </c>
      <c r="AV21">
        <v>5.1780000000000003E-3</v>
      </c>
      <c r="AW21">
        <v>5.6410000000000002E-3</v>
      </c>
      <c r="AX21">
        <v>1.8730000000000001E-3</v>
      </c>
      <c r="AY21">
        <v>9.5879999999999993E-3</v>
      </c>
      <c r="AZ21">
        <v>9.3790000000000002E-3</v>
      </c>
      <c r="BA21">
        <v>1.8658000000000001E-2</v>
      </c>
      <c r="BB21">
        <v>2.1429999999999999E-3</v>
      </c>
      <c r="BC21">
        <v>3.774E-3</v>
      </c>
    </row>
    <row r="22" spans="1:55">
      <c r="A22" t="s">
        <v>22</v>
      </c>
      <c r="B22">
        <v>4.8098000000000002E-2</v>
      </c>
      <c r="C22">
        <v>7.5495999999999994E-2</v>
      </c>
      <c r="D22">
        <v>9.6584000000000003E-2</v>
      </c>
      <c r="E22">
        <v>2.9996999999999999E-2</v>
      </c>
      <c r="F22">
        <v>1.5328E-2</v>
      </c>
      <c r="G22">
        <v>2.5579999999999999E-2</v>
      </c>
      <c r="H22">
        <v>4.9240000000000004E-3</v>
      </c>
      <c r="I22">
        <v>3.6900000000000002E-4</v>
      </c>
      <c r="J22">
        <v>1.467E-3</v>
      </c>
      <c r="K22">
        <v>2.81E-4</v>
      </c>
      <c r="L22">
        <v>1.0978E-2</v>
      </c>
      <c r="M22">
        <v>0</v>
      </c>
      <c r="N22">
        <v>3.4303E-2</v>
      </c>
      <c r="O22">
        <v>3.21E-4</v>
      </c>
      <c r="P22">
        <v>4.8630000000000001E-3</v>
      </c>
      <c r="Q22">
        <v>0</v>
      </c>
      <c r="R22">
        <v>0.158861</v>
      </c>
      <c r="S22">
        <v>0.102753</v>
      </c>
      <c r="T22">
        <v>4.9874000000000002E-2</v>
      </c>
      <c r="U22">
        <v>5.2435000000000002E-2</v>
      </c>
      <c r="V22">
        <v>0.10499699999999999</v>
      </c>
      <c r="W22">
        <v>9.4691999999999998E-2</v>
      </c>
      <c r="X22">
        <v>4.1682999999999998E-2</v>
      </c>
      <c r="Y22">
        <v>7.4979000000000004E-2</v>
      </c>
      <c r="Z22">
        <v>5.0999999999999997E-2</v>
      </c>
      <c r="AA22">
        <v>5.045E-3</v>
      </c>
      <c r="AB22">
        <v>1.6716000000000002E-2</v>
      </c>
      <c r="AC22">
        <v>6.4075999999999994E-2</v>
      </c>
      <c r="AD22">
        <v>7.2491E-2</v>
      </c>
      <c r="AE22">
        <v>2.4060000000000002E-3</v>
      </c>
      <c r="AF22">
        <v>1.4100000000000001E-4</v>
      </c>
      <c r="AG22">
        <v>0.124679</v>
      </c>
      <c r="AH22">
        <v>9.2980000000000007E-3</v>
      </c>
      <c r="AI22">
        <v>5.3940000000000004E-3</v>
      </c>
      <c r="AJ22">
        <v>4.2069999999999998E-3</v>
      </c>
      <c r="AK22">
        <v>3.0860000000000002E-3</v>
      </c>
      <c r="AL22">
        <v>1.549E-3</v>
      </c>
      <c r="AM22">
        <v>4.4749999999999998E-3</v>
      </c>
      <c r="AN22">
        <v>6.8399999999999997E-3</v>
      </c>
      <c r="AO22">
        <v>5.4600000000000004E-4</v>
      </c>
      <c r="AP22">
        <v>1.4940000000000001E-3</v>
      </c>
      <c r="AQ22">
        <v>4.1019999999999997E-3</v>
      </c>
      <c r="AR22">
        <v>9.3599999999999998E-4</v>
      </c>
      <c r="AS22">
        <v>2.859E-3</v>
      </c>
      <c r="AT22">
        <v>1.8929999999999999E-3</v>
      </c>
      <c r="AU22">
        <v>5.0980000000000001E-3</v>
      </c>
      <c r="AV22">
        <v>1.9789999999999999E-3</v>
      </c>
      <c r="AW22">
        <v>1.119E-3</v>
      </c>
      <c r="AX22">
        <v>1.4530000000000001E-3</v>
      </c>
      <c r="AY22">
        <v>9.5239999999999995E-3</v>
      </c>
      <c r="AZ22">
        <v>6.4190000000000002E-3</v>
      </c>
      <c r="BA22">
        <v>1.9944E-2</v>
      </c>
      <c r="BB22">
        <v>0.119349</v>
      </c>
      <c r="BC22">
        <v>4.0327000000000002E-2</v>
      </c>
    </row>
    <row r="23" spans="1:55">
      <c r="A23" t="s">
        <v>23</v>
      </c>
      <c r="B23">
        <v>4.0299999999999998E-4</v>
      </c>
      <c r="C23">
        <v>1.2780000000000001E-3</v>
      </c>
      <c r="D23">
        <v>5.2099999999999998E-4</v>
      </c>
      <c r="E23">
        <v>0</v>
      </c>
      <c r="F23">
        <v>8.8629999999999994E-3</v>
      </c>
      <c r="G23">
        <v>8.6619999999999996E-3</v>
      </c>
      <c r="H23">
        <v>1.4899999999999999E-4</v>
      </c>
      <c r="I23">
        <v>1.74E-4</v>
      </c>
      <c r="J23">
        <v>1.6200000000000001E-4</v>
      </c>
      <c r="K23">
        <v>1.1400000000000001E-4</v>
      </c>
      <c r="L23">
        <v>6.9499999999999998E-4</v>
      </c>
      <c r="M23">
        <v>0</v>
      </c>
      <c r="N23">
        <v>3.9199999999999999E-4</v>
      </c>
      <c r="O23">
        <v>3.1999999999999999E-5</v>
      </c>
      <c r="P23">
        <v>2.81E-4</v>
      </c>
      <c r="Q23">
        <v>9.1000000000000003E-5</v>
      </c>
      <c r="R23">
        <v>5.2399999999999999E-3</v>
      </c>
      <c r="S23">
        <v>1.4308E-2</v>
      </c>
      <c r="T23">
        <v>2.8219999999999999E-3</v>
      </c>
      <c r="U23">
        <v>1.9430000000000001E-3</v>
      </c>
      <c r="V23">
        <v>1.701E-3</v>
      </c>
      <c r="W23">
        <v>6.3319E-2</v>
      </c>
      <c r="X23">
        <v>3.9199999999999999E-4</v>
      </c>
      <c r="Y23">
        <v>4.08E-4</v>
      </c>
      <c r="Z23">
        <v>8.6540000000000002E-3</v>
      </c>
      <c r="AA23">
        <v>1.2290000000000001E-3</v>
      </c>
      <c r="AB23">
        <v>1.9795E-2</v>
      </c>
      <c r="AC23">
        <v>2.7896000000000001E-2</v>
      </c>
      <c r="AD23">
        <v>1.4748000000000001E-2</v>
      </c>
      <c r="AE23">
        <v>4.66E-4</v>
      </c>
      <c r="AF23">
        <v>5.8999999999999998E-5</v>
      </c>
      <c r="AG23">
        <v>7.3899999999999997E-4</v>
      </c>
      <c r="AH23">
        <v>1.7545999999999999E-2</v>
      </c>
      <c r="AI23">
        <v>7.9070000000000008E-3</v>
      </c>
      <c r="AJ23">
        <v>1.0286999999999999E-2</v>
      </c>
      <c r="AK23">
        <v>1.284E-3</v>
      </c>
      <c r="AL23">
        <v>1.1731999999999999E-2</v>
      </c>
      <c r="AM23">
        <v>7.2170000000000003E-3</v>
      </c>
      <c r="AN23">
        <v>5.5750000000000001E-3</v>
      </c>
      <c r="AO23">
        <v>1.0685E-2</v>
      </c>
      <c r="AP23">
        <v>5.4299999999999999E-3</v>
      </c>
      <c r="AQ23">
        <v>3.6099999999999999E-4</v>
      </c>
      <c r="AR23">
        <v>7.7499999999999997E-4</v>
      </c>
      <c r="AS23">
        <v>6.3699999999999998E-4</v>
      </c>
      <c r="AT23">
        <v>2.6749999999999999E-3</v>
      </c>
      <c r="AU23">
        <v>2.604E-3</v>
      </c>
      <c r="AV23">
        <v>3.3189999999999999E-3</v>
      </c>
      <c r="AW23">
        <v>3.199E-3</v>
      </c>
      <c r="AX23">
        <v>1.392E-3</v>
      </c>
      <c r="AY23">
        <v>4.1120000000000002E-3</v>
      </c>
      <c r="AZ23">
        <v>1.1150000000000001E-3</v>
      </c>
      <c r="BA23">
        <v>3.0130000000000001E-3</v>
      </c>
      <c r="BB23">
        <v>2.4359999999999998E-3</v>
      </c>
      <c r="BC23">
        <v>3.1619999999999999E-3</v>
      </c>
    </row>
    <row r="24" spans="1:55">
      <c r="A24" t="s">
        <v>24</v>
      </c>
      <c r="B24">
        <v>9.9999999999999995E-7</v>
      </c>
      <c r="C24">
        <v>3.9999999999999998E-6</v>
      </c>
      <c r="D24">
        <v>4.2099999999999999E-4</v>
      </c>
      <c r="E24">
        <v>0</v>
      </c>
      <c r="F24">
        <v>9.9999999999999995E-7</v>
      </c>
      <c r="G24">
        <v>6.6200000000000005E-4</v>
      </c>
      <c r="H24">
        <v>9.9999999999999995E-7</v>
      </c>
      <c r="I24">
        <v>9.9999999999999995E-7</v>
      </c>
      <c r="J24">
        <v>1.9999999999999999E-6</v>
      </c>
      <c r="K24">
        <v>0</v>
      </c>
      <c r="L24">
        <v>1.9999999999999999E-6</v>
      </c>
      <c r="M24">
        <v>0</v>
      </c>
      <c r="N24">
        <v>9.9999999999999995E-7</v>
      </c>
      <c r="O24">
        <v>3.2699999999999998E-4</v>
      </c>
      <c r="P24">
        <v>7.2000000000000002E-5</v>
      </c>
      <c r="Q24">
        <v>0</v>
      </c>
      <c r="R24">
        <v>4.7399999999999997E-4</v>
      </c>
      <c r="S24">
        <v>9.8999999999999994E-5</v>
      </c>
      <c r="T24">
        <v>2.3219999999999998E-3</v>
      </c>
      <c r="U24">
        <v>5.1999999999999997E-5</v>
      </c>
      <c r="V24">
        <v>2.9799999999999998E-4</v>
      </c>
      <c r="W24">
        <v>1.9350000000000001E-3</v>
      </c>
      <c r="X24">
        <v>3.4387000000000001E-2</v>
      </c>
      <c r="Y24">
        <v>7.4700000000000005E-4</v>
      </c>
      <c r="Z24">
        <v>1.227E-3</v>
      </c>
      <c r="AA24">
        <v>5.0000000000000002E-5</v>
      </c>
      <c r="AB24">
        <v>1.5269999999999999E-3</v>
      </c>
      <c r="AC24">
        <v>5.2059999999999997E-3</v>
      </c>
      <c r="AD24">
        <v>1.2116E-2</v>
      </c>
      <c r="AE24">
        <v>5.0000000000000002E-5</v>
      </c>
      <c r="AF24">
        <v>0</v>
      </c>
      <c r="AG24">
        <v>6.2299999999999996E-4</v>
      </c>
      <c r="AH24">
        <v>1.7832000000000001E-2</v>
      </c>
      <c r="AI24">
        <v>1.03E-4</v>
      </c>
      <c r="AJ24">
        <v>1.05E-4</v>
      </c>
      <c r="AK24">
        <v>1.2957E-2</v>
      </c>
      <c r="AL24">
        <v>1.993E-3</v>
      </c>
      <c r="AM24">
        <v>1.2310000000000001E-3</v>
      </c>
      <c r="AN24">
        <v>1.1E-5</v>
      </c>
      <c r="AO24">
        <v>1.8E-5</v>
      </c>
      <c r="AP24">
        <v>2.1999999999999999E-5</v>
      </c>
      <c r="AQ24">
        <v>9.9999999999999995E-7</v>
      </c>
      <c r="AR24">
        <v>1.9999999999999999E-6</v>
      </c>
      <c r="AS24">
        <v>3.9999999999999998E-6</v>
      </c>
      <c r="AT24">
        <v>1.2E-5</v>
      </c>
      <c r="AU24">
        <v>0</v>
      </c>
      <c r="AV24">
        <v>9.9999999999999995E-7</v>
      </c>
      <c r="AW24">
        <v>1.9999999999999999E-6</v>
      </c>
      <c r="AX24">
        <v>4.1229999999999999E-3</v>
      </c>
      <c r="AY24">
        <v>1.217E-3</v>
      </c>
      <c r="AZ24">
        <v>8.03E-4</v>
      </c>
      <c r="BA24">
        <v>5.1850000000000004E-3</v>
      </c>
      <c r="BB24">
        <v>2.9989999999999999E-3</v>
      </c>
      <c r="BC24">
        <v>4.7260000000000002E-3</v>
      </c>
    </row>
    <row r="25" spans="1:55">
      <c r="A25" t="s">
        <v>25</v>
      </c>
      <c r="B25">
        <v>0</v>
      </c>
      <c r="C25">
        <v>0</v>
      </c>
      <c r="D25">
        <v>2.7399999999999999E-4</v>
      </c>
      <c r="E25">
        <v>0</v>
      </c>
      <c r="F25">
        <v>9.9999999999999995E-7</v>
      </c>
      <c r="G25">
        <v>9.9999999999999995E-7</v>
      </c>
      <c r="H25">
        <v>0</v>
      </c>
      <c r="I25">
        <v>0</v>
      </c>
      <c r="J25">
        <v>0</v>
      </c>
      <c r="K25">
        <v>0</v>
      </c>
      <c r="L25">
        <v>0</v>
      </c>
      <c r="M25">
        <v>0</v>
      </c>
      <c r="N25">
        <v>0</v>
      </c>
      <c r="O25">
        <v>0</v>
      </c>
      <c r="P25">
        <v>2.0999999999999999E-5</v>
      </c>
      <c r="Q25">
        <v>0</v>
      </c>
      <c r="R25">
        <v>8.8999999999999995E-5</v>
      </c>
      <c r="S25">
        <v>2.3E-5</v>
      </c>
      <c r="T25">
        <v>4.3000000000000002E-5</v>
      </c>
      <c r="U25">
        <v>5.2499999999999997E-4</v>
      </c>
      <c r="V25">
        <v>4.0000000000000003E-5</v>
      </c>
      <c r="W25">
        <v>2.3E-5</v>
      </c>
      <c r="X25">
        <v>1.6000000000000001E-4</v>
      </c>
      <c r="Y25">
        <v>1.0352999999999999E-2</v>
      </c>
      <c r="Z25">
        <v>5.8060000000000004E-3</v>
      </c>
      <c r="AA25">
        <v>6.3900000000000003E-4</v>
      </c>
      <c r="AB25">
        <v>1.9959999999999999E-3</v>
      </c>
      <c r="AC25">
        <v>1.1720000000000001E-3</v>
      </c>
      <c r="AD25">
        <v>4.7010000000000003E-3</v>
      </c>
      <c r="AE25">
        <v>0</v>
      </c>
      <c r="AF25">
        <v>0</v>
      </c>
      <c r="AG25">
        <v>0</v>
      </c>
      <c r="AH25">
        <v>1.291E-3</v>
      </c>
      <c r="AI25">
        <v>9.9999999999999995E-7</v>
      </c>
      <c r="AJ25">
        <v>0</v>
      </c>
      <c r="AK25">
        <v>9.9999999999999995E-7</v>
      </c>
      <c r="AL25">
        <v>0</v>
      </c>
      <c r="AM25">
        <v>0</v>
      </c>
      <c r="AN25">
        <v>0</v>
      </c>
      <c r="AO25">
        <v>0</v>
      </c>
      <c r="AP25">
        <v>0</v>
      </c>
      <c r="AQ25">
        <v>0</v>
      </c>
      <c r="AR25">
        <v>0</v>
      </c>
      <c r="AS25">
        <v>9.9999999999999995E-7</v>
      </c>
      <c r="AT25">
        <v>0</v>
      </c>
      <c r="AU25">
        <v>0</v>
      </c>
      <c r="AV25">
        <v>0</v>
      </c>
      <c r="AW25">
        <v>0</v>
      </c>
      <c r="AX25">
        <v>0</v>
      </c>
      <c r="AY25">
        <v>9.9999999999999995E-7</v>
      </c>
      <c r="AZ25">
        <v>0</v>
      </c>
      <c r="BA25">
        <v>9.9999999999999995E-7</v>
      </c>
      <c r="BB25">
        <v>9.9999999999999995E-7</v>
      </c>
      <c r="BC25">
        <v>9.9999999999999995E-7</v>
      </c>
    </row>
    <row r="26" spans="1:55">
      <c r="A26" t="s">
        <v>26</v>
      </c>
      <c r="B26">
        <v>2.43E-4</v>
      </c>
      <c r="C26">
        <v>1.1E-4</v>
      </c>
      <c r="D26">
        <v>2.7599999999999999E-4</v>
      </c>
      <c r="E26">
        <v>0</v>
      </c>
      <c r="F26">
        <v>1.0000000000000001E-5</v>
      </c>
      <c r="G26">
        <v>2.3059999999999999E-3</v>
      </c>
      <c r="H26">
        <v>1.4E-5</v>
      </c>
      <c r="I26">
        <v>2.6999999999999999E-5</v>
      </c>
      <c r="J26">
        <v>7.9999999999999996E-6</v>
      </c>
      <c r="K26">
        <v>1.36E-4</v>
      </c>
      <c r="L26">
        <v>1.689E-3</v>
      </c>
      <c r="M26">
        <v>0</v>
      </c>
      <c r="N26">
        <v>1.2669999999999999E-3</v>
      </c>
      <c r="O26">
        <v>5.8E-5</v>
      </c>
      <c r="P26">
        <v>5.1999999999999997E-5</v>
      </c>
      <c r="Q26">
        <v>0</v>
      </c>
      <c r="R26">
        <v>7.9100000000000004E-4</v>
      </c>
      <c r="S26">
        <v>1.5100000000000001E-3</v>
      </c>
      <c r="T26">
        <v>9.2199999999999997E-4</v>
      </c>
      <c r="U26">
        <v>6.7000000000000002E-4</v>
      </c>
      <c r="V26">
        <v>2.5000000000000001E-4</v>
      </c>
      <c r="W26">
        <v>5.1500000000000005E-4</v>
      </c>
      <c r="X26">
        <v>8.2100000000000001E-4</v>
      </c>
      <c r="Y26">
        <v>8.9999999999999998E-4</v>
      </c>
      <c r="Z26">
        <v>3.0738000000000001E-2</v>
      </c>
      <c r="AA26">
        <v>1.6874E-2</v>
      </c>
      <c r="AB26">
        <v>8.5389999999999997E-3</v>
      </c>
      <c r="AC26">
        <v>6.6610000000000003E-3</v>
      </c>
      <c r="AD26">
        <v>5.7730000000000004E-3</v>
      </c>
      <c r="AE26">
        <v>1.031E-3</v>
      </c>
      <c r="AF26">
        <v>0</v>
      </c>
      <c r="AG26">
        <v>1.3110000000000001E-3</v>
      </c>
      <c r="AH26">
        <v>2.846E-3</v>
      </c>
      <c r="AI26">
        <v>5.9670000000000001E-3</v>
      </c>
      <c r="AJ26">
        <v>1.189E-3</v>
      </c>
      <c r="AK26">
        <v>3.0820000000000001E-3</v>
      </c>
      <c r="AL26">
        <v>1.186E-3</v>
      </c>
      <c r="AM26">
        <v>2.6400000000000002E-4</v>
      </c>
      <c r="AN26">
        <v>3.3199999999999999E-4</v>
      </c>
      <c r="AO26">
        <v>1.5E-5</v>
      </c>
      <c r="AP26">
        <v>4.1800000000000002E-4</v>
      </c>
      <c r="AQ26">
        <v>2.4800000000000001E-4</v>
      </c>
      <c r="AR26">
        <v>4.8999999999999998E-5</v>
      </c>
      <c r="AS26">
        <v>4.2550000000000001E-3</v>
      </c>
      <c r="AT26">
        <v>6.0099999999999997E-4</v>
      </c>
      <c r="AU26">
        <v>2.6800000000000001E-4</v>
      </c>
      <c r="AV26">
        <v>1.1900000000000001E-4</v>
      </c>
      <c r="AW26">
        <v>3.8999999999999999E-5</v>
      </c>
      <c r="AX26">
        <v>2.23E-4</v>
      </c>
      <c r="AY26">
        <v>3.4390000000000002E-3</v>
      </c>
      <c r="AZ26">
        <v>5.5500000000000005E-4</v>
      </c>
      <c r="BA26">
        <v>2.434E-3</v>
      </c>
      <c r="BB26">
        <v>3.1830000000000001E-3</v>
      </c>
      <c r="BC26">
        <v>2.777E-3</v>
      </c>
    </row>
    <row r="27" spans="1:55">
      <c r="A27" t="s">
        <v>27</v>
      </c>
      <c r="B27">
        <v>0</v>
      </c>
      <c r="C27">
        <v>0</v>
      </c>
      <c r="D27">
        <v>4.08E-4</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row>
    <row r="28" spans="1:55">
      <c r="A28" t="s">
        <v>28</v>
      </c>
      <c r="B28">
        <v>7.1000000000000005E-5</v>
      </c>
      <c r="C28">
        <v>1.18E-4</v>
      </c>
      <c r="D28">
        <v>1.2899999999999999E-3</v>
      </c>
      <c r="E28">
        <v>4.17E-4</v>
      </c>
      <c r="F28">
        <v>3.0000000000000001E-6</v>
      </c>
      <c r="G28">
        <v>4.1399999999999998E-4</v>
      </c>
      <c r="H28">
        <v>5.0000000000000004E-6</v>
      </c>
      <c r="I28">
        <v>1.3999999999999999E-4</v>
      </c>
      <c r="J28">
        <v>2.32E-4</v>
      </c>
      <c r="K28">
        <v>5.3999999999999998E-5</v>
      </c>
      <c r="L28">
        <v>2.9399999999999999E-4</v>
      </c>
      <c r="M28">
        <v>0</v>
      </c>
      <c r="N28">
        <v>3.1599999999999998E-4</v>
      </c>
      <c r="O28">
        <v>4.5000000000000003E-5</v>
      </c>
      <c r="P28">
        <v>6.6000000000000005E-5</v>
      </c>
      <c r="Q28">
        <v>0</v>
      </c>
      <c r="R28">
        <v>3.0400000000000002E-4</v>
      </c>
      <c r="S28">
        <v>2.32E-4</v>
      </c>
      <c r="T28">
        <v>1.2999999999999999E-4</v>
      </c>
      <c r="U28">
        <v>2.4600000000000002E-4</v>
      </c>
      <c r="V28">
        <v>1.12E-4</v>
      </c>
      <c r="W28">
        <v>2.0900000000000001E-4</v>
      </c>
      <c r="X28">
        <v>1.18E-4</v>
      </c>
      <c r="Y28">
        <v>1.93E-4</v>
      </c>
      <c r="Z28">
        <v>2.9700000000000001E-4</v>
      </c>
      <c r="AA28">
        <v>8.7000000000000001E-5</v>
      </c>
      <c r="AB28">
        <v>1.6969999999999999E-2</v>
      </c>
      <c r="AC28">
        <v>2.24E-4</v>
      </c>
      <c r="AD28">
        <v>3.7399999999999998E-4</v>
      </c>
      <c r="AE28">
        <v>1.0000000000000001E-5</v>
      </c>
      <c r="AF28">
        <v>1.03E-4</v>
      </c>
      <c r="AG28">
        <v>2.2599999999999999E-4</v>
      </c>
      <c r="AH28">
        <v>2.9100000000000003E-4</v>
      </c>
      <c r="AI28">
        <v>8.0599999999999997E-4</v>
      </c>
      <c r="AJ28">
        <v>3.1599999999999998E-4</v>
      </c>
      <c r="AK28">
        <v>9.2999999999999997E-5</v>
      </c>
      <c r="AL28">
        <v>2.2769999999999999E-3</v>
      </c>
      <c r="AM28">
        <v>2.9700000000000001E-4</v>
      </c>
      <c r="AN28">
        <v>1.7409999999999999E-3</v>
      </c>
      <c r="AO28">
        <v>2.8540000000000002E-3</v>
      </c>
      <c r="AP28">
        <v>4.08E-4</v>
      </c>
      <c r="AQ28">
        <v>7.1000000000000005E-5</v>
      </c>
      <c r="AR28">
        <v>1.66E-4</v>
      </c>
      <c r="AS28">
        <v>6.9999999999999994E-5</v>
      </c>
      <c r="AT28">
        <v>1.7699999999999999E-4</v>
      </c>
      <c r="AU28">
        <v>1.36E-4</v>
      </c>
      <c r="AV28">
        <v>2.14E-4</v>
      </c>
      <c r="AW28">
        <v>1E-4</v>
      </c>
      <c r="AX28">
        <v>1.08E-4</v>
      </c>
      <c r="AY28">
        <v>6.9899999999999997E-4</v>
      </c>
      <c r="AZ28">
        <v>1.01E-4</v>
      </c>
      <c r="BA28">
        <v>1.01E-4</v>
      </c>
      <c r="BB28">
        <v>1.08E-4</v>
      </c>
      <c r="BC28">
        <v>8.2999999999999998E-5</v>
      </c>
    </row>
    <row r="29" spans="1:55">
      <c r="A29" t="s">
        <v>29</v>
      </c>
      <c r="B29">
        <v>9.9999999999999995E-7</v>
      </c>
      <c r="C29">
        <v>9.9999999999999995E-7</v>
      </c>
      <c r="D29">
        <v>0</v>
      </c>
      <c r="E29">
        <v>0</v>
      </c>
      <c r="F29">
        <v>9.9999999999999995E-7</v>
      </c>
      <c r="G29">
        <v>9.9999999999999995E-7</v>
      </c>
      <c r="H29">
        <v>9.9999999999999995E-7</v>
      </c>
      <c r="I29">
        <v>0</v>
      </c>
      <c r="J29">
        <v>9.9999999999999995E-7</v>
      </c>
      <c r="K29">
        <v>0</v>
      </c>
      <c r="L29">
        <v>1.9999999999999999E-6</v>
      </c>
      <c r="M29">
        <v>0</v>
      </c>
      <c r="N29">
        <v>3.9999999999999998E-6</v>
      </c>
      <c r="O29">
        <v>0</v>
      </c>
      <c r="P29">
        <v>5.5000000000000002E-5</v>
      </c>
      <c r="Q29">
        <v>0</v>
      </c>
      <c r="R29">
        <v>5.3999999999999998E-5</v>
      </c>
      <c r="S29">
        <v>2.2900000000000001E-4</v>
      </c>
      <c r="T29">
        <v>3.8000000000000002E-5</v>
      </c>
      <c r="U29">
        <v>1.3999999999999999E-4</v>
      </c>
      <c r="V29">
        <v>3.9999999999999998E-6</v>
      </c>
      <c r="W29">
        <v>1.2999999999999999E-5</v>
      </c>
      <c r="X29">
        <v>9.9999999999999995E-7</v>
      </c>
      <c r="Y29">
        <v>1.9999999999999999E-6</v>
      </c>
      <c r="Z29">
        <v>5.0000000000000004E-6</v>
      </c>
      <c r="AA29">
        <v>3.9999999999999998E-6</v>
      </c>
      <c r="AB29">
        <v>1.2999999999999999E-5</v>
      </c>
      <c r="AC29">
        <v>1.5900000000000001E-3</v>
      </c>
      <c r="AD29">
        <v>3.6400000000000001E-4</v>
      </c>
      <c r="AE29">
        <v>0</v>
      </c>
      <c r="AF29">
        <v>0</v>
      </c>
      <c r="AG29">
        <v>1.9999999999999999E-6</v>
      </c>
      <c r="AH29">
        <v>1.3999999999999999E-4</v>
      </c>
      <c r="AI29">
        <v>1.9999999999999999E-6</v>
      </c>
      <c r="AJ29">
        <v>1.9999999999999999E-6</v>
      </c>
      <c r="AK29">
        <v>3.0000000000000001E-6</v>
      </c>
      <c r="AL29">
        <v>3.9999999999999998E-6</v>
      </c>
      <c r="AM29">
        <v>2.5999999999999998E-5</v>
      </c>
      <c r="AN29">
        <v>1.0000000000000001E-5</v>
      </c>
      <c r="AO29">
        <v>1.5999999999999999E-5</v>
      </c>
      <c r="AP29">
        <v>9.0000000000000002E-6</v>
      </c>
      <c r="AQ29">
        <v>2.0900000000000001E-4</v>
      </c>
      <c r="AR29">
        <v>7.9999999999999996E-6</v>
      </c>
      <c r="AS29">
        <v>9.9999999999999995E-7</v>
      </c>
      <c r="AT29">
        <v>1.6100000000000001E-4</v>
      </c>
      <c r="AU29">
        <v>7.8999999999999996E-5</v>
      </c>
      <c r="AV29">
        <v>6.3999999999999997E-5</v>
      </c>
      <c r="AW29">
        <v>1.37E-4</v>
      </c>
      <c r="AX29">
        <v>6.9999999999999999E-6</v>
      </c>
      <c r="AY29">
        <v>1.27E-4</v>
      </c>
      <c r="AZ29">
        <v>9.9999999999999995E-7</v>
      </c>
      <c r="BA29">
        <v>1.8100000000000001E-4</v>
      </c>
      <c r="BB29">
        <v>1.34E-4</v>
      </c>
      <c r="BC29">
        <v>3.2299999999999999E-4</v>
      </c>
    </row>
    <row r="30" spans="1:55">
      <c r="A30" t="s">
        <v>30</v>
      </c>
      <c r="B30">
        <v>7.6000000000000004E-5</v>
      </c>
      <c r="C30">
        <v>5.8900000000000001E-4</v>
      </c>
      <c r="D30">
        <v>1.176E-3</v>
      </c>
      <c r="E30">
        <v>7.0520000000000001E-3</v>
      </c>
      <c r="F30">
        <v>4.5000000000000003E-5</v>
      </c>
      <c r="G30">
        <v>1.7260000000000001E-3</v>
      </c>
      <c r="H30">
        <v>5.3000000000000001E-5</v>
      </c>
      <c r="I30">
        <v>1.7200000000000001E-4</v>
      </c>
      <c r="J30">
        <v>1.0070000000000001E-3</v>
      </c>
      <c r="K30">
        <v>2.0799999999999999E-4</v>
      </c>
      <c r="L30">
        <v>2.9999999999999997E-4</v>
      </c>
      <c r="M30">
        <v>0</v>
      </c>
      <c r="N30">
        <v>1.07E-4</v>
      </c>
      <c r="O30">
        <v>5.3000000000000001E-5</v>
      </c>
      <c r="P30">
        <v>6.9999999999999994E-5</v>
      </c>
      <c r="Q30">
        <v>0</v>
      </c>
      <c r="R30">
        <v>6.9899999999999997E-4</v>
      </c>
      <c r="S30">
        <v>1.5899999999999999E-4</v>
      </c>
      <c r="T30">
        <v>1.17E-4</v>
      </c>
      <c r="U30">
        <v>1.0399999999999999E-4</v>
      </c>
      <c r="V30">
        <v>3.86E-4</v>
      </c>
      <c r="W30">
        <v>1.11E-4</v>
      </c>
      <c r="X30">
        <v>6.4999999999999994E-5</v>
      </c>
      <c r="Y30">
        <v>1.8699999999999999E-4</v>
      </c>
      <c r="Z30">
        <v>3.9500000000000001E-4</v>
      </c>
      <c r="AA30">
        <v>9.9999999999999995E-7</v>
      </c>
      <c r="AB30">
        <v>5.3999999999999998E-5</v>
      </c>
      <c r="AC30">
        <v>4.75E-4</v>
      </c>
      <c r="AD30">
        <v>6.2570000000000004E-3</v>
      </c>
      <c r="AE30">
        <v>5.3999999999999998E-5</v>
      </c>
      <c r="AF30">
        <v>5.04E-4</v>
      </c>
      <c r="AG30">
        <v>1.2899999999999999E-4</v>
      </c>
      <c r="AH30">
        <v>1.2400000000000001E-4</v>
      </c>
      <c r="AI30">
        <v>3.9599999999999998E-4</v>
      </c>
      <c r="AJ30">
        <v>8.2200000000000003E-4</v>
      </c>
      <c r="AK30">
        <v>7.038E-3</v>
      </c>
      <c r="AL30">
        <v>2.0999999999999999E-5</v>
      </c>
      <c r="AM30">
        <v>3.4520000000000002E-3</v>
      </c>
      <c r="AN30">
        <v>6.3689999999999997E-3</v>
      </c>
      <c r="AO30">
        <v>1.5150000000000001E-3</v>
      </c>
      <c r="AP30">
        <v>1.15E-4</v>
      </c>
      <c r="AQ30">
        <v>1.92E-4</v>
      </c>
      <c r="AR30">
        <v>3.8000000000000002E-5</v>
      </c>
      <c r="AS30">
        <v>1.0460000000000001E-3</v>
      </c>
      <c r="AT30">
        <v>9.3300000000000002E-4</v>
      </c>
      <c r="AU30">
        <v>1.0039999999999999E-3</v>
      </c>
      <c r="AV30">
        <v>4.26E-4</v>
      </c>
      <c r="AW30">
        <v>1.34E-4</v>
      </c>
      <c r="AX30">
        <v>3.0200000000000002E-4</v>
      </c>
      <c r="AY30">
        <v>2.1619999999999999E-3</v>
      </c>
      <c r="AZ30">
        <v>1.3420000000000001E-3</v>
      </c>
      <c r="BA30">
        <v>2.153E-3</v>
      </c>
      <c r="BB30">
        <v>7.6699999999999997E-3</v>
      </c>
      <c r="BC30">
        <v>5.182E-3</v>
      </c>
    </row>
    <row r="31" spans="1:55">
      <c r="A31" t="s">
        <v>31</v>
      </c>
      <c r="B31">
        <v>1.2E-4</v>
      </c>
      <c r="C31">
        <v>5.6099999999999998E-4</v>
      </c>
      <c r="D31">
        <v>7.097E-3</v>
      </c>
      <c r="E31">
        <v>7.7879999999999998E-3</v>
      </c>
      <c r="F31">
        <v>3.0000000000000001E-6</v>
      </c>
      <c r="G31">
        <v>7.5799999999999999E-4</v>
      </c>
      <c r="H31">
        <v>2.9700000000000001E-4</v>
      </c>
      <c r="I31">
        <v>7.8399999999999997E-4</v>
      </c>
      <c r="J31">
        <v>6.7500000000000004E-4</v>
      </c>
      <c r="K31">
        <v>6.6399999999999999E-4</v>
      </c>
      <c r="L31">
        <v>7.6099999999999996E-4</v>
      </c>
      <c r="M31">
        <v>0</v>
      </c>
      <c r="N31">
        <v>2.4000000000000001E-5</v>
      </c>
      <c r="O31">
        <v>3.5199999999999999E-4</v>
      </c>
      <c r="P31">
        <v>9.5100000000000002E-4</v>
      </c>
      <c r="Q31">
        <v>0</v>
      </c>
      <c r="R31">
        <v>9.7890000000000008E-3</v>
      </c>
      <c r="S31">
        <v>8.2730000000000008E-3</v>
      </c>
      <c r="T31">
        <v>2.264E-3</v>
      </c>
      <c r="U31">
        <v>8.1720000000000004E-3</v>
      </c>
      <c r="V31">
        <v>1.794E-3</v>
      </c>
      <c r="W31">
        <v>3.7160000000000001E-3</v>
      </c>
      <c r="X31">
        <v>4.5519999999999996E-3</v>
      </c>
      <c r="Y31">
        <v>4.3839999999999999E-3</v>
      </c>
      <c r="Z31">
        <v>5.9560000000000004E-3</v>
      </c>
      <c r="AA31">
        <v>1.3010000000000001E-3</v>
      </c>
      <c r="AB31">
        <v>2.9580000000000001E-3</v>
      </c>
      <c r="AC31">
        <v>4.5250000000000004E-3</v>
      </c>
      <c r="AD31">
        <v>9.5759999999999994E-3</v>
      </c>
      <c r="AE31">
        <v>0.16664799999999999</v>
      </c>
      <c r="AF31">
        <v>1.9599999999999999E-4</v>
      </c>
      <c r="AG31">
        <v>2.9760000000000002E-2</v>
      </c>
      <c r="AH31">
        <v>8.03E-4</v>
      </c>
      <c r="AI31">
        <v>5.999E-3</v>
      </c>
      <c r="AJ31">
        <v>3.5899999999999999E-3</v>
      </c>
      <c r="AK31">
        <v>4.3718E-2</v>
      </c>
      <c r="AL31">
        <v>6.11E-4</v>
      </c>
      <c r="AM31">
        <v>1.186E-3</v>
      </c>
      <c r="AN31">
        <v>6.3740000000000003E-3</v>
      </c>
      <c r="AO31">
        <v>4.8999999999999998E-4</v>
      </c>
      <c r="AP31">
        <v>6.973E-3</v>
      </c>
      <c r="AQ31">
        <v>4.1949999999999999E-3</v>
      </c>
      <c r="AR31">
        <v>1.1299999999999999E-3</v>
      </c>
      <c r="AS31">
        <v>4.2950000000000002E-3</v>
      </c>
      <c r="AT31">
        <v>1.536E-3</v>
      </c>
      <c r="AU31">
        <v>2.49E-3</v>
      </c>
      <c r="AV31">
        <v>2.4499999999999999E-3</v>
      </c>
      <c r="AW31">
        <v>2.2399999999999998E-3</v>
      </c>
      <c r="AX31">
        <v>1.0629999999999999E-3</v>
      </c>
      <c r="AY31">
        <v>3.7439999999999999E-3</v>
      </c>
      <c r="AZ31">
        <v>9.6019999999999994E-3</v>
      </c>
      <c r="BA31">
        <v>4.9639999999999997E-3</v>
      </c>
      <c r="BB31">
        <v>6.6670000000000002E-3</v>
      </c>
      <c r="BC31">
        <v>8.6569999999999998E-3</v>
      </c>
    </row>
    <row r="32" spans="1:55">
      <c r="A32" t="s">
        <v>32</v>
      </c>
      <c r="B32">
        <v>0</v>
      </c>
      <c r="C32">
        <v>0</v>
      </c>
      <c r="D32">
        <v>1.16E-4</v>
      </c>
      <c r="E32">
        <v>0</v>
      </c>
      <c r="F32">
        <v>0</v>
      </c>
      <c r="G32">
        <v>0</v>
      </c>
      <c r="H32">
        <v>0</v>
      </c>
      <c r="I32">
        <v>0</v>
      </c>
      <c r="J32">
        <v>6.6299999999999996E-4</v>
      </c>
      <c r="K32">
        <v>0</v>
      </c>
      <c r="L32">
        <v>0</v>
      </c>
      <c r="M32">
        <v>0</v>
      </c>
      <c r="N32">
        <v>6.0000000000000002E-6</v>
      </c>
      <c r="O32">
        <v>0</v>
      </c>
      <c r="P32">
        <v>9.6000000000000002E-5</v>
      </c>
      <c r="Q32">
        <v>0</v>
      </c>
      <c r="R32">
        <v>8.8999999999999995E-4</v>
      </c>
      <c r="S32">
        <v>5.9900000000000003E-4</v>
      </c>
      <c r="T32">
        <v>3.3799999999999998E-4</v>
      </c>
      <c r="U32">
        <v>4.2299999999999998E-4</v>
      </c>
      <c r="V32">
        <v>3.3199999999999999E-4</v>
      </c>
      <c r="W32">
        <v>5.2700000000000002E-4</v>
      </c>
      <c r="X32">
        <v>1.0269999999999999E-3</v>
      </c>
      <c r="Y32">
        <v>9.2400000000000002E-4</v>
      </c>
      <c r="Z32">
        <v>7.9900000000000001E-4</v>
      </c>
      <c r="AA32">
        <v>3.1100000000000002E-4</v>
      </c>
      <c r="AB32">
        <v>3.5399999999999999E-4</v>
      </c>
      <c r="AC32">
        <v>8.4199999999999998E-4</v>
      </c>
      <c r="AD32">
        <v>8.9800000000000004E-4</v>
      </c>
      <c r="AE32">
        <v>3.4E-5</v>
      </c>
      <c r="AF32">
        <v>1.35E-4</v>
      </c>
      <c r="AG32">
        <v>2.4000000000000001E-5</v>
      </c>
      <c r="AH32">
        <v>8.0000000000000007E-5</v>
      </c>
      <c r="AI32">
        <v>0</v>
      </c>
      <c r="AJ32">
        <v>7.9999999999999996E-6</v>
      </c>
      <c r="AK32">
        <v>0</v>
      </c>
      <c r="AL32">
        <v>2.4000000000000001E-4</v>
      </c>
      <c r="AM32">
        <v>0</v>
      </c>
      <c r="AN32">
        <v>0</v>
      </c>
      <c r="AO32">
        <v>5.0000000000000004E-6</v>
      </c>
      <c r="AP32">
        <v>0</v>
      </c>
      <c r="AQ32">
        <v>2.2800000000000001E-4</v>
      </c>
      <c r="AR32">
        <v>3.8000000000000002E-5</v>
      </c>
      <c r="AS32">
        <v>0</v>
      </c>
      <c r="AT32">
        <v>0</v>
      </c>
      <c r="AU32">
        <v>0</v>
      </c>
      <c r="AV32">
        <v>0</v>
      </c>
      <c r="AW32">
        <v>0</v>
      </c>
      <c r="AX32">
        <v>0</v>
      </c>
      <c r="AY32">
        <v>9.0000000000000002E-6</v>
      </c>
      <c r="AZ32">
        <v>1.4E-5</v>
      </c>
      <c r="BA32">
        <v>4.8999999999999998E-5</v>
      </c>
      <c r="BB32">
        <v>2.6999999999999999E-5</v>
      </c>
      <c r="BC32">
        <v>5.0000000000000004E-6</v>
      </c>
    </row>
    <row r="33" spans="1:55">
      <c r="A33" t="s">
        <v>33</v>
      </c>
      <c r="B33">
        <v>1.0000000000000001E-5</v>
      </c>
      <c r="C33">
        <v>6.69E-4</v>
      </c>
      <c r="D33">
        <v>1E-3</v>
      </c>
      <c r="E33">
        <v>0</v>
      </c>
      <c r="F33">
        <v>3.9999999999999998E-6</v>
      </c>
      <c r="G33">
        <v>6.9999999999999999E-6</v>
      </c>
      <c r="H33">
        <v>1.3200000000000001E-4</v>
      </c>
      <c r="I33">
        <v>9.9999999999999995E-7</v>
      </c>
      <c r="J33">
        <v>6.8999999999999997E-5</v>
      </c>
      <c r="K33">
        <v>1.85E-4</v>
      </c>
      <c r="L33">
        <v>8.3999999999999995E-5</v>
      </c>
      <c r="M33">
        <v>0</v>
      </c>
      <c r="N33">
        <v>1.2E-5</v>
      </c>
      <c r="O33">
        <v>6.0000000000000002E-6</v>
      </c>
      <c r="P33">
        <v>1.7100000000000001E-4</v>
      </c>
      <c r="Q33">
        <v>0</v>
      </c>
      <c r="R33">
        <v>1.1850000000000001E-3</v>
      </c>
      <c r="S33">
        <v>4.7699999999999999E-4</v>
      </c>
      <c r="T33">
        <v>1.5300000000000001E-4</v>
      </c>
      <c r="U33">
        <v>9.5100000000000002E-4</v>
      </c>
      <c r="V33">
        <v>3.3E-4</v>
      </c>
      <c r="W33">
        <v>3.7300000000000001E-4</v>
      </c>
      <c r="X33">
        <v>8.0999999999999996E-4</v>
      </c>
      <c r="Y33">
        <v>1.0968E-2</v>
      </c>
      <c r="Z33">
        <v>2.4399999999999999E-4</v>
      </c>
      <c r="AA33">
        <v>6.2000000000000003E-5</v>
      </c>
      <c r="AB33">
        <v>5.4799999999999998E-4</v>
      </c>
      <c r="AC33">
        <v>4.0200000000000001E-4</v>
      </c>
      <c r="AD33">
        <v>3.97E-4</v>
      </c>
      <c r="AE33">
        <v>1.9000000000000001E-5</v>
      </c>
      <c r="AF33">
        <v>9.0000000000000002E-6</v>
      </c>
      <c r="AG33">
        <v>3.0838999999999998E-2</v>
      </c>
      <c r="AH33">
        <v>8.2000000000000001E-5</v>
      </c>
      <c r="AI33">
        <v>8.8800000000000001E-4</v>
      </c>
      <c r="AJ33">
        <v>6.1899999999999998E-4</v>
      </c>
      <c r="AK33">
        <v>6.3999999999999997E-5</v>
      </c>
      <c r="AL33">
        <v>1.5999999999999999E-5</v>
      </c>
      <c r="AM33">
        <v>9.4700000000000003E-4</v>
      </c>
      <c r="AN33">
        <v>4.5300000000000001E-4</v>
      </c>
      <c r="AO33">
        <v>6.0000000000000002E-5</v>
      </c>
      <c r="AP33">
        <v>5.9500000000000004E-4</v>
      </c>
      <c r="AQ33">
        <v>7.9100000000000004E-4</v>
      </c>
      <c r="AR33">
        <v>8.3999999999999995E-5</v>
      </c>
      <c r="AS33">
        <v>1.01E-4</v>
      </c>
      <c r="AT33">
        <v>3.4999999999999997E-5</v>
      </c>
      <c r="AU33">
        <v>1.5E-5</v>
      </c>
      <c r="AV33">
        <v>9.2999999999999997E-5</v>
      </c>
      <c r="AW33">
        <v>1.2E-5</v>
      </c>
      <c r="AX33">
        <v>6.7999999999999999E-5</v>
      </c>
      <c r="AY33">
        <v>5.8100000000000003E-4</v>
      </c>
      <c r="AZ33">
        <v>3.9300000000000001E-4</v>
      </c>
      <c r="BA33">
        <v>5.1900000000000004E-4</v>
      </c>
      <c r="BB33">
        <v>3.039E-3</v>
      </c>
      <c r="BC33">
        <v>1.5590000000000001E-3</v>
      </c>
    </row>
    <row r="34" spans="1:55">
      <c r="A34" t="s">
        <v>34</v>
      </c>
      <c r="B34">
        <v>3.2079000000000003E-2</v>
      </c>
      <c r="C34">
        <v>2.2984000000000001E-2</v>
      </c>
      <c r="D34">
        <v>1.291E-3</v>
      </c>
      <c r="E34">
        <v>1.3569999999999999E-3</v>
      </c>
      <c r="F34">
        <v>9.4389999999999995E-3</v>
      </c>
      <c r="G34">
        <v>1.4964E-2</v>
      </c>
      <c r="H34">
        <v>1.8699999999999999E-3</v>
      </c>
      <c r="I34">
        <v>4.4571E-2</v>
      </c>
      <c r="J34">
        <v>4.4470000000000004E-3</v>
      </c>
      <c r="K34">
        <v>1.9158000000000001E-2</v>
      </c>
      <c r="L34">
        <v>4.0909000000000001E-2</v>
      </c>
      <c r="M34">
        <v>0</v>
      </c>
      <c r="N34">
        <v>6.6772999999999999E-2</v>
      </c>
      <c r="O34">
        <v>9.0899999999999998E-4</v>
      </c>
      <c r="P34">
        <v>2.1100000000000001E-4</v>
      </c>
      <c r="Q34">
        <v>1.0000000000000001E-5</v>
      </c>
      <c r="R34">
        <v>1.467E-3</v>
      </c>
      <c r="S34">
        <v>1.6490000000000001E-3</v>
      </c>
      <c r="T34">
        <v>2.8899999999999998E-4</v>
      </c>
      <c r="U34">
        <v>2.3839999999999998E-3</v>
      </c>
      <c r="V34">
        <v>4.3000000000000002E-5</v>
      </c>
      <c r="W34">
        <v>7.3999999999999996E-5</v>
      </c>
      <c r="X34">
        <v>1.9720999999999999E-2</v>
      </c>
      <c r="Y34">
        <v>4.1190000000000003E-3</v>
      </c>
      <c r="Z34">
        <v>2.8400000000000002E-4</v>
      </c>
      <c r="AA34">
        <v>2.4000000000000001E-5</v>
      </c>
      <c r="AB34">
        <v>1.8599999999999999E-4</v>
      </c>
      <c r="AC34">
        <v>1.0250000000000001E-3</v>
      </c>
      <c r="AD34">
        <v>3.3500000000000001E-4</v>
      </c>
      <c r="AE34">
        <v>9.9700000000000006E-4</v>
      </c>
      <c r="AF34">
        <v>8.2349999999999993E-3</v>
      </c>
      <c r="AG34">
        <v>3.0665999999999999E-2</v>
      </c>
      <c r="AH34">
        <v>3.2450000000000001E-3</v>
      </c>
      <c r="AI34">
        <v>1.4276E-2</v>
      </c>
      <c r="AJ34">
        <v>2.9922000000000001E-2</v>
      </c>
      <c r="AK34">
        <v>7.0418999999999995E-2</v>
      </c>
      <c r="AL34">
        <v>2.4399999999999999E-4</v>
      </c>
      <c r="AM34">
        <v>3.0610999999999999E-2</v>
      </c>
      <c r="AN34">
        <v>2.0390999999999999E-2</v>
      </c>
      <c r="AO34">
        <v>1.3860000000000001E-3</v>
      </c>
      <c r="AP34">
        <v>9.4979999999999995E-2</v>
      </c>
      <c r="AQ34">
        <v>7.4029999999999999E-3</v>
      </c>
      <c r="AR34">
        <v>1.127E-3</v>
      </c>
      <c r="AS34">
        <v>1.9068000000000002E-2</v>
      </c>
      <c r="AT34">
        <v>1.1903E-2</v>
      </c>
      <c r="AU34">
        <v>7.3740000000000003E-3</v>
      </c>
      <c r="AV34">
        <v>3.735E-3</v>
      </c>
      <c r="AW34">
        <v>6.6969999999999998E-3</v>
      </c>
      <c r="AX34">
        <v>8.3041000000000004E-2</v>
      </c>
      <c r="AY34">
        <v>6.8129999999999996E-3</v>
      </c>
      <c r="AZ34">
        <v>6.1789999999999998E-2</v>
      </c>
      <c r="BA34">
        <v>8.3110000000000007E-3</v>
      </c>
      <c r="BB34">
        <v>2.9399999999999999E-3</v>
      </c>
      <c r="BC34">
        <v>6.1669999999999997E-3</v>
      </c>
    </row>
    <row r="35" spans="1:55">
      <c r="A35" t="s">
        <v>35</v>
      </c>
      <c r="B35">
        <v>6.9020000000000001E-3</v>
      </c>
      <c r="C35">
        <v>3.2989999999999998E-3</v>
      </c>
      <c r="D35">
        <v>0</v>
      </c>
      <c r="E35">
        <v>0</v>
      </c>
      <c r="F35">
        <v>9.9999999999999995E-7</v>
      </c>
      <c r="G35">
        <v>4.8799999999999998E-3</v>
      </c>
      <c r="H35">
        <v>3.1740000000000002E-3</v>
      </c>
      <c r="I35">
        <v>5.6499999999999996E-3</v>
      </c>
      <c r="J35">
        <v>1.5510000000000001E-3</v>
      </c>
      <c r="K35">
        <v>6.4099999999999997E-4</v>
      </c>
      <c r="L35">
        <v>7.3670000000000003E-3</v>
      </c>
      <c r="M35">
        <v>0</v>
      </c>
      <c r="N35">
        <v>1.2205000000000001E-2</v>
      </c>
      <c r="O35">
        <v>2.03E-4</v>
      </c>
      <c r="P35">
        <v>6.7279999999999996E-3</v>
      </c>
      <c r="Q35">
        <v>2.8219999999999999E-3</v>
      </c>
      <c r="R35">
        <v>1.0614999999999999E-2</v>
      </c>
      <c r="S35">
        <v>8.3929999999999994E-3</v>
      </c>
      <c r="T35">
        <v>1.0416E-2</v>
      </c>
      <c r="U35">
        <v>1.1767E-2</v>
      </c>
      <c r="V35">
        <v>4.4590000000000003E-3</v>
      </c>
      <c r="W35">
        <v>8.5170000000000003E-3</v>
      </c>
      <c r="X35">
        <v>4.1060000000000003E-3</v>
      </c>
      <c r="Y35">
        <v>6.0939999999999996E-3</v>
      </c>
      <c r="Z35">
        <v>1.0711999999999999E-2</v>
      </c>
      <c r="AA35">
        <v>1.1228999999999999E-2</v>
      </c>
      <c r="AB35">
        <v>2.5225999999999998E-2</v>
      </c>
      <c r="AC35">
        <v>1.0952E-2</v>
      </c>
      <c r="AD35">
        <v>1.0196E-2</v>
      </c>
      <c r="AE35">
        <v>2.1810000000000002E-3</v>
      </c>
      <c r="AF35">
        <v>1.023E-3</v>
      </c>
      <c r="AG35">
        <v>3.9779999999999998E-3</v>
      </c>
      <c r="AH35">
        <v>1.3665E-2</v>
      </c>
      <c r="AI35">
        <v>9.4490000000000008E-3</v>
      </c>
      <c r="AJ35">
        <v>7.4780000000000003E-3</v>
      </c>
      <c r="AK35">
        <v>7.7689999999999999E-3</v>
      </c>
      <c r="AL35">
        <v>3.0851E-2</v>
      </c>
      <c r="AM35">
        <v>1.2277E-2</v>
      </c>
      <c r="AN35">
        <v>1.1364000000000001E-2</v>
      </c>
      <c r="AO35">
        <v>9.3740000000000004E-3</v>
      </c>
      <c r="AP35">
        <v>1.2758E-2</v>
      </c>
      <c r="AQ35">
        <v>4.7650000000000001E-3</v>
      </c>
      <c r="AR35">
        <v>7.6020000000000003E-3</v>
      </c>
      <c r="AS35">
        <v>3.3080000000000002E-3</v>
      </c>
      <c r="AT35">
        <v>4.0489999999999996E-3</v>
      </c>
      <c r="AU35">
        <v>7.0619999999999997E-3</v>
      </c>
      <c r="AV35">
        <v>1.4660000000000001E-3</v>
      </c>
      <c r="AW35">
        <v>1.477E-3</v>
      </c>
      <c r="AX35">
        <v>9.8900000000000008E-4</v>
      </c>
      <c r="AY35">
        <v>1.6868999999999999E-2</v>
      </c>
      <c r="AZ35">
        <v>6.3150000000000003E-3</v>
      </c>
      <c r="BA35">
        <v>5.7850000000000002E-3</v>
      </c>
      <c r="BB35">
        <v>7.548E-3</v>
      </c>
      <c r="BC35">
        <v>5.7850000000000002E-3</v>
      </c>
    </row>
    <row r="36" spans="1:55">
      <c r="A36" t="s">
        <v>36</v>
      </c>
      <c r="B36">
        <v>1.0845E-2</v>
      </c>
      <c r="C36">
        <v>1.8901999999999999E-2</v>
      </c>
      <c r="D36">
        <v>2.0163E-2</v>
      </c>
      <c r="E36">
        <v>8.7679999999999998E-3</v>
      </c>
      <c r="F36">
        <v>1.2241999999999999E-2</v>
      </c>
      <c r="G36">
        <v>2.5602E-2</v>
      </c>
      <c r="H36">
        <v>2.1337999999999999E-2</v>
      </c>
      <c r="I36">
        <v>5.5139999999999998E-3</v>
      </c>
      <c r="J36">
        <v>8.659E-3</v>
      </c>
      <c r="K36">
        <v>2.2049999999999999E-3</v>
      </c>
      <c r="L36">
        <v>2.5041999999999998E-2</v>
      </c>
      <c r="M36">
        <v>0</v>
      </c>
      <c r="N36">
        <v>1.5465E-2</v>
      </c>
      <c r="O36">
        <v>1.2700000000000001E-3</v>
      </c>
      <c r="P36">
        <v>4.5109000000000003E-2</v>
      </c>
      <c r="Q36">
        <v>2.0521000000000001E-2</v>
      </c>
      <c r="R36">
        <v>7.1883000000000002E-2</v>
      </c>
      <c r="S36">
        <v>5.5038999999999998E-2</v>
      </c>
      <c r="T36">
        <v>6.8488999999999994E-2</v>
      </c>
      <c r="U36">
        <v>7.7202999999999994E-2</v>
      </c>
      <c r="V36">
        <v>2.98E-2</v>
      </c>
      <c r="W36">
        <v>5.7926999999999999E-2</v>
      </c>
      <c r="X36">
        <v>2.6258E-2</v>
      </c>
      <c r="Y36">
        <v>3.8753999999999997E-2</v>
      </c>
      <c r="Z36">
        <v>7.4057999999999999E-2</v>
      </c>
      <c r="AA36">
        <v>7.7436000000000005E-2</v>
      </c>
      <c r="AB36">
        <v>0.16988200000000001</v>
      </c>
      <c r="AC36">
        <v>6.7339999999999997E-2</v>
      </c>
      <c r="AD36">
        <v>6.9164000000000003E-2</v>
      </c>
      <c r="AE36">
        <v>6.5960000000000003E-3</v>
      </c>
      <c r="AF36">
        <v>4.5069999999999997E-3</v>
      </c>
      <c r="AG36">
        <v>2.1259E-2</v>
      </c>
      <c r="AH36">
        <v>8.7793999999999997E-2</v>
      </c>
      <c r="AI36">
        <v>2.3539999999999998E-2</v>
      </c>
      <c r="AJ36">
        <v>1.7451999999999999E-2</v>
      </c>
      <c r="AK36">
        <v>2.0969999999999999E-2</v>
      </c>
      <c r="AL36">
        <v>4.3915999999999997E-2</v>
      </c>
      <c r="AM36">
        <v>4.3693000000000003E-2</v>
      </c>
      <c r="AN36">
        <v>4.0861000000000001E-2</v>
      </c>
      <c r="AO36">
        <v>5.3341E-2</v>
      </c>
      <c r="AP36">
        <v>1.1655E-2</v>
      </c>
      <c r="AQ36">
        <v>2.9080999999999999E-2</v>
      </c>
      <c r="AR36">
        <v>4.9822999999999999E-2</v>
      </c>
      <c r="AS36">
        <v>1.6423E-2</v>
      </c>
      <c r="AT36">
        <v>5.9059999999999998E-3</v>
      </c>
      <c r="AU36">
        <v>8.7170000000000008E-3</v>
      </c>
      <c r="AV36">
        <v>5.3169999999999997E-3</v>
      </c>
      <c r="AW36">
        <v>5.1999999999999998E-3</v>
      </c>
      <c r="AX36">
        <v>3.8370000000000001E-3</v>
      </c>
      <c r="AY36">
        <v>2.3716000000000001E-2</v>
      </c>
      <c r="AZ36">
        <v>1.0427000000000001E-2</v>
      </c>
      <c r="BA36">
        <v>1.9977999999999999E-2</v>
      </c>
      <c r="BB36">
        <v>3.7581000000000003E-2</v>
      </c>
      <c r="BC36">
        <v>2.3855999999999999E-2</v>
      </c>
    </row>
    <row r="37" spans="1:55">
      <c r="A37" t="s">
        <v>37</v>
      </c>
      <c r="B37">
        <v>5.0000000000000004E-6</v>
      </c>
      <c r="C37">
        <v>2.3800000000000001E-4</v>
      </c>
      <c r="D37">
        <v>0</v>
      </c>
      <c r="E37">
        <v>0</v>
      </c>
      <c r="F37">
        <v>1.4E-5</v>
      </c>
      <c r="G37">
        <v>2.5999999999999998E-5</v>
      </c>
      <c r="H37">
        <v>7.4999999999999993E-5</v>
      </c>
      <c r="I37">
        <v>5.0000000000000004E-6</v>
      </c>
      <c r="J37">
        <v>1.2999999999999999E-5</v>
      </c>
      <c r="K37">
        <v>3.9999999999999998E-6</v>
      </c>
      <c r="L37">
        <v>2.6519999999999998E-3</v>
      </c>
      <c r="M37">
        <v>0</v>
      </c>
      <c r="N37">
        <v>1.3899999999999999E-4</v>
      </c>
      <c r="O37">
        <v>3.0000000000000001E-6</v>
      </c>
      <c r="P37">
        <v>2.0000000000000002E-5</v>
      </c>
      <c r="Q37">
        <v>1.4E-5</v>
      </c>
      <c r="R37">
        <v>6.7000000000000002E-5</v>
      </c>
      <c r="S37">
        <v>6.9999999999999994E-5</v>
      </c>
      <c r="T37">
        <v>4.0000000000000003E-5</v>
      </c>
      <c r="U37">
        <v>3.2699999999999998E-4</v>
      </c>
      <c r="V37">
        <v>1.2E-5</v>
      </c>
      <c r="W37">
        <v>2.6999999999999999E-5</v>
      </c>
      <c r="X37">
        <v>2.0900000000000001E-4</v>
      </c>
      <c r="Y37">
        <v>3.6999999999999998E-5</v>
      </c>
      <c r="Z37">
        <v>4.8000000000000001E-5</v>
      </c>
      <c r="AA37">
        <v>3.3000000000000003E-5</v>
      </c>
      <c r="AB37">
        <v>1.4799999999999999E-4</v>
      </c>
      <c r="AC37">
        <v>1.02E-4</v>
      </c>
      <c r="AD37">
        <v>8.6000000000000003E-5</v>
      </c>
      <c r="AE37">
        <v>1.5999999999999999E-5</v>
      </c>
      <c r="AF37">
        <v>1.0000000000000001E-5</v>
      </c>
      <c r="AG37">
        <v>1.08E-4</v>
      </c>
      <c r="AH37">
        <v>6.9999999999999994E-5</v>
      </c>
      <c r="AI37">
        <v>3.6999999999999998E-5</v>
      </c>
      <c r="AJ37">
        <v>2.9300000000000002E-4</v>
      </c>
      <c r="AK37">
        <v>9.7E-5</v>
      </c>
      <c r="AL37">
        <v>2.5999999999999998E-5</v>
      </c>
      <c r="AM37">
        <v>4.1E-5</v>
      </c>
      <c r="AN37">
        <v>2.6999999999999999E-5</v>
      </c>
      <c r="AO37">
        <v>4.1E-5</v>
      </c>
      <c r="AP37">
        <v>1.1900000000000001E-4</v>
      </c>
      <c r="AQ37">
        <v>2.3E-5</v>
      </c>
      <c r="AR37">
        <v>2.3E-5</v>
      </c>
      <c r="AS37">
        <v>2.5000000000000001E-5</v>
      </c>
      <c r="AT37">
        <v>1.7E-5</v>
      </c>
      <c r="AU37">
        <v>2.9E-5</v>
      </c>
      <c r="AV37">
        <v>2.6800000000000001E-4</v>
      </c>
      <c r="AW37">
        <v>5.3999999999999998E-5</v>
      </c>
      <c r="AX37">
        <v>9.0000000000000002E-6</v>
      </c>
      <c r="AY37">
        <v>1.5460000000000001E-3</v>
      </c>
      <c r="AZ37">
        <v>7.7000000000000001E-5</v>
      </c>
      <c r="BA37">
        <v>6.3E-5</v>
      </c>
      <c r="BB37">
        <v>4.1999999999999998E-5</v>
      </c>
      <c r="BC37">
        <v>1.2300000000000001E-4</v>
      </c>
    </row>
    <row r="38" spans="1:55">
      <c r="A38" t="s">
        <v>38</v>
      </c>
      <c r="B38">
        <v>1.041E-3</v>
      </c>
      <c r="C38">
        <v>4.47E-3</v>
      </c>
      <c r="D38">
        <v>1.3183E-2</v>
      </c>
      <c r="E38">
        <v>1.4276E-2</v>
      </c>
      <c r="F38">
        <v>1.042E-2</v>
      </c>
      <c r="G38">
        <v>4.5869999999999999E-3</v>
      </c>
      <c r="H38">
        <v>1.1620000000000001E-3</v>
      </c>
      <c r="I38">
        <v>7.5000000000000002E-4</v>
      </c>
      <c r="J38">
        <v>1.0920000000000001E-3</v>
      </c>
      <c r="K38">
        <v>3.6999999999999999E-4</v>
      </c>
      <c r="L38">
        <v>5.7809999999999997E-3</v>
      </c>
      <c r="M38">
        <v>0</v>
      </c>
      <c r="N38">
        <v>1.5495999999999999E-2</v>
      </c>
      <c r="O38">
        <v>1.7799999999999999E-4</v>
      </c>
      <c r="P38">
        <v>1.8090000000000001E-3</v>
      </c>
      <c r="Q38">
        <v>1.642E-3</v>
      </c>
      <c r="R38">
        <v>6.3169999999999997E-3</v>
      </c>
      <c r="S38">
        <v>6.7530000000000003E-3</v>
      </c>
      <c r="T38">
        <v>4.6930000000000001E-3</v>
      </c>
      <c r="U38">
        <v>1.9068000000000002E-2</v>
      </c>
      <c r="V38">
        <v>2.1299999999999999E-3</v>
      </c>
      <c r="W38">
        <v>3.6830000000000001E-3</v>
      </c>
      <c r="X38">
        <v>4.15E-3</v>
      </c>
      <c r="Y38">
        <v>4.2779999999999997E-3</v>
      </c>
      <c r="Z38">
        <v>6.4949999999999999E-3</v>
      </c>
      <c r="AA38">
        <v>4.8250000000000003E-3</v>
      </c>
      <c r="AB38">
        <v>1.3254999999999999E-2</v>
      </c>
      <c r="AC38">
        <v>1.2156999999999999E-2</v>
      </c>
      <c r="AD38">
        <v>8.2489999999999994E-3</v>
      </c>
      <c r="AE38">
        <v>6.29E-4</v>
      </c>
      <c r="AF38">
        <v>1.5920000000000001E-3</v>
      </c>
      <c r="AG38">
        <v>3.5119999999999999E-3</v>
      </c>
      <c r="AH38">
        <v>9.5949999999999994E-3</v>
      </c>
      <c r="AI38">
        <v>9.8840000000000004E-3</v>
      </c>
      <c r="AJ38">
        <v>6.9179999999999997E-3</v>
      </c>
      <c r="AK38">
        <v>2.2139999999999998E-3</v>
      </c>
      <c r="AL38">
        <v>5.2919999999999998E-3</v>
      </c>
      <c r="AM38">
        <v>5.1590000000000004E-3</v>
      </c>
      <c r="AN38">
        <v>3.0469999999999998E-3</v>
      </c>
      <c r="AO38">
        <v>3.362E-3</v>
      </c>
      <c r="AP38">
        <v>3.8600000000000001E-3</v>
      </c>
      <c r="AQ38">
        <v>2.2820000000000002E-3</v>
      </c>
      <c r="AR38">
        <v>3.0439999999999998E-3</v>
      </c>
      <c r="AS38">
        <v>2.434E-3</v>
      </c>
      <c r="AT38">
        <v>1.0920000000000001E-3</v>
      </c>
      <c r="AU38">
        <v>1.188E-3</v>
      </c>
      <c r="AV38">
        <v>1.89E-3</v>
      </c>
      <c r="AW38">
        <v>2.8509999999999998E-3</v>
      </c>
      <c r="AX38">
        <v>5.5500000000000005E-4</v>
      </c>
      <c r="AY38">
        <v>8.0359999999999997E-3</v>
      </c>
      <c r="AZ38">
        <v>3.2754999999999999E-2</v>
      </c>
      <c r="BA38">
        <v>1.0815E-2</v>
      </c>
      <c r="BB38">
        <v>1.3207E-2</v>
      </c>
      <c r="BC38">
        <v>4.3439999999999998E-3</v>
      </c>
    </row>
    <row r="39" spans="1:55">
      <c r="A39" t="s">
        <v>39</v>
      </c>
      <c r="B39">
        <v>1.37E-4</v>
      </c>
      <c r="C39">
        <v>6.69E-4</v>
      </c>
      <c r="D39">
        <v>0</v>
      </c>
      <c r="E39">
        <v>0</v>
      </c>
      <c r="F39">
        <v>4.7980000000000002E-3</v>
      </c>
      <c r="G39">
        <v>5.9199999999999997E-4</v>
      </c>
      <c r="H39">
        <v>3.1599999999999998E-4</v>
      </c>
      <c r="I39">
        <v>8.0000000000000007E-5</v>
      </c>
      <c r="J39">
        <v>2.03E-4</v>
      </c>
      <c r="K39">
        <v>5.7600000000000001E-4</v>
      </c>
      <c r="L39">
        <v>3.258E-3</v>
      </c>
      <c r="M39">
        <v>0</v>
      </c>
      <c r="N39">
        <v>2.0799999999999999E-4</v>
      </c>
      <c r="O39">
        <v>2.7099999999999997E-4</v>
      </c>
      <c r="P39">
        <v>5.7499999999999999E-4</v>
      </c>
      <c r="Q39">
        <v>3.4400000000000001E-4</v>
      </c>
      <c r="R39">
        <v>1.083E-3</v>
      </c>
      <c r="S39">
        <v>7.5799999999999999E-4</v>
      </c>
      <c r="T39">
        <v>8.9800000000000004E-4</v>
      </c>
      <c r="U39">
        <v>1.0189999999999999E-3</v>
      </c>
      <c r="V39">
        <v>3.6200000000000002E-4</v>
      </c>
      <c r="W39">
        <v>7.18E-4</v>
      </c>
      <c r="X39">
        <v>3.2299999999999999E-4</v>
      </c>
      <c r="Y39">
        <v>5.4199999999999995E-4</v>
      </c>
      <c r="Z39">
        <v>1.088E-3</v>
      </c>
      <c r="AA39">
        <v>9.859999999999999E-4</v>
      </c>
      <c r="AB39">
        <v>2.4450000000000001E-3</v>
      </c>
      <c r="AC39">
        <v>9.7799999999999992E-4</v>
      </c>
      <c r="AD39">
        <v>9.7799999999999992E-4</v>
      </c>
      <c r="AE39">
        <v>8.2000000000000001E-5</v>
      </c>
      <c r="AF39">
        <v>5.7000000000000003E-5</v>
      </c>
      <c r="AG39">
        <v>2.9700000000000001E-4</v>
      </c>
      <c r="AH39">
        <v>1.2080000000000001E-3</v>
      </c>
      <c r="AI39">
        <v>3.7100000000000002E-4</v>
      </c>
      <c r="AJ39">
        <v>2.5300000000000002E-4</v>
      </c>
      <c r="AK39">
        <v>2.5999999999999998E-4</v>
      </c>
      <c r="AL39">
        <v>5.6300000000000002E-4</v>
      </c>
      <c r="AM39">
        <v>4.0999999999999999E-4</v>
      </c>
      <c r="AN39">
        <v>5.1400000000000003E-4</v>
      </c>
      <c r="AO39">
        <v>6.2100000000000002E-4</v>
      </c>
      <c r="AP39">
        <v>1.5696000000000002E-2</v>
      </c>
      <c r="AQ39">
        <v>4.0000000000000002E-4</v>
      </c>
      <c r="AR39">
        <v>6.4499999999999996E-4</v>
      </c>
      <c r="AS39">
        <v>4.44E-4</v>
      </c>
      <c r="AT39">
        <v>9.2999999999999997E-5</v>
      </c>
      <c r="AU39">
        <v>1.65E-4</v>
      </c>
      <c r="AV39">
        <v>8.7999999999999998E-5</v>
      </c>
      <c r="AW39">
        <v>2.04E-4</v>
      </c>
      <c r="AX39">
        <v>6.0000000000000002E-5</v>
      </c>
      <c r="AY39">
        <v>1.4480000000000001E-3</v>
      </c>
      <c r="AZ39">
        <v>1.83E-4</v>
      </c>
      <c r="BA39">
        <v>2.9300000000000002E-4</v>
      </c>
      <c r="BB39">
        <v>5.5500000000000005E-4</v>
      </c>
      <c r="BC39">
        <v>4.75E-4</v>
      </c>
    </row>
    <row r="40" spans="1:55">
      <c r="A40" t="s">
        <v>40</v>
      </c>
      <c r="B40">
        <v>1.16E-4</v>
      </c>
      <c r="C40">
        <v>1.0660000000000001E-3</v>
      </c>
      <c r="D40">
        <v>1.3100000000000001E-4</v>
      </c>
      <c r="E40">
        <v>7.0500000000000001E-4</v>
      </c>
      <c r="F40">
        <v>6.0700000000000001E-4</v>
      </c>
      <c r="G40">
        <v>2.2100000000000001E-4</v>
      </c>
      <c r="H40">
        <v>9.5000000000000005E-5</v>
      </c>
      <c r="I40">
        <v>1.21E-4</v>
      </c>
      <c r="J40">
        <v>1.6899999999999999E-4</v>
      </c>
      <c r="K40">
        <v>3.8099999999999999E-4</v>
      </c>
      <c r="L40">
        <v>7.76E-4</v>
      </c>
      <c r="M40">
        <v>0</v>
      </c>
      <c r="N40">
        <v>4.8000000000000001E-5</v>
      </c>
      <c r="O40">
        <v>2.31E-4</v>
      </c>
      <c r="P40">
        <v>1.45E-4</v>
      </c>
      <c r="Q40">
        <v>5.7000000000000003E-5</v>
      </c>
      <c r="R40">
        <v>6.5899999999999997E-4</v>
      </c>
      <c r="S40">
        <v>4.0400000000000001E-4</v>
      </c>
      <c r="T40">
        <v>5.2599999999999999E-4</v>
      </c>
      <c r="U40">
        <v>2.3800000000000001E-4</v>
      </c>
      <c r="V40">
        <v>7.1000000000000005E-5</v>
      </c>
      <c r="W40">
        <v>1.4200000000000001E-4</v>
      </c>
      <c r="X40">
        <v>2.2699999999999999E-4</v>
      </c>
      <c r="Y40">
        <v>1.06E-4</v>
      </c>
      <c r="Z40">
        <v>2.42E-4</v>
      </c>
      <c r="AA40">
        <v>1.7699999999999999E-4</v>
      </c>
      <c r="AB40">
        <v>6.6699999999999995E-4</v>
      </c>
      <c r="AC40">
        <v>8.3000000000000001E-4</v>
      </c>
      <c r="AD40">
        <v>5.2599999999999999E-4</v>
      </c>
      <c r="AE40">
        <v>2.9E-5</v>
      </c>
      <c r="AF40">
        <v>3.8000000000000002E-5</v>
      </c>
      <c r="AG40">
        <v>9.7400000000000004E-4</v>
      </c>
      <c r="AH40">
        <v>3.6600000000000001E-4</v>
      </c>
      <c r="AI40">
        <v>1.7200000000000001E-4</v>
      </c>
      <c r="AJ40">
        <v>5.9199999999999997E-4</v>
      </c>
      <c r="AK40">
        <v>2.1900000000000001E-4</v>
      </c>
      <c r="AL40">
        <v>2.1549999999999998E-3</v>
      </c>
      <c r="AM40">
        <v>2.0470000000000002E-3</v>
      </c>
      <c r="AN40">
        <v>7.3099999999999999E-4</v>
      </c>
      <c r="AO40">
        <v>1.194E-3</v>
      </c>
      <c r="AP40">
        <v>2.6980000000000001E-2</v>
      </c>
      <c r="AQ40">
        <v>1.6899999999999999E-4</v>
      </c>
      <c r="AR40">
        <v>2.2499999999999999E-4</v>
      </c>
      <c r="AS40">
        <v>8.7000000000000001E-5</v>
      </c>
      <c r="AT40">
        <v>3.3000000000000003E-5</v>
      </c>
      <c r="AU40">
        <v>4.1E-5</v>
      </c>
      <c r="AV40">
        <v>5.3999999999999998E-5</v>
      </c>
      <c r="AW40">
        <v>1.8200000000000001E-4</v>
      </c>
      <c r="AX40">
        <v>1.5E-5</v>
      </c>
      <c r="AY40">
        <v>2.274E-3</v>
      </c>
      <c r="AZ40">
        <v>4.8999999999999998E-5</v>
      </c>
      <c r="BA40">
        <v>7.6000000000000004E-5</v>
      </c>
      <c r="BB40">
        <v>1.2899999999999999E-4</v>
      </c>
      <c r="BC40">
        <v>2.5300000000000002E-4</v>
      </c>
    </row>
    <row r="41" spans="1:55">
      <c r="A41" t="s">
        <v>41</v>
      </c>
      <c r="B41">
        <v>1.4799999999999999E-4</v>
      </c>
      <c r="C41">
        <v>4.5399999999999998E-4</v>
      </c>
      <c r="D41">
        <v>1.0045E-2</v>
      </c>
      <c r="E41">
        <v>8.4900000000000004E-4</v>
      </c>
      <c r="F41">
        <v>1.1820000000000001E-3</v>
      </c>
      <c r="G41">
        <v>2.42E-4</v>
      </c>
      <c r="H41">
        <v>1.6899999999999999E-4</v>
      </c>
      <c r="I41">
        <v>2.4399999999999999E-4</v>
      </c>
      <c r="J41">
        <v>2.5999999999999998E-4</v>
      </c>
      <c r="K41">
        <v>1.683E-3</v>
      </c>
      <c r="L41">
        <v>6.5950000000000002E-3</v>
      </c>
      <c r="M41">
        <v>0</v>
      </c>
      <c r="N41">
        <v>1.4660000000000001E-3</v>
      </c>
      <c r="O41">
        <v>1.7899999999999999E-4</v>
      </c>
      <c r="P41">
        <v>4.0700000000000003E-4</v>
      </c>
      <c r="Q41">
        <v>2.24E-4</v>
      </c>
      <c r="R41">
        <v>2.4459999999999998E-3</v>
      </c>
      <c r="S41">
        <v>1.013E-3</v>
      </c>
      <c r="T41">
        <v>1.281E-3</v>
      </c>
      <c r="U41">
        <v>9.41E-4</v>
      </c>
      <c r="V41">
        <v>4.7600000000000002E-4</v>
      </c>
      <c r="W41">
        <v>9.4399999999999996E-4</v>
      </c>
      <c r="X41">
        <v>5.6999999999999998E-4</v>
      </c>
      <c r="Y41">
        <v>9.9299999999999996E-4</v>
      </c>
      <c r="Z41">
        <v>1.5169999999999999E-3</v>
      </c>
      <c r="AA41">
        <v>8.5300000000000003E-4</v>
      </c>
      <c r="AB41">
        <v>2.0349999999999999E-3</v>
      </c>
      <c r="AC41">
        <v>1.4109999999999999E-3</v>
      </c>
      <c r="AD41">
        <v>1.606E-3</v>
      </c>
      <c r="AE41">
        <v>4.7100000000000001E-4</v>
      </c>
      <c r="AF41">
        <v>1.56E-4</v>
      </c>
      <c r="AG41">
        <v>1.2570000000000001E-3</v>
      </c>
      <c r="AH41">
        <v>1.5120000000000001E-3</v>
      </c>
      <c r="AI41">
        <v>1.2539999999999999E-3</v>
      </c>
      <c r="AJ41">
        <v>4.1510000000000002E-3</v>
      </c>
      <c r="AK41">
        <v>6.3199999999999997E-4</v>
      </c>
      <c r="AL41">
        <v>1.1640000000000001E-3</v>
      </c>
      <c r="AM41">
        <v>3.4139999999999999E-3</v>
      </c>
      <c r="AN41">
        <v>1.3110000000000001E-3</v>
      </c>
      <c r="AO41">
        <v>1.366E-2</v>
      </c>
      <c r="AP41">
        <v>2.5439E-2</v>
      </c>
      <c r="AQ41">
        <v>7.0399999999999998E-4</v>
      </c>
      <c r="AR41">
        <v>3.3700000000000001E-4</v>
      </c>
      <c r="AS41">
        <v>1.7359999999999999E-3</v>
      </c>
      <c r="AT41">
        <v>2.6159999999999998E-3</v>
      </c>
      <c r="AU41">
        <v>4.8299999999999998E-4</v>
      </c>
      <c r="AV41">
        <v>2.0799999999999998E-3</v>
      </c>
      <c r="AW41">
        <v>1.8710000000000001E-3</v>
      </c>
      <c r="AX41">
        <v>1.147E-3</v>
      </c>
      <c r="AY41">
        <v>1.0883E-2</v>
      </c>
      <c r="AZ41">
        <v>4.8506000000000001E-2</v>
      </c>
      <c r="BA41">
        <v>8.3599999999999994E-3</v>
      </c>
      <c r="BB41">
        <v>4.9969999999999997E-3</v>
      </c>
      <c r="BC41">
        <v>2.464E-3</v>
      </c>
    </row>
    <row r="42" spans="1:55">
      <c r="A42" t="s">
        <v>42</v>
      </c>
      <c r="B42">
        <v>8.1000000000000004E-5</v>
      </c>
      <c r="C42">
        <v>8.34E-4</v>
      </c>
      <c r="D42">
        <v>1.2800000000000001E-3</v>
      </c>
      <c r="E42">
        <v>1.168E-3</v>
      </c>
      <c r="F42">
        <v>6.4419999999999998E-3</v>
      </c>
      <c r="G42">
        <v>2.2499999999999999E-4</v>
      </c>
      <c r="H42">
        <v>1.0399999999999999E-4</v>
      </c>
      <c r="I42">
        <v>1.5799999999999999E-4</v>
      </c>
      <c r="J42">
        <v>2.12E-4</v>
      </c>
      <c r="K42">
        <v>7.2000000000000002E-5</v>
      </c>
      <c r="L42">
        <v>6.5499999999999998E-4</v>
      </c>
      <c r="M42">
        <v>0</v>
      </c>
      <c r="N42">
        <v>2.5700000000000001E-4</v>
      </c>
      <c r="O42">
        <v>2.0000000000000002E-5</v>
      </c>
      <c r="P42">
        <v>2.1499999999999999E-4</v>
      </c>
      <c r="Q42">
        <v>1.5799999999999999E-4</v>
      </c>
      <c r="R42">
        <v>7.8799999999999996E-4</v>
      </c>
      <c r="S42">
        <v>6.5200000000000002E-4</v>
      </c>
      <c r="T42">
        <v>3.3500000000000001E-4</v>
      </c>
      <c r="U42">
        <v>5.5500000000000005E-4</v>
      </c>
      <c r="V42">
        <v>2.7900000000000001E-4</v>
      </c>
      <c r="W42">
        <v>4.66E-4</v>
      </c>
      <c r="X42">
        <v>3.1300000000000002E-4</v>
      </c>
      <c r="Y42">
        <v>5.1599999999999997E-4</v>
      </c>
      <c r="Z42">
        <v>8.3299999999999997E-4</v>
      </c>
      <c r="AA42">
        <v>4.1599999999999997E-4</v>
      </c>
      <c r="AB42">
        <v>1.8940000000000001E-3</v>
      </c>
      <c r="AC42">
        <v>1.0480000000000001E-3</v>
      </c>
      <c r="AD42">
        <v>1.075E-3</v>
      </c>
      <c r="AE42">
        <v>5.5000000000000002E-5</v>
      </c>
      <c r="AF42">
        <v>3.4999999999999997E-5</v>
      </c>
      <c r="AG42">
        <v>2.9500000000000001E-4</v>
      </c>
      <c r="AH42">
        <v>1.078E-3</v>
      </c>
      <c r="AI42">
        <v>1.2869999999999999E-3</v>
      </c>
      <c r="AJ42">
        <v>1.7420000000000001E-3</v>
      </c>
      <c r="AK42">
        <v>3.7200000000000002E-3</v>
      </c>
      <c r="AL42">
        <v>2.4450000000000001E-3</v>
      </c>
      <c r="AM42">
        <v>4.1667999999999997E-2</v>
      </c>
      <c r="AN42">
        <v>1.3604E-2</v>
      </c>
      <c r="AO42">
        <v>2.2966E-2</v>
      </c>
      <c r="AP42">
        <v>1.4132E-2</v>
      </c>
      <c r="AQ42">
        <v>1.8200000000000001E-4</v>
      </c>
      <c r="AR42">
        <v>2.4399999999999999E-4</v>
      </c>
      <c r="AS42">
        <v>4.0700000000000003E-4</v>
      </c>
      <c r="AT42">
        <v>7.2999999999999999E-5</v>
      </c>
      <c r="AU42">
        <v>8.2000000000000001E-5</v>
      </c>
      <c r="AV42">
        <v>8.1599999999999999E-4</v>
      </c>
      <c r="AW42">
        <v>2.6280000000000001E-3</v>
      </c>
      <c r="AX42">
        <v>8.6000000000000003E-5</v>
      </c>
      <c r="AY42">
        <v>1.2199999999999999E-3</v>
      </c>
      <c r="AZ42">
        <v>2.1800000000000001E-4</v>
      </c>
      <c r="BA42">
        <v>2.0100000000000001E-4</v>
      </c>
      <c r="BB42">
        <v>2.5599999999999999E-4</v>
      </c>
      <c r="BC42">
        <v>3.0499999999999999E-4</v>
      </c>
    </row>
    <row r="43" spans="1:55">
      <c r="A43" t="s">
        <v>43</v>
      </c>
      <c r="B43">
        <v>3.0000000000000001E-6</v>
      </c>
      <c r="C43">
        <v>1.3999999999999999E-4</v>
      </c>
      <c r="D43">
        <v>9.9310000000000006E-3</v>
      </c>
      <c r="E43">
        <v>9.9360000000000004E-3</v>
      </c>
      <c r="F43">
        <v>9.9860000000000001E-3</v>
      </c>
      <c r="G43">
        <v>1.0200000000000001E-3</v>
      </c>
      <c r="H43">
        <v>9.9999999999999995E-7</v>
      </c>
      <c r="I43">
        <v>1.5100000000000001E-4</v>
      </c>
      <c r="J43">
        <v>3.6699999999999998E-4</v>
      </c>
      <c r="K43">
        <v>1.34E-4</v>
      </c>
      <c r="L43">
        <v>8.1800000000000004E-4</v>
      </c>
      <c r="M43">
        <v>0</v>
      </c>
      <c r="N43">
        <v>0</v>
      </c>
      <c r="O43">
        <v>1.1E-5</v>
      </c>
      <c r="P43">
        <v>1.5200000000000001E-4</v>
      </c>
      <c r="Q43">
        <v>0</v>
      </c>
      <c r="R43">
        <v>5.5929999999999999E-3</v>
      </c>
      <c r="S43">
        <v>4.8000000000000001E-4</v>
      </c>
      <c r="T43">
        <v>2.41E-4</v>
      </c>
      <c r="U43">
        <v>3.59E-4</v>
      </c>
      <c r="V43">
        <v>3.6299999999999999E-4</v>
      </c>
      <c r="W43">
        <v>2.3699999999999999E-4</v>
      </c>
      <c r="X43">
        <v>1.5200000000000001E-4</v>
      </c>
      <c r="Y43">
        <v>6.2399999999999999E-4</v>
      </c>
      <c r="Z43">
        <v>4.8799999999999999E-4</v>
      </c>
      <c r="AA43">
        <v>3.0899999999999998E-4</v>
      </c>
      <c r="AB43">
        <v>6.11E-3</v>
      </c>
      <c r="AC43">
        <v>4.1999999999999998E-5</v>
      </c>
      <c r="AD43">
        <v>2.12E-4</v>
      </c>
      <c r="AE43">
        <v>1.5999999999999999E-5</v>
      </c>
      <c r="AF43">
        <v>6.7000000000000002E-5</v>
      </c>
      <c r="AG43">
        <v>2.7799999999999998E-4</v>
      </c>
      <c r="AH43">
        <v>3.1E-4</v>
      </c>
      <c r="AI43">
        <v>4.7419999999999997E-3</v>
      </c>
      <c r="AJ43">
        <v>1.8309999999999999E-3</v>
      </c>
      <c r="AK43">
        <v>2.6900000000000001E-3</v>
      </c>
      <c r="AL43">
        <v>1.1280000000000001E-3</v>
      </c>
      <c r="AM43">
        <v>4.457E-3</v>
      </c>
      <c r="AN43">
        <v>9.3600000000000003E-3</v>
      </c>
      <c r="AO43">
        <v>2.8609999999999998E-3</v>
      </c>
      <c r="AP43">
        <v>5.1539999999999997E-3</v>
      </c>
      <c r="AQ43">
        <v>7.6999999999999996E-4</v>
      </c>
      <c r="AR43">
        <v>6.0000000000000002E-6</v>
      </c>
      <c r="AS43">
        <v>3.8170000000000001E-3</v>
      </c>
      <c r="AT43">
        <v>1.6739999999999999E-3</v>
      </c>
      <c r="AU43">
        <v>3.4511E-2</v>
      </c>
      <c r="AV43">
        <v>1.6050999999999999E-2</v>
      </c>
      <c r="AW43">
        <v>8.2897999999999999E-2</v>
      </c>
      <c r="AX43">
        <v>6.9499999999999998E-4</v>
      </c>
      <c r="AY43">
        <v>9.4190000000000003E-3</v>
      </c>
      <c r="AZ43">
        <v>1.6899999999999999E-4</v>
      </c>
      <c r="BA43">
        <v>2.4800000000000001E-4</v>
      </c>
      <c r="BB43">
        <v>1.1529999999999999E-3</v>
      </c>
      <c r="BC43">
        <v>4.0200000000000001E-4</v>
      </c>
    </row>
    <row r="44" spans="1:55">
      <c r="A44" t="s">
        <v>44</v>
      </c>
      <c r="B44">
        <v>4.1599999999999997E-4</v>
      </c>
      <c r="C44">
        <v>7.4200000000000004E-4</v>
      </c>
      <c r="D44">
        <v>9.4219999999999998E-3</v>
      </c>
      <c r="E44">
        <v>4.1510000000000002E-3</v>
      </c>
      <c r="F44">
        <v>1.2120000000000001E-2</v>
      </c>
      <c r="G44">
        <v>3.1199999999999999E-4</v>
      </c>
      <c r="H44">
        <v>1.15E-4</v>
      </c>
      <c r="I44">
        <v>1.2300000000000001E-4</v>
      </c>
      <c r="J44">
        <v>7.4200000000000004E-4</v>
      </c>
      <c r="K44">
        <v>5.4199999999999995E-4</v>
      </c>
      <c r="L44">
        <v>4.44E-4</v>
      </c>
      <c r="M44">
        <v>0</v>
      </c>
      <c r="N44">
        <v>2.379E-3</v>
      </c>
      <c r="O44">
        <v>2.4000000000000001E-5</v>
      </c>
      <c r="P44">
        <v>2.6899999999999998E-4</v>
      </c>
      <c r="Q44">
        <v>1.1E-4</v>
      </c>
      <c r="R44">
        <v>7.45E-4</v>
      </c>
      <c r="S44">
        <v>1.057E-3</v>
      </c>
      <c r="T44">
        <v>2.287E-3</v>
      </c>
      <c r="U44">
        <v>1.549E-3</v>
      </c>
      <c r="V44">
        <v>4.2999999999999999E-4</v>
      </c>
      <c r="W44">
        <v>1.042E-3</v>
      </c>
      <c r="X44">
        <v>1.4549999999999999E-3</v>
      </c>
      <c r="Y44">
        <v>1.3979999999999999E-3</v>
      </c>
      <c r="Z44">
        <v>6.6100000000000002E-4</v>
      </c>
      <c r="AA44">
        <v>5.9400000000000002E-4</v>
      </c>
      <c r="AB44">
        <v>2.3270000000000001E-3</v>
      </c>
      <c r="AC44">
        <v>1.31E-3</v>
      </c>
      <c r="AD44">
        <v>6.0829999999999999E-3</v>
      </c>
      <c r="AE44">
        <v>3.5500000000000001E-4</v>
      </c>
      <c r="AF44">
        <v>1.16E-4</v>
      </c>
      <c r="AG44">
        <v>4.0099999999999999E-4</v>
      </c>
      <c r="AH44">
        <v>6.1710000000000003E-3</v>
      </c>
      <c r="AI44">
        <v>2.2539999999999999E-3</v>
      </c>
      <c r="AJ44">
        <v>7.1279999999999998E-3</v>
      </c>
      <c r="AK44">
        <v>1.008E-3</v>
      </c>
      <c r="AL44">
        <v>6.2200000000000005E-4</v>
      </c>
      <c r="AM44">
        <v>3.1359999999999999E-3</v>
      </c>
      <c r="AN44">
        <v>4.4190000000000002E-3</v>
      </c>
      <c r="AO44">
        <v>2.1080999999999999E-2</v>
      </c>
      <c r="AP44">
        <v>1.6930000000000001E-3</v>
      </c>
      <c r="AQ44">
        <v>1.057E-3</v>
      </c>
      <c r="AR44">
        <v>4.0099999999999999E-4</v>
      </c>
      <c r="AS44">
        <v>1.16E-3</v>
      </c>
      <c r="AT44">
        <v>7.6900000000000004E-4</v>
      </c>
      <c r="AU44">
        <v>4.55E-4</v>
      </c>
      <c r="AV44">
        <v>1.815E-3</v>
      </c>
      <c r="AW44">
        <v>2.1670000000000001E-3</v>
      </c>
      <c r="AX44">
        <v>2.4699999999999999E-4</v>
      </c>
      <c r="AY44">
        <v>3.4320000000000002E-3</v>
      </c>
      <c r="AZ44">
        <v>9.1380000000000003E-3</v>
      </c>
      <c r="BA44">
        <v>8.4400000000000002E-4</v>
      </c>
      <c r="BB44">
        <v>2.5270000000000002E-3</v>
      </c>
      <c r="BC44">
        <v>2.627E-3</v>
      </c>
    </row>
    <row r="45" spans="1:55">
      <c r="A45" t="s">
        <v>45</v>
      </c>
      <c r="B45">
        <v>1.4899999999999999E-4</v>
      </c>
      <c r="C45">
        <v>5.1400000000000003E-4</v>
      </c>
      <c r="D45">
        <v>1.2035000000000001E-2</v>
      </c>
      <c r="E45">
        <v>8.5330000000000007E-3</v>
      </c>
      <c r="F45">
        <v>4.3600000000000003E-4</v>
      </c>
      <c r="G45">
        <v>1.92E-3</v>
      </c>
      <c r="H45">
        <v>2.8600000000000001E-4</v>
      </c>
      <c r="I45">
        <v>2.0349999999999999E-3</v>
      </c>
      <c r="J45">
        <v>3.3599999999999998E-4</v>
      </c>
      <c r="K45">
        <v>1.0679999999999999E-3</v>
      </c>
      <c r="L45">
        <v>2.8270000000000001E-3</v>
      </c>
      <c r="M45">
        <v>0</v>
      </c>
      <c r="N45">
        <v>3.7239999999999999E-3</v>
      </c>
      <c r="O45">
        <v>1.3190000000000001E-3</v>
      </c>
      <c r="P45">
        <v>5.6820000000000004E-3</v>
      </c>
      <c r="Q45">
        <v>2.72E-4</v>
      </c>
      <c r="R45">
        <v>2.5441999999999999E-2</v>
      </c>
      <c r="S45">
        <v>3.7803999999999997E-2</v>
      </c>
      <c r="T45">
        <v>9.0980000000000002E-3</v>
      </c>
      <c r="U45">
        <v>1.6747999999999999E-2</v>
      </c>
      <c r="V45">
        <v>1.175E-2</v>
      </c>
      <c r="W45">
        <v>6.2599999999999999E-3</v>
      </c>
      <c r="X45">
        <v>5.3330000000000001E-3</v>
      </c>
      <c r="Y45">
        <v>3.542E-3</v>
      </c>
      <c r="Z45">
        <v>8.5280000000000009E-3</v>
      </c>
      <c r="AA45">
        <v>4.0930000000000003E-3</v>
      </c>
      <c r="AB45">
        <v>1.6584999999999999E-2</v>
      </c>
      <c r="AC45">
        <v>4.8395000000000001E-2</v>
      </c>
      <c r="AD45">
        <v>2.4718E-2</v>
      </c>
      <c r="AE45">
        <v>2.911E-3</v>
      </c>
      <c r="AF45">
        <v>7.7999999999999999E-4</v>
      </c>
      <c r="AG45">
        <v>3.8560000000000001E-3</v>
      </c>
      <c r="AH45">
        <v>8.5850000000000006E-3</v>
      </c>
      <c r="AI45">
        <v>1.5532000000000001E-2</v>
      </c>
      <c r="AJ45">
        <v>2.0847000000000001E-2</v>
      </c>
      <c r="AK45">
        <v>5.561E-3</v>
      </c>
      <c r="AL45">
        <v>4.2310000000000004E-3</v>
      </c>
      <c r="AM45">
        <v>1.6621E-2</v>
      </c>
      <c r="AN45">
        <v>4.1230999999999997E-2</v>
      </c>
      <c r="AO45">
        <v>2.1454000000000001E-2</v>
      </c>
      <c r="AP45">
        <v>3.5478999999999997E-2</v>
      </c>
      <c r="AQ45">
        <v>9.3609999999999995E-3</v>
      </c>
      <c r="AR45">
        <v>3.7959999999999999E-3</v>
      </c>
      <c r="AS45">
        <v>0.129138</v>
      </c>
      <c r="AT45">
        <v>2.0652E-2</v>
      </c>
      <c r="AU45">
        <v>5.0909000000000003E-2</v>
      </c>
      <c r="AV45">
        <v>1.8617999999999999E-2</v>
      </c>
      <c r="AW45">
        <v>2.6891999999999999E-2</v>
      </c>
      <c r="AX45">
        <v>1.1139E-2</v>
      </c>
      <c r="AY45">
        <v>6.5989000000000006E-2</v>
      </c>
      <c r="AZ45">
        <v>3.1934999999999998E-2</v>
      </c>
      <c r="BA45">
        <v>3.9232999999999997E-2</v>
      </c>
      <c r="BB45">
        <v>1.384E-2</v>
      </c>
      <c r="BC45">
        <v>1.3101E-2</v>
      </c>
    </row>
    <row r="46" spans="1:55">
      <c r="A46" t="s">
        <v>46</v>
      </c>
      <c r="B46">
        <v>1.2620000000000001E-3</v>
      </c>
      <c r="C46">
        <v>2.9610000000000001E-3</v>
      </c>
      <c r="D46">
        <v>4.1949999999999999E-3</v>
      </c>
      <c r="E46">
        <v>7.9000000000000001E-4</v>
      </c>
      <c r="F46">
        <v>9.0200000000000002E-3</v>
      </c>
      <c r="G46">
        <v>1.3925999999999999E-2</v>
      </c>
      <c r="H46">
        <v>9.2699999999999998E-4</v>
      </c>
      <c r="I46">
        <v>1.678E-3</v>
      </c>
      <c r="J46">
        <v>2.9499999999999999E-3</v>
      </c>
      <c r="K46">
        <v>2.359E-3</v>
      </c>
      <c r="L46">
        <v>9.6900000000000007E-3</v>
      </c>
      <c r="M46">
        <v>0</v>
      </c>
      <c r="N46">
        <v>9.7190000000000002E-3</v>
      </c>
      <c r="O46">
        <v>1.8799999999999999E-4</v>
      </c>
      <c r="P46">
        <v>2.7820000000000002E-3</v>
      </c>
      <c r="Q46">
        <v>5.0000000000000004E-6</v>
      </c>
      <c r="R46">
        <v>1.1946999999999999E-2</v>
      </c>
      <c r="S46">
        <v>6.7799999999999996E-3</v>
      </c>
      <c r="T46">
        <v>3.8349999999999999E-3</v>
      </c>
      <c r="U46">
        <v>1.6542000000000001E-2</v>
      </c>
      <c r="V46">
        <v>3.862E-3</v>
      </c>
      <c r="W46">
        <v>6.8490000000000001E-3</v>
      </c>
      <c r="X46">
        <v>2.947E-3</v>
      </c>
      <c r="Y46">
        <v>4.4799999999999996E-3</v>
      </c>
      <c r="Z46">
        <v>2.663E-3</v>
      </c>
      <c r="AA46">
        <v>3.8800000000000002E-3</v>
      </c>
      <c r="AB46">
        <v>4.254E-3</v>
      </c>
      <c r="AC46">
        <v>6.117E-3</v>
      </c>
      <c r="AD46">
        <v>2.0268999999999999E-2</v>
      </c>
      <c r="AE46">
        <v>8.6370000000000006E-3</v>
      </c>
      <c r="AF46">
        <v>2.5730000000000002E-3</v>
      </c>
      <c r="AG46">
        <v>1.346E-3</v>
      </c>
      <c r="AH46">
        <v>3.8140000000000001E-3</v>
      </c>
      <c r="AI46">
        <v>5.3499999999999997E-3</v>
      </c>
      <c r="AJ46">
        <v>1.9730999999999999E-2</v>
      </c>
      <c r="AK46">
        <v>4.8859999999999997E-3</v>
      </c>
      <c r="AL46">
        <v>3.2940000000000001E-3</v>
      </c>
      <c r="AM46">
        <v>1.5377999999999999E-2</v>
      </c>
      <c r="AN46">
        <v>4.607E-3</v>
      </c>
      <c r="AO46">
        <v>1.9300000000000001E-3</v>
      </c>
      <c r="AP46">
        <v>3.5040000000000002E-3</v>
      </c>
      <c r="AQ46">
        <v>6.1809999999999999E-3</v>
      </c>
      <c r="AR46">
        <v>7.7899999999999996E-4</v>
      </c>
      <c r="AS46">
        <v>5.6249999999999998E-3</v>
      </c>
      <c r="AT46">
        <v>6.5399999999999998E-3</v>
      </c>
      <c r="AU46">
        <v>1.6153000000000001E-2</v>
      </c>
      <c r="AV46">
        <v>8.3249000000000004E-2</v>
      </c>
      <c r="AW46">
        <v>3.3971000000000001E-2</v>
      </c>
      <c r="AX46">
        <v>1.2371E-2</v>
      </c>
      <c r="AY46">
        <v>1.7898000000000001E-2</v>
      </c>
      <c r="AZ46">
        <v>9.8799999999999995E-4</v>
      </c>
      <c r="BA46">
        <v>2.1050000000000001E-3</v>
      </c>
      <c r="BB46">
        <v>2.6250000000000002E-3</v>
      </c>
      <c r="BC46">
        <v>5.2709999999999996E-3</v>
      </c>
    </row>
    <row r="47" spans="1:55">
      <c r="A47" t="s">
        <v>47</v>
      </c>
      <c r="B47">
        <v>2.34E-4</v>
      </c>
      <c r="C47">
        <v>5.9500000000000004E-4</v>
      </c>
      <c r="D47">
        <v>2.7399999999999999E-4</v>
      </c>
      <c r="E47">
        <v>1.17E-4</v>
      </c>
      <c r="F47">
        <v>5.7600000000000001E-4</v>
      </c>
      <c r="G47">
        <v>0</v>
      </c>
      <c r="H47">
        <v>0</v>
      </c>
      <c r="I47">
        <v>4.7600000000000002E-4</v>
      </c>
      <c r="J47">
        <v>6.3599999999999996E-4</v>
      </c>
      <c r="K47">
        <v>2.9689999999999999E-3</v>
      </c>
      <c r="L47">
        <v>1.4009999999999999E-3</v>
      </c>
      <c r="M47">
        <v>0</v>
      </c>
      <c r="N47">
        <v>1.356E-3</v>
      </c>
      <c r="O47">
        <v>1.83E-4</v>
      </c>
      <c r="P47">
        <v>1.22E-4</v>
      </c>
      <c r="Q47">
        <v>0</v>
      </c>
      <c r="R47">
        <v>0</v>
      </c>
      <c r="S47">
        <v>2.444E-3</v>
      </c>
      <c r="T47">
        <v>1.6050000000000001E-3</v>
      </c>
      <c r="U47">
        <v>6.5300000000000004E-4</v>
      </c>
      <c r="V47">
        <v>7.5900000000000002E-4</v>
      </c>
      <c r="W47">
        <v>3.3799999999999998E-4</v>
      </c>
      <c r="X47">
        <v>5.0000000000000004E-6</v>
      </c>
      <c r="Y47">
        <v>2.5000000000000001E-4</v>
      </c>
      <c r="Z47">
        <v>1.1E-5</v>
      </c>
      <c r="AA47">
        <v>2.5000000000000001E-4</v>
      </c>
      <c r="AB47">
        <v>2.7330000000000002E-3</v>
      </c>
      <c r="AC47">
        <v>1.5999999999999999E-5</v>
      </c>
      <c r="AD47">
        <v>9.7499999999999996E-4</v>
      </c>
      <c r="AE47">
        <v>4.3000000000000002E-5</v>
      </c>
      <c r="AF47">
        <v>7.7999999999999999E-5</v>
      </c>
      <c r="AG47">
        <v>3.0000000000000001E-6</v>
      </c>
      <c r="AH47">
        <v>1.173E-3</v>
      </c>
      <c r="AI47">
        <v>5.6239999999999997E-3</v>
      </c>
      <c r="AJ47">
        <v>2.3040000000000001E-3</v>
      </c>
      <c r="AK47">
        <v>2.0000000000000001E-4</v>
      </c>
      <c r="AL47">
        <v>2.23E-4</v>
      </c>
      <c r="AM47">
        <v>8.2430000000000003E-3</v>
      </c>
      <c r="AN47">
        <v>1.3239000000000001E-2</v>
      </c>
      <c r="AO47">
        <v>4.4349999999999997E-3</v>
      </c>
      <c r="AP47">
        <v>8.1510000000000003E-3</v>
      </c>
      <c r="AQ47">
        <v>8.8999999999999995E-4</v>
      </c>
      <c r="AR47">
        <v>4.9600000000000002E-4</v>
      </c>
      <c r="AS47">
        <v>1.843E-3</v>
      </c>
      <c r="AT47">
        <v>6.4700000000000001E-3</v>
      </c>
      <c r="AU47">
        <v>1.0877E-2</v>
      </c>
      <c r="AV47">
        <v>1.1998E-2</v>
      </c>
      <c r="AW47">
        <v>2.6138000000000002E-2</v>
      </c>
      <c r="AX47">
        <v>1.691E-3</v>
      </c>
      <c r="AY47">
        <v>4.6439999999999997E-3</v>
      </c>
      <c r="AZ47">
        <v>1.9419999999999999E-3</v>
      </c>
      <c r="BA47">
        <v>5.2300000000000003E-4</v>
      </c>
      <c r="BB47">
        <v>2.408E-3</v>
      </c>
      <c r="BC47">
        <v>4.4799999999999999E-4</v>
      </c>
    </row>
    <row r="48" spans="1:55">
      <c r="A48" t="s">
        <v>48</v>
      </c>
      <c r="B48">
        <v>1.2489999999999999E-3</v>
      </c>
      <c r="C48">
        <v>5.1240000000000001E-3</v>
      </c>
      <c r="D48">
        <v>5.6499999999999996E-4</v>
      </c>
      <c r="E48">
        <v>5.1999999999999997E-5</v>
      </c>
      <c r="F48">
        <v>1.3749999999999999E-3</v>
      </c>
      <c r="G48">
        <v>5.0799999999999999E-4</v>
      </c>
      <c r="H48">
        <v>1.03E-4</v>
      </c>
      <c r="I48">
        <v>5.8100000000000003E-4</v>
      </c>
      <c r="J48">
        <v>3.2600000000000001E-4</v>
      </c>
      <c r="K48">
        <v>3.5399999999999999E-4</v>
      </c>
      <c r="L48">
        <v>1.1249999999999999E-3</v>
      </c>
      <c r="M48">
        <v>0</v>
      </c>
      <c r="N48">
        <v>8.8999999999999995E-5</v>
      </c>
      <c r="O48">
        <v>6.0000000000000002E-6</v>
      </c>
      <c r="P48">
        <v>2.2000000000000001E-4</v>
      </c>
      <c r="Q48">
        <v>0</v>
      </c>
      <c r="R48">
        <v>3.7439999999999999E-3</v>
      </c>
      <c r="S48">
        <v>5.2300000000000003E-3</v>
      </c>
      <c r="T48">
        <v>1.0020000000000001E-3</v>
      </c>
      <c r="U48">
        <v>3.9890000000000004E-3</v>
      </c>
      <c r="V48">
        <v>1.0430000000000001E-3</v>
      </c>
      <c r="W48">
        <v>8.5499999999999997E-4</v>
      </c>
      <c r="X48">
        <v>2.5700000000000001E-4</v>
      </c>
      <c r="Y48">
        <v>3.5399999999999999E-4</v>
      </c>
      <c r="Z48">
        <v>1.4480000000000001E-3</v>
      </c>
      <c r="AA48">
        <v>5.9999999999999995E-4</v>
      </c>
      <c r="AB48">
        <v>2.1879999999999998E-3</v>
      </c>
      <c r="AC48">
        <v>6.0000000000000002E-6</v>
      </c>
      <c r="AD48">
        <v>3.1050000000000001E-3</v>
      </c>
      <c r="AE48">
        <v>3.9240000000000004E-3</v>
      </c>
      <c r="AF48">
        <v>1.9999999999999999E-6</v>
      </c>
      <c r="AG48">
        <v>4.1399999999999998E-4</v>
      </c>
      <c r="AH48">
        <v>4.66E-4</v>
      </c>
      <c r="AI48">
        <v>7.5059999999999997E-3</v>
      </c>
      <c r="AJ48">
        <v>5.2100000000000002E-3</v>
      </c>
      <c r="AK48">
        <v>3.0000000000000001E-6</v>
      </c>
      <c r="AL48">
        <v>1.351E-3</v>
      </c>
      <c r="AM48">
        <v>2.3080000000000002E-3</v>
      </c>
      <c r="AN48">
        <v>7.9999999999999996E-6</v>
      </c>
      <c r="AO48">
        <v>7.5699999999999997E-4</v>
      </c>
      <c r="AP48">
        <v>2.2769999999999999E-3</v>
      </c>
      <c r="AQ48">
        <v>1.42E-3</v>
      </c>
      <c r="AR48">
        <v>5.71E-4</v>
      </c>
      <c r="AS48">
        <v>1.9070000000000001E-3</v>
      </c>
      <c r="AT48">
        <v>5.2700000000000002E-4</v>
      </c>
      <c r="AU48">
        <v>3.6713999999999997E-2</v>
      </c>
      <c r="AV48">
        <v>6.2184000000000003E-2</v>
      </c>
      <c r="AW48">
        <v>2.3415999999999999E-2</v>
      </c>
      <c r="AX48">
        <v>3.5590000000000001E-3</v>
      </c>
      <c r="AY48">
        <v>1.0227E-2</v>
      </c>
      <c r="AZ48">
        <v>1.2800000000000001E-3</v>
      </c>
      <c r="BA48">
        <v>1.707E-3</v>
      </c>
      <c r="BB48">
        <v>2.8649999999999999E-3</v>
      </c>
      <c r="BC48">
        <v>2.4750000000000002E-3</v>
      </c>
    </row>
    <row r="49" spans="1:55">
      <c r="A49" t="s">
        <v>49</v>
      </c>
      <c r="B49">
        <v>3.9999999999999998E-6</v>
      </c>
      <c r="C49">
        <v>9.9999999999999995E-7</v>
      </c>
      <c r="D49">
        <v>1.3100000000000001E-4</v>
      </c>
      <c r="E49">
        <v>2.52E-4</v>
      </c>
      <c r="F49">
        <v>4.1999999999999998E-5</v>
      </c>
      <c r="G49">
        <v>3.9999999999999998E-6</v>
      </c>
      <c r="H49">
        <v>0</v>
      </c>
      <c r="I49">
        <v>9.9999999999999995E-7</v>
      </c>
      <c r="J49">
        <v>9.9999999999999995E-7</v>
      </c>
      <c r="K49">
        <v>9.9999999999999995E-7</v>
      </c>
      <c r="L49">
        <v>3.0000000000000001E-6</v>
      </c>
      <c r="M49">
        <v>0</v>
      </c>
      <c r="N49">
        <v>0</v>
      </c>
      <c r="O49">
        <v>0</v>
      </c>
      <c r="P49">
        <v>9.9999999999999995E-7</v>
      </c>
      <c r="Q49">
        <v>0</v>
      </c>
      <c r="R49">
        <v>2.1999999999999999E-5</v>
      </c>
      <c r="S49">
        <v>3.0000000000000001E-6</v>
      </c>
      <c r="T49">
        <v>9.9999999999999995E-7</v>
      </c>
      <c r="U49">
        <v>9.9999999999999995E-7</v>
      </c>
      <c r="V49">
        <v>9.9999999999999995E-7</v>
      </c>
      <c r="W49">
        <v>9.9999999999999995E-7</v>
      </c>
      <c r="X49">
        <v>9.9999999999999995E-7</v>
      </c>
      <c r="Y49">
        <v>1.9999999999999999E-6</v>
      </c>
      <c r="Z49">
        <v>1.9999999999999999E-6</v>
      </c>
      <c r="AA49">
        <v>9.9999999999999995E-7</v>
      </c>
      <c r="AB49">
        <v>2.4000000000000001E-5</v>
      </c>
      <c r="AC49">
        <v>0</v>
      </c>
      <c r="AD49">
        <v>9.9999999999999995E-7</v>
      </c>
      <c r="AE49">
        <v>0</v>
      </c>
      <c r="AF49">
        <v>0</v>
      </c>
      <c r="AG49">
        <v>9.9999999999999995E-7</v>
      </c>
      <c r="AH49">
        <v>9.9999999999999995E-7</v>
      </c>
      <c r="AI49">
        <v>1.9000000000000001E-5</v>
      </c>
      <c r="AJ49">
        <v>6.9999999999999999E-6</v>
      </c>
      <c r="AK49">
        <v>1.1E-5</v>
      </c>
      <c r="AL49">
        <v>5.0000000000000004E-6</v>
      </c>
      <c r="AM49">
        <v>1.8E-5</v>
      </c>
      <c r="AN49">
        <v>3.8000000000000002E-5</v>
      </c>
      <c r="AO49">
        <v>1.1E-5</v>
      </c>
      <c r="AP49">
        <v>2.0999999999999999E-5</v>
      </c>
      <c r="AQ49">
        <v>3.0000000000000001E-6</v>
      </c>
      <c r="AR49">
        <v>0</v>
      </c>
      <c r="AS49">
        <v>1.5E-5</v>
      </c>
      <c r="AT49">
        <v>6.9999999999999999E-6</v>
      </c>
      <c r="AU49">
        <v>1.3799999999999999E-4</v>
      </c>
      <c r="AV49">
        <v>6.3999999999999997E-5</v>
      </c>
      <c r="AW49">
        <v>3.3199999999999999E-4</v>
      </c>
      <c r="AX49">
        <v>3.0000000000000001E-6</v>
      </c>
      <c r="AY49">
        <v>3.8000000000000002E-5</v>
      </c>
      <c r="AZ49">
        <v>9.9999999999999995E-7</v>
      </c>
      <c r="BA49">
        <v>9.9999999999999995E-7</v>
      </c>
      <c r="BB49">
        <v>5.0000000000000004E-6</v>
      </c>
      <c r="BC49">
        <v>1.9999999999999999E-6</v>
      </c>
    </row>
    <row r="50" spans="1:55">
      <c r="A50" t="s">
        <v>50</v>
      </c>
      <c r="B50">
        <v>0</v>
      </c>
      <c r="C50">
        <v>0</v>
      </c>
      <c r="D50">
        <v>0</v>
      </c>
      <c r="E50">
        <v>0</v>
      </c>
      <c r="F50">
        <v>0</v>
      </c>
      <c r="G50">
        <v>0</v>
      </c>
      <c r="H50">
        <v>0</v>
      </c>
      <c r="I50">
        <v>0</v>
      </c>
      <c r="J50">
        <v>0</v>
      </c>
      <c r="K50">
        <v>4.5199999999999998E-4</v>
      </c>
      <c r="L50">
        <v>5.3299999999999997E-3</v>
      </c>
      <c r="M50">
        <v>0</v>
      </c>
      <c r="N50">
        <v>1.3649999999999999E-3</v>
      </c>
      <c r="O50">
        <v>2.0799999999999999E-4</v>
      </c>
      <c r="P50">
        <v>3.5599999999999998E-4</v>
      </c>
      <c r="Q50">
        <v>0</v>
      </c>
      <c r="R50">
        <v>2.088E-3</v>
      </c>
      <c r="S50">
        <v>3.8920000000000001E-3</v>
      </c>
      <c r="T50">
        <v>9.6199999999999996E-4</v>
      </c>
      <c r="U50">
        <v>2.3519999999999999E-3</v>
      </c>
      <c r="V50">
        <v>7.3300000000000004E-4</v>
      </c>
      <c r="W50">
        <v>1.825E-3</v>
      </c>
      <c r="X50">
        <v>1.206E-3</v>
      </c>
      <c r="Y50">
        <v>1.3240000000000001E-3</v>
      </c>
      <c r="Z50">
        <v>2.5089999999999999E-3</v>
      </c>
      <c r="AA50">
        <v>0</v>
      </c>
      <c r="AB50">
        <v>2.8300000000000001E-3</v>
      </c>
      <c r="AC50">
        <v>5.0109999999999998E-3</v>
      </c>
      <c r="AD50">
        <v>1.9430000000000001E-3</v>
      </c>
      <c r="AE50">
        <v>0</v>
      </c>
      <c r="AF50">
        <v>0</v>
      </c>
      <c r="AG50">
        <v>3.8300000000000001E-3</v>
      </c>
      <c r="AH50">
        <v>1.284E-3</v>
      </c>
      <c r="AI50">
        <v>1.7037E-2</v>
      </c>
      <c r="AJ50">
        <v>1.8943999999999999E-2</v>
      </c>
      <c r="AK50">
        <v>1.1396999999999999E-2</v>
      </c>
      <c r="AL50">
        <v>1.774E-3</v>
      </c>
      <c r="AM50">
        <v>2.418E-3</v>
      </c>
      <c r="AN50">
        <v>6.4070000000000004E-3</v>
      </c>
      <c r="AO50">
        <v>2.6540000000000001E-3</v>
      </c>
      <c r="AP50">
        <v>4.751E-3</v>
      </c>
      <c r="AQ50">
        <v>1.575E-3</v>
      </c>
      <c r="AR50">
        <v>8.4000000000000003E-4</v>
      </c>
      <c r="AS50">
        <v>6.6870000000000002E-3</v>
      </c>
      <c r="AT50">
        <v>5.2550000000000001E-3</v>
      </c>
      <c r="AU50">
        <v>7.5079999999999999E-3</v>
      </c>
      <c r="AV50">
        <v>4.0119999999999999E-3</v>
      </c>
      <c r="AW50">
        <v>7.0980000000000001E-3</v>
      </c>
      <c r="AX50">
        <v>1.817E-3</v>
      </c>
      <c r="AY50">
        <v>1.0106E-2</v>
      </c>
      <c r="AZ50">
        <v>2.006E-3</v>
      </c>
      <c r="BA50">
        <v>9.6159999999999995E-3</v>
      </c>
      <c r="BB50">
        <v>4.7949999999999998E-3</v>
      </c>
      <c r="BC50">
        <v>1.1228999999999999E-2</v>
      </c>
    </row>
    <row r="51" spans="1:55">
      <c r="A51" t="s">
        <v>51</v>
      </c>
      <c r="B51">
        <v>2.9599999999999998E-4</v>
      </c>
      <c r="C51">
        <v>4.37E-4</v>
      </c>
      <c r="D51">
        <v>7.3740000000000003E-3</v>
      </c>
      <c r="E51">
        <v>1.137E-3</v>
      </c>
      <c r="F51">
        <v>4.3000000000000002E-5</v>
      </c>
      <c r="G51">
        <v>2.4710000000000001E-3</v>
      </c>
      <c r="H51">
        <v>6.3999999999999997E-5</v>
      </c>
      <c r="I51">
        <v>7.1299999999999998E-4</v>
      </c>
      <c r="J51">
        <v>2.24E-4</v>
      </c>
      <c r="K51">
        <v>1.011E-3</v>
      </c>
      <c r="L51">
        <v>7.5000000000000002E-4</v>
      </c>
      <c r="M51">
        <v>0</v>
      </c>
      <c r="N51">
        <v>5.0699999999999996E-4</v>
      </c>
      <c r="O51">
        <v>1.75E-4</v>
      </c>
      <c r="P51">
        <v>1.06E-4</v>
      </c>
      <c r="Q51">
        <v>5.0000000000000004E-6</v>
      </c>
      <c r="R51">
        <v>6.3100000000000005E-4</v>
      </c>
      <c r="S51">
        <v>8.5499999999999997E-4</v>
      </c>
      <c r="T51">
        <v>4.2299999999999998E-4</v>
      </c>
      <c r="U51">
        <v>7.0299999999999996E-4</v>
      </c>
      <c r="V51">
        <v>1.9900000000000001E-4</v>
      </c>
      <c r="W51">
        <v>2.7999999999999998E-4</v>
      </c>
      <c r="X51">
        <v>5.2499999999999997E-4</v>
      </c>
      <c r="Y51">
        <v>2.3599999999999999E-4</v>
      </c>
      <c r="Z51">
        <v>4.8099999999999998E-4</v>
      </c>
      <c r="AA51">
        <v>1.8100000000000001E-4</v>
      </c>
      <c r="AB51">
        <v>1.253E-3</v>
      </c>
      <c r="AC51">
        <v>9.0700000000000004E-4</v>
      </c>
      <c r="AD51">
        <v>4.75E-4</v>
      </c>
      <c r="AE51">
        <v>2.026E-3</v>
      </c>
      <c r="AF51">
        <v>3.1700000000000001E-4</v>
      </c>
      <c r="AG51">
        <v>6.78E-4</v>
      </c>
      <c r="AH51">
        <v>6.8199999999999999E-4</v>
      </c>
      <c r="AI51">
        <v>1.6180000000000001E-3</v>
      </c>
      <c r="AJ51">
        <v>9.8799999999999995E-4</v>
      </c>
      <c r="AK51">
        <v>1.2769999999999999E-3</v>
      </c>
      <c r="AL51">
        <v>1.7229999999999999E-3</v>
      </c>
      <c r="AM51">
        <v>3.2230000000000002E-3</v>
      </c>
      <c r="AN51">
        <v>2.0079999999999998E-3</v>
      </c>
      <c r="AO51">
        <v>3.6640000000000002E-3</v>
      </c>
      <c r="AP51">
        <v>2.1619999999999999E-3</v>
      </c>
      <c r="AQ51">
        <v>5.5699999999999999E-4</v>
      </c>
      <c r="AR51">
        <v>1.6799999999999999E-4</v>
      </c>
      <c r="AS51">
        <v>1.121E-3</v>
      </c>
      <c r="AT51">
        <v>3.6340000000000001E-3</v>
      </c>
      <c r="AU51">
        <v>3.1410000000000001E-3</v>
      </c>
      <c r="AV51">
        <v>1.9980000000000002E-3</v>
      </c>
      <c r="AW51">
        <v>1.7520000000000001E-3</v>
      </c>
      <c r="AX51">
        <v>9.3700000000000001E-4</v>
      </c>
      <c r="AY51">
        <v>2.617E-3</v>
      </c>
      <c r="AZ51">
        <v>2.8549999999999999E-3</v>
      </c>
      <c r="BA51">
        <v>1.719E-3</v>
      </c>
      <c r="BB51">
        <v>3.2899999999999997E-4</v>
      </c>
      <c r="BC51">
        <v>5.3899999999999998E-4</v>
      </c>
    </row>
    <row r="52" spans="1:55">
      <c r="A52" t="s">
        <v>52</v>
      </c>
      <c r="B52">
        <v>0</v>
      </c>
      <c r="C52">
        <v>0</v>
      </c>
      <c r="D52">
        <v>0</v>
      </c>
      <c r="E52">
        <v>0</v>
      </c>
      <c r="F52">
        <v>5.7499999999999999E-4</v>
      </c>
      <c r="G52">
        <v>0</v>
      </c>
      <c r="H52">
        <v>0</v>
      </c>
      <c r="I52">
        <v>0</v>
      </c>
      <c r="J52">
        <v>0</v>
      </c>
      <c r="K52">
        <v>2.7469999999999999E-3</v>
      </c>
      <c r="L52">
        <v>4.8679999999999999E-3</v>
      </c>
      <c r="M52">
        <v>0</v>
      </c>
      <c r="N52">
        <v>0</v>
      </c>
      <c r="O52">
        <v>4.4799999999999999E-4</v>
      </c>
      <c r="P52">
        <v>2.7700000000000001E-4</v>
      </c>
      <c r="Q52">
        <v>0</v>
      </c>
      <c r="R52">
        <v>2.954E-3</v>
      </c>
      <c r="S52">
        <v>0</v>
      </c>
      <c r="T52">
        <v>0</v>
      </c>
      <c r="U52">
        <v>3.7859999999999999E-3</v>
      </c>
      <c r="V52">
        <v>1.4220000000000001E-3</v>
      </c>
      <c r="W52">
        <v>2.7100000000000002E-3</v>
      </c>
      <c r="X52">
        <v>0</v>
      </c>
      <c r="Y52">
        <v>0</v>
      </c>
      <c r="Z52">
        <v>0</v>
      </c>
      <c r="AA52">
        <v>0</v>
      </c>
      <c r="AB52">
        <v>6.5420000000000001E-3</v>
      </c>
      <c r="AC52">
        <v>0</v>
      </c>
      <c r="AD52">
        <v>0</v>
      </c>
      <c r="AE52">
        <v>1.088E-3</v>
      </c>
      <c r="AF52">
        <v>3.0000000000000001E-6</v>
      </c>
      <c r="AG52">
        <v>2.1683999999999998E-2</v>
      </c>
      <c r="AH52">
        <v>4.4079999999999996E-3</v>
      </c>
      <c r="AI52">
        <v>1.17E-4</v>
      </c>
      <c r="AJ52">
        <v>1.03E-4</v>
      </c>
      <c r="AK52">
        <v>0.189361</v>
      </c>
      <c r="AL52">
        <v>1.5139999999999999E-3</v>
      </c>
      <c r="AM52">
        <v>5.071E-3</v>
      </c>
      <c r="AN52">
        <v>1.9480000000000001E-3</v>
      </c>
      <c r="AO52">
        <v>2.0339999999999998E-3</v>
      </c>
      <c r="AP52">
        <v>1.2E-4</v>
      </c>
      <c r="AQ52">
        <v>1.833E-3</v>
      </c>
      <c r="AR52">
        <v>2.4759999999999999E-3</v>
      </c>
      <c r="AS52">
        <v>2.4985E-2</v>
      </c>
      <c r="AT52">
        <v>2.5490000000000001E-3</v>
      </c>
      <c r="AU52">
        <v>5.4970000000000001E-3</v>
      </c>
      <c r="AV52">
        <v>3.529E-3</v>
      </c>
      <c r="AW52">
        <v>8.7399999999999999E-4</v>
      </c>
      <c r="AX52">
        <v>8.829E-3</v>
      </c>
      <c r="AY52">
        <v>7.1980000000000004E-3</v>
      </c>
      <c r="AZ52">
        <v>3.2539999999999999E-3</v>
      </c>
      <c r="BA52">
        <v>1.802E-3</v>
      </c>
      <c r="BB52">
        <v>2.1480000000000002E-3</v>
      </c>
      <c r="BC52">
        <v>8.2000000000000001E-5</v>
      </c>
    </row>
    <row r="53" spans="1:55">
      <c r="A53" t="s">
        <v>53</v>
      </c>
      <c r="B53">
        <v>6.0000000000000002E-6</v>
      </c>
      <c r="C53">
        <v>1.0000000000000001E-5</v>
      </c>
      <c r="D53">
        <v>0</v>
      </c>
      <c r="E53">
        <v>0</v>
      </c>
      <c r="F53">
        <v>9.9999999999999995E-7</v>
      </c>
      <c r="G53">
        <v>1.7E-5</v>
      </c>
      <c r="H53">
        <v>1.1E-5</v>
      </c>
      <c r="I53">
        <v>3.9999999999999998E-6</v>
      </c>
      <c r="J53">
        <v>5.0000000000000004E-6</v>
      </c>
      <c r="K53">
        <v>1.1E-5</v>
      </c>
      <c r="L53">
        <v>1.2E-4</v>
      </c>
      <c r="M53">
        <v>0</v>
      </c>
      <c r="N53">
        <v>9.0000000000000002E-6</v>
      </c>
      <c r="O53">
        <v>6.0000000000000002E-6</v>
      </c>
      <c r="P53">
        <v>2.8E-5</v>
      </c>
      <c r="Q53">
        <v>1.0000000000000001E-5</v>
      </c>
      <c r="R53">
        <v>1.35E-4</v>
      </c>
      <c r="S53">
        <v>7.6000000000000004E-5</v>
      </c>
      <c r="T53">
        <v>3.8999999999999999E-5</v>
      </c>
      <c r="U53">
        <v>1.92E-4</v>
      </c>
      <c r="V53">
        <v>7.3999999999999996E-5</v>
      </c>
      <c r="W53">
        <v>5.1999999999999997E-5</v>
      </c>
      <c r="X53">
        <v>1.02E-4</v>
      </c>
      <c r="Y53">
        <v>8.1000000000000004E-5</v>
      </c>
      <c r="Z53">
        <v>5.7000000000000003E-5</v>
      </c>
      <c r="AA53">
        <v>6.6000000000000005E-5</v>
      </c>
      <c r="AB53">
        <v>1.16E-4</v>
      </c>
      <c r="AC53">
        <v>3.6000000000000001E-5</v>
      </c>
      <c r="AD53">
        <v>4.5000000000000003E-5</v>
      </c>
      <c r="AE53">
        <v>5.3999999999999998E-5</v>
      </c>
      <c r="AF53">
        <v>9.0000000000000002E-6</v>
      </c>
      <c r="AG53">
        <v>8.2000000000000001E-5</v>
      </c>
      <c r="AH53">
        <v>1.84E-4</v>
      </c>
      <c r="AI53">
        <v>4.6E-5</v>
      </c>
      <c r="AJ53">
        <v>2.7E-4</v>
      </c>
      <c r="AK53">
        <v>8.1800000000000004E-4</v>
      </c>
      <c r="AL53">
        <v>9.7999999999999997E-5</v>
      </c>
      <c r="AM53">
        <v>2.5999999999999998E-5</v>
      </c>
      <c r="AN53">
        <v>1E-4</v>
      </c>
      <c r="AO53">
        <v>1.7200000000000001E-4</v>
      </c>
      <c r="AP53">
        <v>2.5900000000000001E-4</v>
      </c>
      <c r="AQ53">
        <v>2.43E-4</v>
      </c>
      <c r="AR53">
        <v>2.5999999999999998E-5</v>
      </c>
      <c r="AS53">
        <v>2.7799999999999998E-4</v>
      </c>
      <c r="AT53">
        <v>6.2199999999999998E-3</v>
      </c>
      <c r="AU53">
        <v>1.052E-3</v>
      </c>
      <c r="AV53">
        <v>4.8099999999999998E-4</v>
      </c>
      <c r="AW53">
        <v>4.73E-4</v>
      </c>
      <c r="AX53">
        <v>3.9999999999999998E-6</v>
      </c>
      <c r="AY53">
        <v>1.95E-4</v>
      </c>
      <c r="AZ53">
        <v>3.9599999999999998E-4</v>
      </c>
      <c r="BA53">
        <v>2.2720000000000001E-3</v>
      </c>
      <c r="BB53">
        <v>5.8900000000000001E-4</v>
      </c>
      <c r="BC53">
        <v>9.2000000000000003E-4</v>
      </c>
    </row>
    <row r="54" spans="1:55">
      <c r="A54" t="s">
        <v>54</v>
      </c>
      <c r="B54">
        <v>7.2999999999999996E-4</v>
      </c>
      <c r="C54">
        <v>8.6899999999999998E-4</v>
      </c>
      <c r="D54">
        <v>1.2769999999999999E-3</v>
      </c>
      <c r="E54">
        <v>1.2719999999999999E-3</v>
      </c>
      <c r="F54">
        <v>5.5999999999999999E-5</v>
      </c>
      <c r="G54">
        <v>2.8899999999999998E-4</v>
      </c>
      <c r="H54">
        <v>5.5999999999999999E-5</v>
      </c>
      <c r="I54">
        <v>3.9999999999999998E-6</v>
      </c>
      <c r="J54">
        <v>2.1999999999999999E-5</v>
      </c>
      <c r="K54">
        <v>1.22E-4</v>
      </c>
      <c r="L54">
        <v>1.2300000000000001E-4</v>
      </c>
      <c r="M54">
        <v>0</v>
      </c>
      <c r="N54">
        <v>9.5100000000000002E-4</v>
      </c>
      <c r="O54">
        <v>9.0000000000000002E-6</v>
      </c>
      <c r="P54">
        <v>5.7000000000000003E-5</v>
      </c>
      <c r="Q54">
        <v>0</v>
      </c>
      <c r="R54">
        <v>1.799E-3</v>
      </c>
      <c r="S54">
        <v>1.1659999999999999E-3</v>
      </c>
      <c r="T54">
        <v>5.7399999999999997E-4</v>
      </c>
      <c r="U54">
        <v>1.949E-3</v>
      </c>
      <c r="V54">
        <v>2.594E-3</v>
      </c>
      <c r="W54">
        <v>3.124E-3</v>
      </c>
      <c r="X54">
        <v>5.71E-4</v>
      </c>
      <c r="Y54">
        <v>1.3420000000000001E-3</v>
      </c>
      <c r="Z54">
        <v>7.0500000000000001E-4</v>
      </c>
      <c r="AA54">
        <v>6.0000000000000002E-5</v>
      </c>
      <c r="AB54">
        <v>4.2099999999999999E-4</v>
      </c>
      <c r="AC54">
        <v>7.2900000000000005E-4</v>
      </c>
      <c r="AD54">
        <v>8.3500000000000002E-4</v>
      </c>
      <c r="AE54">
        <v>2.6999999999999999E-5</v>
      </c>
      <c r="AF54">
        <v>1.9999999999999999E-6</v>
      </c>
      <c r="AG54">
        <v>1.4109999999999999E-3</v>
      </c>
      <c r="AH54">
        <v>2.7799999999999998E-4</v>
      </c>
      <c r="AI54">
        <v>4.4700000000000002E-4</v>
      </c>
      <c r="AJ54">
        <v>3.1300000000000002E-4</v>
      </c>
      <c r="AK54">
        <v>1.9699999999999999E-4</v>
      </c>
      <c r="AL54">
        <v>3.4999999999999997E-5</v>
      </c>
      <c r="AM54">
        <v>5.13E-4</v>
      </c>
      <c r="AN54">
        <v>1.023E-3</v>
      </c>
      <c r="AO54">
        <v>1.2899999999999999E-4</v>
      </c>
      <c r="AP54">
        <v>6.8800000000000003E-4</v>
      </c>
      <c r="AQ54">
        <v>1.02E-4</v>
      </c>
      <c r="AR54">
        <v>1.2999999999999999E-5</v>
      </c>
      <c r="AS54">
        <v>3.4999999999999997E-5</v>
      </c>
      <c r="AT54">
        <v>6.3199999999999997E-4</v>
      </c>
      <c r="AU54">
        <v>1.578E-3</v>
      </c>
      <c r="AV54">
        <v>1.0399999999999999E-4</v>
      </c>
      <c r="AW54">
        <v>4.7600000000000002E-4</v>
      </c>
      <c r="AX54">
        <v>5.7000000000000003E-5</v>
      </c>
      <c r="AY54">
        <v>4.2900000000000002E-4</v>
      </c>
      <c r="AZ54">
        <v>9.2E-5</v>
      </c>
      <c r="BA54">
        <v>7.2800000000000002E-4</v>
      </c>
      <c r="BB54">
        <v>5.084E-3</v>
      </c>
      <c r="BC54">
        <v>2.3579999999999999E-3</v>
      </c>
    </row>
    <row r="55" spans="1:55">
      <c r="A55" t="s">
        <v>55</v>
      </c>
      <c r="B55">
        <v>2.147E-3</v>
      </c>
      <c r="C55">
        <v>5.2570000000000004E-3</v>
      </c>
      <c r="D55">
        <v>2.7599999999999999E-4</v>
      </c>
      <c r="E55">
        <v>2.7300000000000002E-4</v>
      </c>
      <c r="F55">
        <v>4.35E-4</v>
      </c>
      <c r="G55">
        <v>5.5098000000000001E-2</v>
      </c>
      <c r="H55">
        <v>3.4099999999999999E-4</v>
      </c>
      <c r="I55">
        <v>5.8E-4</v>
      </c>
      <c r="J55">
        <v>2.13E-4</v>
      </c>
      <c r="K55">
        <v>3.2600000000000001E-4</v>
      </c>
      <c r="L55">
        <v>4.75E-4</v>
      </c>
      <c r="M55">
        <v>0</v>
      </c>
      <c r="N55">
        <v>1.37E-4</v>
      </c>
      <c r="O55">
        <v>1.4999999999999999E-4</v>
      </c>
      <c r="P55">
        <v>2.9239999999999999E-3</v>
      </c>
      <c r="Q55">
        <v>4.3000000000000002E-5</v>
      </c>
      <c r="R55">
        <v>2.0500000000000002E-3</v>
      </c>
      <c r="S55">
        <v>1.0070000000000001E-3</v>
      </c>
      <c r="T55">
        <v>3.6600000000000001E-4</v>
      </c>
      <c r="U55">
        <v>1.7780000000000001E-3</v>
      </c>
      <c r="V55">
        <v>2.9420000000000002E-3</v>
      </c>
      <c r="W55">
        <v>2.5720000000000001E-3</v>
      </c>
      <c r="X55">
        <v>1.2639999999999999E-3</v>
      </c>
      <c r="Y55">
        <v>1.5838000000000001E-2</v>
      </c>
      <c r="Z55">
        <v>5.4100000000000003E-4</v>
      </c>
      <c r="AA55">
        <v>2.2800000000000001E-4</v>
      </c>
      <c r="AB55">
        <v>1.23E-3</v>
      </c>
      <c r="AC55">
        <v>8.1899999999999996E-4</v>
      </c>
      <c r="AD55">
        <v>8.1300000000000003E-4</v>
      </c>
      <c r="AE55">
        <v>1.0900000000000001E-4</v>
      </c>
      <c r="AF55">
        <v>4.6999999999999997E-5</v>
      </c>
      <c r="AG55">
        <v>4.4352000000000003E-2</v>
      </c>
      <c r="AH55">
        <v>1.121E-3</v>
      </c>
      <c r="AI55">
        <v>3.9529999999999999E-3</v>
      </c>
      <c r="AJ55">
        <v>2.036E-3</v>
      </c>
      <c r="AK55">
        <v>7.6599999999999997E-4</v>
      </c>
      <c r="AL55">
        <v>1.292E-3</v>
      </c>
      <c r="AM55">
        <v>5.2599999999999999E-3</v>
      </c>
      <c r="AN55">
        <v>1.939E-3</v>
      </c>
      <c r="AO55">
        <v>2.7430000000000002E-3</v>
      </c>
      <c r="AP55">
        <v>2.3830000000000001E-3</v>
      </c>
      <c r="AQ55">
        <v>4.7850000000000002E-3</v>
      </c>
      <c r="AR55">
        <v>5.4749999999999998E-3</v>
      </c>
      <c r="AS55">
        <v>9.5100000000000002E-4</v>
      </c>
      <c r="AT55">
        <v>4.2099999999999999E-4</v>
      </c>
      <c r="AU55">
        <v>3.6900000000000002E-4</v>
      </c>
      <c r="AV55">
        <v>3.6699999999999998E-4</v>
      </c>
      <c r="AW55">
        <v>8.2299999999999995E-4</v>
      </c>
      <c r="AX55">
        <v>3.5500000000000001E-4</v>
      </c>
      <c r="AY55">
        <v>3.6319999999999998E-3</v>
      </c>
      <c r="AZ55">
        <v>4.5180000000000003E-3</v>
      </c>
      <c r="BA55">
        <v>4.6379999999999998E-3</v>
      </c>
      <c r="BB55">
        <v>7.835E-3</v>
      </c>
      <c r="BC55">
        <v>2.7644999999999999E-2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C55"/>
  <sheetViews>
    <sheetView topLeftCell="A25" workbookViewId="0"/>
  </sheetViews>
  <sheetFormatPr defaultRowHeight="14.5"/>
  <sheetData>
    <row r="1" spans="1:55" s="1" customFormat="1">
      <c r="A1" s="1" t="s">
        <v>140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c r="AM1" s="1" t="s">
        <v>39</v>
      </c>
      <c r="AN1" s="1" t="s">
        <v>40</v>
      </c>
      <c r="AO1" s="1" t="s">
        <v>41</v>
      </c>
      <c r="AP1" s="1" t="s">
        <v>42</v>
      </c>
      <c r="AQ1" s="1" t="s">
        <v>43</v>
      </c>
      <c r="AR1" s="1" t="s">
        <v>44</v>
      </c>
      <c r="AS1" s="1" t="s">
        <v>45</v>
      </c>
      <c r="AT1" s="1" t="s">
        <v>46</v>
      </c>
      <c r="AU1" s="1" t="s">
        <v>47</v>
      </c>
      <c r="AV1" s="1" t="s">
        <v>48</v>
      </c>
      <c r="AW1" s="1" t="s">
        <v>49</v>
      </c>
      <c r="AX1" s="1" t="s">
        <v>50</v>
      </c>
      <c r="AY1" s="1" t="s">
        <v>51</v>
      </c>
      <c r="AZ1" s="1" t="s">
        <v>52</v>
      </c>
      <c r="BA1" s="1" t="s">
        <v>53</v>
      </c>
      <c r="BB1" s="1" t="s">
        <v>54</v>
      </c>
      <c r="BC1" s="1" t="s">
        <v>55</v>
      </c>
    </row>
    <row r="2" spans="1:55">
      <c r="A2" t="s">
        <v>2</v>
      </c>
      <c r="B2">
        <v>1.0615079999999999</v>
      </c>
      <c r="C2">
        <v>7.2000000000000005E-4</v>
      </c>
      <c r="D2">
        <v>3.9319999999999997E-3</v>
      </c>
      <c r="E2">
        <v>5.8929999999999998E-3</v>
      </c>
      <c r="F2">
        <v>6.8890000000000002E-3</v>
      </c>
      <c r="G2">
        <v>5.1799999999999997E-3</v>
      </c>
      <c r="H2">
        <v>2.7701E-2</v>
      </c>
      <c r="I2">
        <v>8.6000000000000003E-5</v>
      </c>
      <c r="J2">
        <v>5.3179999999999998E-3</v>
      </c>
      <c r="K2">
        <v>2.3800000000000001E-4</v>
      </c>
      <c r="L2">
        <v>6.5200000000000002E-4</v>
      </c>
      <c r="M2">
        <v>0</v>
      </c>
      <c r="N2">
        <v>3.77E-4</v>
      </c>
      <c r="O2">
        <v>1.15E-4</v>
      </c>
      <c r="P2">
        <v>0.123627</v>
      </c>
      <c r="Q2">
        <v>3.3000000000000003E-5</v>
      </c>
      <c r="R2">
        <v>2.751E-3</v>
      </c>
      <c r="S2">
        <v>1.3224E-2</v>
      </c>
      <c r="T2">
        <v>1.042E-3</v>
      </c>
      <c r="U2">
        <v>9.6199999999999996E-4</v>
      </c>
      <c r="V2">
        <v>3.6900000000000001E-3</v>
      </c>
      <c r="W2">
        <v>1.7060000000000001E-3</v>
      </c>
      <c r="X2">
        <v>1.248E-3</v>
      </c>
      <c r="Y2">
        <v>8.6899999999999998E-4</v>
      </c>
      <c r="Z2">
        <v>5.6800000000000004E-4</v>
      </c>
      <c r="AA2">
        <v>2.5099999999999998E-4</v>
      </c>
      <c r="AB2">
        <v>9.6500000000000004E-4</v>
      </c>
      <c r="AC2">
        <v>1.0020000000000001E-3</v>
      </c>
      <c r="AD2">
        <v>1.14E-3</v>
      </c>
      <c r="AE2">
        <v>4.1199999999999999E-4</v>
      </c>
      <c r="AF2">
        <v>3.0299999999999999E-4</v>
      </c>
      <c r="AG2">
        <v>1.9740000000000001E-3</v>
      </c>
      <c r="AH2">
        <v>6.87E-4</v>
      </c>
      <c r="AI2">
        <v>5.8100000000000003E-4</v>
      </c>
      <c r="AJ2">
        <v>7.9299999999999998E-4</v>
      </c>
      <c r="AK2">
        <v>2.0560000000000001E-3</v>
      </c>
      <c r="AL2">
        <v>2.6200000000000003E-4</v>
      </c>
      <c r="AM2">
        <v>9.469E-3</v>
      </c>
      <c r="AN2">
        <v>3.0869999999999999E-3</v>
      </c>
      <c r="AO2">
        <v>4.0980000000000001E-3</v>
      </c>
      <c r="AP2">
        <v>1.2769999999999999E-3</v>
      </c>
      <c r="AQ2">
        <v>2.5170999999999999E-2</v>
      </c>
      <c r="AR2">
        <v>4.4894999999999997E-2</v>
      </c>
      <c r="AS2">
        <v>6.1399999999999996E-4</v>
      </c>
      <c r="AT2">
        <v>6.5499999999999998E-4</v>
      </c>
      <c r="AU2">
        <v>2.1949999999999999E-3</v>
      </c>
      <c r="AV2">
        <v>8.9300000000000002E-4</v>
      </c>
      <c r="AW2">
        <v>2.9250000000000001E-3</v>
      </c>
      <c r="AX2">
        <v>2.9700000000000001E-4</v>
      </c>
      <c r="AY2">
        <v>1.173E-3</v>
      </c>
      <c r="AZ2">
        <v>7.0159999999999997E-3</v>
      </c>
      <c r="BA2">
        <v>5.2649999999999997E-3</v>
      </c>
      <c r="BB2">
        <v>1.4529E-2</v>
      </c>
      <c r="BC2">
        <v>9.9260000000000008E-3</v>
      </c>
    </row>
    <row r="3" spans="1:55">
      <c r="A3" t="s">
        <v>3</v>
      </c>
      <c r="B3">
        <v>1.1E-4</v>
      </c>
      <c r="C3">
        <v>1.0110520000000001</v>
      </c>
      <c r="D3">
        <v>6.5799999999999995E-4</v>
      </c>
      <c r="E3">
        <v>6.6699999999999995E-4</v>
      </c>
      <c r="F3">
        <v>9.4499999999999998E-4</v>
      </c>
      <c r="G3">
        <v>4.44E-4</v>
      </c>
      <c r="H3">
        <v>2.0140000000000002E-3</v>
      </c>
      <c r="I3">
        <v>3.1000000000000001E-5</v>
      </c>
      <c r="J3">
        <v>3.1599999999999998E-4</v>
      </c>
      <c r="K3">
        <v>5.1E-5</v>
      </c>
      <c r="L3">
        <v>1.44E-4</v>
      </c>
      <c r="M3">
        <v>0</v>
      </c>
      <c r="N3">
        <v>1.3999999999999999E-4</v>
      </c>
      <c r="O3">
        <v>1.9000000000000001E-5</v>
      </c>
      <c r="P3">
        <v>8.9339999999999992E-3</v>
      </c>
      <c r="Q3">
        <v>1.0000000000000001E-5</v>
      </c>
      <c r="R3">
        <v>4.1100000000000002E-4</v>
      </c>
      <c r="S3">
        <v>1.0809999999999999E-3</v>
      </c>
      <c r="T3">
        <v>1.8599999999999999E-4</v>
      </c>
      <c r="U3">
        <v>2.04E-4</v>
      </c>
      <c r="V3">
        <v>8.4699999999999999E-4</v>
      </c>
      <c r="W3">
        <v>3.4400000000000001E-4</v>
      </c>
      <c r="X3">
        <v>1.5899999999999999E-4</v>
      </c>
      <c r="Y3">
        <v>1.8000000000000001E-4</v>
      </c>
      <c r="Z3">
        <v>1.27E-4</v>
      </c>
      <c r="AA3">
        <v>5.8999999999999998E-5</v>
      </c>
      <c r="AB3">
        <v>2.4000000000000001E-4</v>
      </c>
      <c r="AC3">
        <v>2.2699999999999999E-4</v>
      </c>
      <c r="AD3">
        <v>2.8299999999999999E-4</v>
      </c>
      <c r="AE3">
        <v>9.2999999999999997E-5</v>
      </c>
      <c r="AF3">
        <v>4.1999999999999998E-5</v>
      </c>
      <c r="AG3">
        <v>2.8400000000000002E-4</v>
      </c>
      <c r="AH3">
        <v>4.0700000000000003E-4</v>
      </c>
      <c r="AI3">
        <v>1.65E-4</v>
      </c>
      <c r="AJ3">
        <v>2.5599999999999999E-4</v>
      </c>
      <c r="AK3">
        <v>1.304E-3</v>
      </c>
      <c r="AL3">
        <v>7.2999999999999999E-5</v>
      </c>
      <c r="AM3">
        <v>1.513E-3</v>
      </c>
      <c r="AN3">
        <v>4.5800000000000002E-4</v>
      </c>
      <c r="AO3">
        <v>2.421E-3</v>
      </c>
      <c r="AP3">
        <v>3.0699999999999998E-4</v>
      </c>
      <c r="AQ3">
        <v>9.8809999999999992E-3</v>
      </c>
      <c r="AR3">
        <v>2.0778999999999999E-2</v>
      </c>
      <c r="AS3">
        <v>1.4100000000000001E-4</v>
      </c>
      <c r="AT3">
        <v>1.2899999999999999E-4</v>
      </c>
      <c r="AU3">
        <v>5.2599999999999999E-4</v>
      </c>
      <c r="AV3">
        <v>2.9100000000000003E-4</v>
      </c>
      <c r="AW3">
        <v>1.026E-3</v>
      </c>
      <c r="AX3">
        <v>7.3999999999999996E-5</v>
      </c>
      <c r="AY3">
        <v>3.0400000000000002E-4</v>
      </c>
      <c r="AZ3">
        <v>7.0699999999999995E-4</v>
      </c>
      <c r="BA3">
        <v>5.5400000000000002E-4</v>
      </c>
      <c r="BB3">
        <v>8.3680000000000004E-3</v>
      </c>
      <c r="BC3">
        <v>1.0610000000000001E-3</v>
      </c>
    </row>
    <row r="4" spans="1:55">
      <c r="A4" t="s">
        <v>4</v>
      </c>
      <c r="B4">
        <v>4.9700000000000005E-4</v>
      </c>
      <c r="C4">
        <v>7.8799999999999996E-4</v>
      </c>
      <c r="D4">
        <v>1.0983799999999999</v>
      </c>
      <c r="E4">
        <v>2.6499999999999999E-4</v>
      </c>
      <c r="F4">
        <v>3.6740000000000002E-3</v>
      </c>
      <c r="G4">
        <v>3.186E-3</v>
      </c>
      <c r="H4">
        <v>3.1500000000000001E-4</v>
      </c>
      <c r="I4">
        <v>3.9300000000000001E-4</v>
      </c>
      <c r="J4">
        <v>1.65E-4</v>
      </c>
      <c r="K4">
        <v>2.3699999999999999E-4</v>
      </c>
      <c r="L4">
        <v>9.3099999999999997E-4</v>
      </c>
      <c r="M4">
        <v>0</v>
      </c>
      <c r="N4">
        <v>7.8899999999999999E-4</v>
      </c>
      <c r="O4">
        <v>8.7000000000000001E-5</v>
      </c>
      <c r="P4">
        <v>6.3000000000000003E-4</v>
      </c>
      <c r="Q4">
        <v>1.22E-4</v>
      </c>
      <c r="R4">
        <v>2.2529999999999998E-3</v>
      </c>
      <c r="S4">
        <v>4.8440000000000002E-3</v>
      </c>
      <c r="T4">
        <v>1.39E-3</v>
      </c>
      <c r="U4">
        <v>1.4250000000000001E-3</v>
      </c>
      <c r="V4">
        <v>1.023E-3</v>
      </c>
      <c r="W4">
        <v>0.30249500000000001</v>
      </c>
      <c r="X4">
        <v>7.6300000000000001E-4</v>
      </c>
      <c r="Y4">
        <v>5.3499999999999999E-4</v>
      </c>
      <c r="Z4">
        <v>3.1809999999999998E-3</v>
      </c>
      <c r="AA4">
        <v>7.8799999999999996E-4</v>
      </c>
      <c r="AB4">
        <v>6.8209999999999998E-3</v>
      </c>
      <c r="AC4">
        <v>8.8780000000000005E-3</v>
      </c>
      <c r="AD4">
        <v>5.032E-3</v>
      </c>
      <c r="AE4">
        <v>6.0499999999999996E-4</v>
      </c>
      <c r="AF4">
        <v>2.05E-4</v>
      </c>
      <c r="AG4">
        <v>8.0599999999999997E-4</v>
      </c>
      <c r="AH4">
        <v>6.051E-3</v>
      </c>
      <c r="AI4">
        <v>2.8050000000000002E-3</v>
      </c>
      <c r="AJ4">
        <v>3.7230000000000002E-3</v>
      </c>
      <c r="AK4">
        <v>1.328E-3</v>
      </c>
      <c r="AL4">
        <v>4.3080000000000002E-3</v>
      </c>
      <c r="AM4">
        <v>3.0769999999999999E-3</v>
      </c>
      <c r="AN4">
        <v>2.3440000000000002E-3</v>
      </c>
      <c r="AO4">
        <v>3.9769999999999996E-3</v>
      </c>
      <c r="AP4">
        <v>2.6450000000000002E-3</v>
      </c>
      <c r="AQ4">
        <v>5.0900000000000001E-4</v>
      </c>
      <c r="AR4">
        <v>8.0500000000000005E-4</v>
      </c>
      <c r="AS4">
        <v>5.71E-4</v>
      </c>
      <c r="AT4">
        <v>9.9599999999999992E-4</v>
      </c>
      <c r="AU4">
        <v>1.0510000000000001E-3</v>
      </c>
      <c r="AV4">
        <v>1.307E-3</v>
      </c>
      <c r="AW4">
        <v>1.191E-3</v>
      </c>
      <c r="AX4">
        <v>1.0059999999999999E-3</v>
      </c>
      <c r="AY4">
        <v>1.6949999999999999E-3</v>
      </c>
      <c r="AZ4">
        <v>1.2080000000000001E-3</v>
      </c>
      <c r="BA4">
        <v>1.2830000000000001E-3</v>
      </c>
      <c r="BB4">
        <v>1.3110000000000001E-3</v>
      </c>
      <c r="BC4">
        <v>1.3619999999999999E-3</v>
      </c>
    </row>
    <row r="5" spans="1:55">
      <c r="A5" t="s">
        <v>5</v>
      </c>
      <c r="B5">
        <v>7.6199999999999998E-4</v>
      </c>
      <c r="C5">
        <v>8.43E-4</v>
      </c>
      <c r="D5">
        <v>4.9020000000000001E-3</v>
      </c>
      <c r="E5">
        <v>1.1029249999999999</v>
      </c>
      <c r="F5">
        <v>8.7030000000000007E-3</v>
      </c>
      <c r="G5">
        <v>6.2139999999999999E-3</v>
      </c>
      <c r="H5">
        <v>3.5938999999999999E-2</v>
      </c>
      <c r="I5">
        <v>9.7999999999999997E-5</v>
      </c>
      <c r="J5">
        <v>5.2110000000000004E-3</v>
      </c>
      <c r="K5">
        <v>2.7999999999999998E-4</v>
      </c>
      <c r="L5">
        <v>7.8100000000000001E-4</v>
      </c>
      <c r="M5">
        <v>0</v>
      </c>
      <c r="N5">
        <v>4.3100000000000001E-4</v>
      </c>
      <c r="O5">
        <v>1.3799999999999999E-4</v>
      </c>
      <c r="P5">
        <v>0.16042899999999999</v>
      </c>
      <c r="Q5">
        <v>4.1E-5</v>
      </c>
      <c r="R5">
        <v>3.4280000000000001E-3</v>
      </c>
      <c r="S5">
        <v>1.7076999999999998E-2</v>
      </c>
      <c r="T5">
        <v>1.291E-3</v>
      </c>
      <c r="U5">
        <v>1.152E-3</v>
      </c>
      <c r="V5">
        <v>4.3759999999999997E-3</v>
      </c>
      <c r="W5">
        <v>2.0730000000000002E-3</v>
      </c>
      <c r="X5">
        <v>7.6199999999999998E-4</v>
      </c>
      <c r="Y5">
        <v>9.4799999999999995E-4</v>
      </c>
      <c r="Z5">
        <v>6.9099999999999999E-4</v>
      </c>
      <c r="AA5">
        <v>3.1100000000000002E-4</v>
      </c>
      <c r="AB5">
        <v>1.1509999999999999E-3</v>
      </c>
      <c r="AC5">
        <v>1.2310000000000001E-3</v>
      </c>
      <c r="AD5">
        <v>1.348E-3</v>
      </c>
      <c r="AE5">
        <v>4.8899999999999996E-4</v>
      </c>
      <c r="AF5">
        <v>3.8000000000000002E-4</v>
      </c>
      <c r="AG5">
        <v>2.0890000000000001E-3</v>
      </c>
      <c r="AH5">
        <v>7.67E-4</v>
      </c>
      <c r="AI5">
        <v>6.6399999999999999E-4</v>
      </c>
      <c r="AJ5">
        <v>1.0399999999999999E-3</v>
      </c>
      <c r="AK5">
        <v>1.8619999999999999E-3</v>
      </c>
      <c r="AL5">
        <v>2.99E-4</v>
      </c>
      <c r="AM5">
        <v>1.2145E-2</v>
      </c>
      <c r="AN5">
        <v>3.8670000000000002E-3</v>
      </c>
      <c r="AO5">
        <v>5.0150000000000004E-3</v>
      </c>
      <c r="AP5">
        <v>1.56E-3</v>
      </c>
      <c r="AQ5">
        <v>2.911E-2</v>
      </c>
      <c r="AR5">
        <v>4.8003999999999998E-2</v>
      </c>
      <c r="AS5">
        <v>6.4000000000000005E-4</v>
      </c>
      <c r="AT5">
        <v>8.0800000000000002E-4</v>
      </c>
      <c r="AU5">
        <v>2.6580000000000002E-3</v>
      </c>
      <c r="AV5">
        <v>1.0349999999999999E-3</v>
      </c>
      <c r="AW5">
        <v>3.4199999999999999E-3</v>
      </c>
      <c r="AX5">
        <v>3.2400000000000001E-4</v>
      </c>
      <c r="AY5">
        <v>1.361E-3</v>
      </c>
      <c r="AZ5">
        <v>5.3090000000000004E-3</v>
      </c>
      <c r="BA5">
        <v>6.3699999999999998E-3</v>
      </c>
      <c r="BB5">
        <v>1.7374000000000001E-2</v>
      </c>
      <c r="BC5">
        <v>5.6820000000000004E-3</v>
      </c>
    </row>
    <row r="6" spans="1:55">
      <c r="A6" t="s">
        <v>6</v>
      </c>
      <c r="B6">
        <v>2.2659999999999998E-3</v>
      </c>
      <c r="C6">
        <v>3.2929999999999999E-3</v>
      </c>
      <c r="D6">
        <v>4.3379999999999998E-3</v>
      </c>
      <c r="E6">
        <v>1.702E-3</v>
      </c>
      <c r="F6">
        <v>1.07029</v>
      </c>
      <c r="G6">
        <v>1.464E-3</v>
      </c>
      <c r="H6">
        <v>8.4099999999999995E-4</v>
      </c>
      <c r="I6">
        <v>6.4999999999999994E-5</v>
      </c>
      <c r="J6">
        <v>1.8000000000000001E-4</v>
      </c>
      <c r="K6">
        <v>7.3999999999999996E-5</v>
      </c>
      <c r="L6">
        <v>8.4400000000000002E-4</v>
      </c>
      <c r="M6">
        <v>0</v>
      </c>
      <c r="N6">
        <v>1.604E-3</v>
      </c>
      <c r="O6">
        <v>4.3000000000000002E-5</v>
      </c>
      <c r="P6">
        <v>2.758E-3</v>
      </c>
      <c r="Q6">
        <v>1.2E-5</v>
      </c>
      <c r="R6">
        <v>6.9109999999999996E-3</v>
      </c>
      <c r="S6">
        <v>1.2200000000000001E-2</v>
      </c>
      <c r="T6">
        <v>2.2690000000000002E-3</v>
      </c>
      <c r="U6">
        <v>2.8370000000000001E-3</v>
      </c>
      <c r="V6">
        <v>4.0330999999999999E-2</v>
      </c>
      <c r="W6">
        <v>5.104E-3</v>
      </c>
      <c r="X6">
        <v>2.2230000000000001E-3</v>
      </c>
      <c r="Y6">
        <v>3.4060000000000002E-3</v>
      </c>
      <c r="Z6">
        <v>2.3519999999999999E-3</v>
      </c>
      <c r="AA6">
        <v>3.7399999999999998E-4</v>
      </c>
      <c r="AB6">
        <v>9.6199999999999996E-4</v>
      </c>
      <c r="AC6">
        <v>8.0000000000000002E-3</v>
      </c>
      <c r="AD6">
        <v>6.3020000000000003E-3</v>
      </c>
      <c r="AE6">
        <v>3.86E-4</v>
      </c>
      <c r="AF6">
        <v>8.3999999999999995E-5</v>
      </c>
      <c r="AG6">
        <v>5.5259999999999997E-3</v>
      </c>
      <c r="AH6">
        <v>7.5000000000000002E-4</v>
      </c>
      <c r="AI6">
        <v>3.9399999999999998E-4</v>
      </c>
      <c r="AJ6">
        <v>4.08E-4</v>
      </c>
      <c r="AK6">
        <v>4.4799999999999999E-4</v>
      </c>
      <c r="AL6">
        <v>2.13E-4</v>
      </c>
      <c r="AM6">
        <v>6.0800000000000003E-4</v>
      </c>
      <c r="AN6">
        <v>5.6400000000000005E-4</v>
      </c>
      <c r="AO6">
        <v>4.0099999999999999E-4</v>
      </c>
      <c r="AP6">
        <v>2.7999999999999998E-4</v>
      </c>
      <c r="AQ6">
        <v>8.2100000000000001E-4</v>
      </c>
      <c r="AR6">
        <v>6.8469999999999998E-3</v>
      </c>
      <c r="AS6">
        <v>2.8299999999999999E-4</v>
      </c>
      <c r="AT6">
        <v>1.7000000000000001E-4</v>
      </c>
      <c r="AU6">
        <v>3.7800000000000003E-4</v>
      </c>
      <c r="AV6">
        <v>2.0100000000000001E-4</v>
      </c>
      <c r="AW6">
        <v>2.2100000000000001E-4</v>
      </c>
      <c r="AX6">
        <v>1.6899999999999999E-4</v>
      </c>
      <c r="AY6">
        <v>5.9500000000000004E-4</v>
      </c>
      <c r="AZ6">
        <v>5.6999999999999998E-4</v>
      </c>
      <c r="BA6">
        <v>1.103E-3</v>
      </c>
      <c r="BB6">
        <v>6.4869999999999997E-3</v>
      </c>
      <c r="BC6">
        <v>2.186E-3</v>
      </c>
    </row>
    <row r="7" spans="1:55">
      <c r="A7" t="s">
        <v>7</v>
      </c>
      <c r="B7">
        <v>1.9170000000000001E-3</v>
      </c>
      <c r="C7">
        <v>9.3410000000000003E-3</v>
      </c>
      <c r="D7">
        <v>1.6770000000000001E-3</v>
      </c>
      <c r="E7">
        <v>2.3449999999999999E-3</v>
      </c>
      <c r="F7">
        <v>3.323E-3</v>
      </c>
      <c r="G7">
        <v>1.0121929999999999</v>
      </c>
      <c r="H7">
        <v>1.1871E-2</v>
      </c>
      <c r="I7">
        <v>1.35E-4</v>
      </c>
      <c r="J7">
        <v>1.2769999999999999E-3</v>
      </c>
      <c r="K7">
        <v>1.08E-4</v>
      </c>
      <c r="L7">
        <v>2.81E-4</v>
      </c>
      <c r="M7">
        <v>0</v>
      </c>
      <c r="N7">
        <v>2.03E-4</v>
      </c>
      <c r="O7">
        <v>4.6E-5</v>
      </c>
      <c r="P7">
        <v>3.7928999999999997E-2</v>
      </c>
      <c r="Q7">
        <v>1.8E-5</v>
      </c>
      <c r="R7">
        <v>7.6769999999999998E-3</v>
      </c>
      <c r="S7">
        <v>1.1473000000000001E-2</v>
      </c>
      <c r="T7">
        <v>4.3300000000000001E-4</v>
      </c>
      <c r="U7">
        <v>4.1800000000000002E-4</v>
      </c>
      <c r="V7">
        <v>1.193E-3</v>
      </c>
      <c r="W7">
        <v>7.3200000000000001E-4</v>
      </c>
      <c r="X7">
        <v>2.8699999999999998E-4</v>
      </c>
      <c r="Y7">
        <v>3.9800000000000002E-4</v>
      </c>
      <c r="Z7">
        <v>2.3900000000000001E-4</v>
      </c>
      <c r="AA7">
        <v>1.21E-4</v>
      </c>
      <c r="AB7">
        <v>5.2499999999999997E-4</v>
      </c>
      <c r="AC7">
        <v>4.08E-4</v>
      </c>
      <c r="AD7">
        <v>5.3700000000000004E-4</v>
      </c>
      <c r="AE7">
        <v>1.84E-4</v>
      </c>
      <c r="AF7">
        <v>1.12E-4</v>
      </c>
      <c r="AG7">
        <v>8.3100000000000003E-4</v>
      </c>
      <c r="AH7">
        <v>4.0900000000000002E-4</v>
      </c>
      <c r="AI7">
        <v>3.5500000000000001E-4</v>
      </c>
      <c r="AJ7">
        <v>4.7699999999999999E-4</v>
      </c>
      <c r="AK7">
        <v>9.8299999999999993E-4</v>
      </c>
      <c r="AL7">
        <v>1.5300000000000001E-4</v>
      </c>
      <c r="AM7">
        <v>3.143E-3</v>
      </c>
      <c r="AN7">
        <v>1.2769999999999999E-3</v>
      </c>
      <c r="AO7">
        <v>1.8710000000000001E-3</v>
      </c>
      <c r="AP7">
        <v>5.9999999999999995E-4</v>
      </c>
      <c r="AQ7">
        <v>2.2322000000000002E-2</v>
      </c>
      <c r="AR7">
        <v>3.4373000000000001E-2</v>
      </c>
      <c r="AS7">
        <v>3.4699999999999998E-4</v>
      </c>
      <c r="AT7">
        <v>2.7599999999999999E-4</v>
      </c>
      <c r="AU7">
        <v>1.3079999999999999E-3</v>
      </c>
      <c r="AV7">
        <v>6.4199999999999999E-4</v>
      </c>
      <c r="AW7">
        <v>2.3289999999999999E-3</v>
      </c>
      <c r="AX7">
        <v>1.45E-4</v>
      </c>
      <c r="AY7">
        <v>6.6299999999999996E-4</v>
      </c>
      <c r="AZ7">
        <v>3.3700000000000002E-3</v>
      </c>
      <c r="BA7">
        <v>2.2799999999999999E-3</v>
      </c>
      <c r="BB7">
        <v>9.5390000000000006E-3</v>
      </c>
      <c r="BC7">
        <v>6.4640000000000001E-3</v>
      </c>
    </row>
    <row r="8" spans="1:55">
      <c r="A8" t="s">
        <v>8</v>
      </c>
      <c r="B8">
        <v>1.1662E-2</v>
      </c>
      <c r="C8">
        <v>8.0249999999999991E-3</v>
      </c>
      <c r="D8">
        <v>9.6000000000000002E-4</v>
      </c>
      <c r="E8">
        <v>4.8848999999999997E-2</v>
      </c>
      <c r="F8">
        <v>0.17244000000000001</v>
      </c>
      <c r="G8">
        <v>5.6700000000000001E-4</v>
      </c>
      <c r="H8">
        <v>1.0020249999999999</v>
      </c>
      <c r="I8">
        <v>1.5999999999999999E-5</v>
      </c>
      <c r="J8">
        <v>3.1700000000000001E-4</v>
      </c>
      <c r="K8">
        <v>2.8E-5</v>
      </c>
      <c r="L8">
        <v>1.8000000000000001E-4</v>
      </c>
      <c r="M8">
        <v>0</v>
      </c>
      <c r="N8">
        <v>2.8200000000000002E-4</v>
      </c>
      <c r="O8">
        <v>1.5E-5</v>
      </c>
      <c r="P8">
        <v>8.8769999999999995E-3</v>
      </c>
      <c r="Q8">
        <v>3.9999999999999998E-6</v>
      </c>
      <c r="R8">
        <v>1.2949999999999999E-3</v>
      </c>
      <c r="S8">
        <v>2.8600000000000001E-3</v>
      </c>
      <c r="T8">
        <v>4.3399999999999998E-4</v>
      </c>
      <c r="U8">
        <v>5.1999999999999995E-4</v>
      </c>
      <c r="V8">
        <v>6.7190000000000001E-3</v>
      </c>
      <c r="W8">
        <v>9.3300000000000002E-4</v>
      </c>
      <c r="X8">
        <v>4.06E-4</v>
      </c>
      <c r="Y8">
        <v>5.9999999999999995E-4</v>
      </c>
      <c r="Z8">
        <v>4.1599999999999997E-4</v>
      </c>
      <c r="AA8">
        <v>7.7000000000000001E-5</v>
      </c>
      <c r="AB8">
        <v>2.1900000000000001E-4</v>
      </c>
      <c r="AC8">
        <v>1.3519999999999999E-3</v>
      </c>
      <c r="AD8">
        <v>1.0859999999999999E-3</v>
      </c>
      <c r="AE8">
        <v>9.0000000000000006E-5</v>
      </c>
      <c r="AF8">
        <v>3.4E-5</v>
      </c>
      <c r="AG8">
        <v>1.0089999999999999E-3</v>
      </c>
      <c r="AH8">
        <v>1.66E-4</v>
      </c>
      <c r="AI8">
        <v>1E-4</v>
      </c>
      <c r="AJ8">
        <v>1.22E-4</v>
      </c>
      <c r="AK8">
        <v>2.3900000000000001E-4</v>
      </c>
      <c r="AL8">
        <v>5.1E-5</v>
      </c>
      <c r="AM8">
        <v>7.45E-4</v>
      </c>
      <c r="AN8">
        <v>2.9799999999999998E-4</v>
      </c>
      <c r="AO8">
        <v>3.4699999999999998E-4</v>
      </c>
      <c r="AP8">
        <v>1.2999999999999999E-4</v>
      </c>
      <c r="AQ8">
        <v>1.753E-3</v>
      </c>
      <c r="AR8">
        <v>3.8419999999999999E-3</v>
      </c>
      <c r="AS8">
        <v>8.8999999999999995E-5</v>
      </c>
      <c r="AT8">
        <v>7.2000000000000002E-5</v>
      </c>
      <c r="AU8">
        <v>2.0699999999999999E-4</v>
      </c>
      <c r="AV8">
        <v>9.1000000000000003E-5</v>
      </c>
      <c r="AW8">
        <v>2.2499999999999999E-4</v>
      </c>
      <c r="AX8">
        <v>4.8000000000000001E-5</v>
      </c>
      <c r="AY8">
        <v>1.73E-4</v>
      </c>
      <c r="AZ8">
        <v>6.7400000000000001E-4</v>
      </c>
      <c r="BA8">
        <v>5.1800000000000001E-4</v>
      </c>
      <c r="BB8">
        <v>2.0230000000000001E-3</v>
      </c>
      <c r="BC8">
        <v>7.1500000000000003E-4</v>
      </c>
    </row>
    <row r="9" spans="1:55">
      <c r="A9" t="s">
        <v>9</v>
      </c>
      <c r="B9">
        <v>8.6799999999999996E-4</v>
      </c>
      <c r="C9">
        <v>8.7699999999999996E-4</v>
      </c>
      <c r="D9">
        <v>1.389E-3</v>
      </c>
      <c r="E9">
        <v>1.15E-3</v>
      </c>
      <c r="F9">
        <v>7.9299999999999998E-4</v>
      </c>
      <c r="G9">
        <v>1.2570000000000001E-3</v>
      </c>
      <c r="H9">
        <v>3.4099999999999999E-4</v>
      </c>
      <c r="I9">
        <v>1.013674</v>
      </c>
      <c r="J9">
        <v>2.0599999999999999E-4</v>
      </c>
      <c r="K9">
        <v>5.6999999999999998E-4</v>
      </c>
      <c r="L9">
        <v>1.9650000000000002E-3</v>
      </c>
      <c r="M9">
        <v>0</v>
      </c>
      <c r="N9">
        <v>1.688E-3</v>
      </c>
      <c r="O9">
        <v>2.12E-4</v>
      </c>
      <c r="P9">
        <v>1.0740000000000001E-3</v>
      </c>
      <c r="Q9">
        <v>4.3000000000000002E-5</v>
      </c>
      <c r="R9">
        <v>5.0330000000000001E-3</v>
      </c>
      <c r="S9">
        <v>1.681E-3</v>
      </c>
      <c r="T9">
        <v>0.227244</v>
      </c>
      <c r="U9">
        <v>3.6419E-2</v>
      </c>
      <c r="V9">
        <v>2.1429999999999999E-3</v>
      </c>
      <c r="W9">
        <v>1.1150000000000001E-3</v>
      </c>
      <c r="X9">
        <v>1.3079999999999999E-3</v>
      </c>
      <c r="Y9">
        <v>5.1099999999999995E-4</v>
      </c>
      <c r="Z9">
        <v>5.2800000000000004E-4</v>
      </c>
      <c r="AA9">
        <v>1.9799999999999999E-4</v>
      </c>
      <c r="AB9">
        <v>7.6199999999999998E-4</v>
      </c>
      <c r="AC9">
        <v>9.8189999999999996E-3</v>
      </c>
      <c r="AD9">
        <v>5.2220000000000001E-3</v>
      </c>
      <c r="AE9">
        <v>8.3299999999999997E-4</v>
      </c>
      <c r="AF9">
        <v>4.1300000000000001E-4</v>
      </c>
      <c r="AG9">
        <v>1.09E-3</v>
      </c>
      <c r="AH9">
        <v>1.9841000000000001E-2</v>
      </c>
      <c r="AI9">
        <v>9.4600000000000001E-4</v>
      </c>
      <c r="AJ9">
        <v>1.286E-3</v>
      </c>
      <c r="AK9">
        <v>2.049E-3</v>
      </c>
      <c r="AL9">
        <v>2.4800000000000001E-4</v>
      </c>
      <c r="AM9">
        <v>1.1199999999999999E-3</v>
      </c>
      <c r="AN9">
        <v>8.5499999999999997E-4</v>
      </c>
      <c r="AO9">
        <v>3.9300000000000001E-4</v>
      </c>
      <c r="AP9">
        <v>2.1670000000000001E-3</v>
      </c>
      <c r="AQ9">
        <v>7.1299999999999998E-4</v>
      </c>
      <c r="AR9">
        <v>7.1900000000000002E-4</v>
      </c>
      <c r="AS9">
        <v>1.32E-3</v>
      </c>
      <c r="AT9">
        <v>4.8299999999999998E-4</v>
      </c>
      <c r="AU9">
        <v>7.8600000000000002E-4</v>
      </c>
      <c r="AV9">
        <v>4.2900000000000002E-4</v>
      </c>
      <c r="AW9">
        <v>5.1900000000000004E-4</v>
      </c>
      <c r="AX9">
        <v>1.797E-3</v>
      </c>
      <c r="AY9">
        <v>7.6900000000000004E-4</v>
      </c>
      <c r="AZ9">
        <v>1.75E-3</v>
      </c>
      <c r="BA9">
        <v>1.0790000000000001E-3</v>
      </c>
      <c r="BB9">
        <v>7.0299999999999996E-4</v>
      </c>
      <c r="BC9">
        <v>7.1100000000000004E-4</v>
      </c>
    </row>
    <row r="10" spans="1:55">
      <c r="A10" t="s">
        <v>10</v>
      </c>
      <c r="B10">
        <v>3.0299999999999999E-4</v>
      </c>
      <c r="C10">
        <v>4.0099999999999999E-4</v>
      </c>
      <c r="D10">
        <v>2.0739999999999999E-3</v>
      </c>
      <c r="E10">
        <v>2.4949999999999998E-3</v>
      </c>
      <c r="F10">
        <v>3.3760000000000001E-3</v>
      </c>
      <c r="G10">
        <v>2.4599999999999999E-3</v>
      </c>
      <c r="H10">
        <v>9.3419999999999996E-3</v>
      </c>
      <c r="I10">
        <v>7.3999999999999996E-5</v>
      </c>
      <c r="J10">
        <v>1.0169079999999999</v>
      </c>
      <c r="K10">
        <v>1.45E-4</v>
      </c>
      <c r="L10">
        <v>3.6099999999999999E-4</v>
      </c>
      <c r="M10">
        <v>0</v>
      </c>
      <c r="N10">
        <v>3.2400000000000001E-4</v>
      </c>
      <c r="O10">
        <v>5.8999999999999998E-5</v>
      </c>
      <c r="P10">
        <v>4.1568000000000001E-2</v>
      </c>
      <c r="Q10">
        <v>2.9E-5</v>
      </c>
      <c r="R10">
        <v>1.1980000000000001E-3</v>
      </c>
      <c r="S10">
        <v>4.6169999999999996E-3</v>
      </c>
      <c r="T10">
        <v>5.5800000000000001E-4</v>
      </c>
      <c r="U10">
        <v>5.5800000000000001E-4</v>
      </c>
      <c r="V10">
        <v>1.4430000000000001E-3</v>
      </c>
      <c r="W10">
        <v>9.3499999999999996E-4</v>
      </c>
      <c r="X10">
        <v>4.0900000000000002E-4</v>
      </c>
      <c r="Y10">
        <v>6.3199999999999997E-4</v>
      </c>
      <c r="Z10">
        <v>3.2000000000000003E-4</v>
      </c>
      <c r="AA10">
        <v>1.76E-4</v>
      </c>
      <c r="AB10">
        <v>6.9399999999999996E-4</v>
      </c>
      <c r="AC10">
        <v>5.3799999999999996E-4</v>
      </c>
      <c r="AD10">
        <v>3.7399999999999998E-3</v>
      </c>
      <c r="AE10">
        <v>2.4499999999999999E-4</v>
      </c>
      <c r="AF10">
        <v>1.3999999999999999E-4</v>
      </c>
      <c r="AG10">
        <v>1.271E-3</v>
      </c>
      <c r="AH10">
        <v>6.7299999999999999E-4</v>
      </c>
      <c r="AI10">
        <v>4.9700000000000005E-4</v>
      </c>
      <c r="AJ10">
        <v>7.7399999999999995E-4</v>
      </c>
      <c r="AK10">
        <v>8.8900000000000003E-4</v>
      </c>
      <c r="AL10">
        <v>2.1900000000000001E-4</v>
      </c>
      <c r="AM10">
        <v>3.6110000000000001E-3</v>
      </c>
      <c r="AN10">
        <v>1.58E-3</v>
      </c>
      <c r="AO10">
        <v>2.748E-3</v>
      </c>
      <c r="AP10">
        <v>7.7499999999999997E-4</v>
      </c>
      <c r="AQ10">
        <v>2.3486E-2</v>
      </c>
      <c r="AR10">
        <v>6.5362000000000003E-2</v>
      </c>
      <c r="AS10">
        <v>4.0299999999999998E-4</v>
      </c>
      <c r="AT10">
        <v>3.39E-4</v>
      </c>
      <c r="AU10">
        <v>1.415E-3</v>
      </c>
      <c r="AV10">
        <v>7.5000000000000002E-4</v>
      </c>
      <c r="AW10">
        <v>2.5370000000000002E-3</v>
      </c>
      <c r="AX10">
        <v>1.8000000000000001E-4</v>
      </c>
      <c r="AY10">
        <v>8.6499999999999999E-4</v>
      </c>
      <c r="AZ10">
        <v>2.3709999999999998E-3</v>
      </c>
      <c r="BA10">
        <v>3.6210000000000001E-3</v>
      </c>
      <c r="BB10">
        <v>8.4360000000000008E-3</v>
      </c>
      <c r="BC10">
        <v>1.4943E-2</v>
      </c>
    </row>
    <row r="11" spans="1:55">
      <c r="A11" t="s">
        <v>11</v>
      </c>
      <c r="B11">
        <v>1.3011999999999999E-2</v>
      </c>
      <c r="C11">
        <v>1.9386E-2</v>
      </c>
      <c r="D11">
        <v>2.8407000000000002E-2</v>
      </c>
      <c r="E11">
        <v>1.5174E-2</v>
      </c>
      <c r="F11">
        <v>7.9070000000000008E-3</v>
      </c>
      <c r="G11">
        <v>2.777E-2</v>
      </c>
      <c r="H11">
        <v>4.1989999999999996E-3</v>
      </c>
      <c r="I11">
        <v>5.2430000000000003E-3</v>
      </c>
      <c r="J11">
        <v>5.4809999999999998E-3</v>
      </c>
      <c r="K11">
        <v>1.1195930000000001</v>
      </c>
      <c r="L11">
        <v>1.9213000000000001E-2</v>
      </c>
      <c r="M11">
        <v>0</v>
      </c>
      <c r="N11">
        <v>1.8985999999999999E-2</v>
      </c>
      <c r="O11">
        <v>0.234707</v>
      </c>
      <c r="P11">
        <v>9.3849999999999992E-3</v>
      </c>
      <c r="Q11">
        <v>5.8900000000000001E-4</v>
      </c>
      <c r="R11">
        <v>4.938E-2</v>
      </c>
      <c r="S11">
        <v>3.5465000000000003E-2</v>
      </c>
      <c r="T11">
        <v>1.8848E-2</v>
      </c>
      <c r="U11">
        <v>3.1136E-2</v>
      </c>
      <c r="V11">
        <v>0.20746700000000001</v>
      </c>
      <c r="W11">
        <v>6.8507999999999999E-2</v>
      </c>
      <c r="X11">
        <v>4.3568000000000003E-2</v>
      </c>
      <c r="Y11">
        <v>0.11289299999999999</v>
      </c>
      <c r="Z11">
        <v>3.2286000000000002E-2</v>
      </c>
      <c r="AA11">
        <v>4.9410000000000001E-3</v>
      </c>
      <c r="AB11">
        <v>1.5176E-2</v>
      </c>
      <c r="AC11">
        <v>2.4264999999999998E-2</v>
      </c>
      <c r="AD11">
        <v>2.9543E-2</v>
      </c>
      <c r="AE11">
        <v>0.59811599999999998</v>
      </c>
      <c r="AF11">
        <v>0.214947</v>
      </c>
      <c r="AG11">
        <v>4.9555000000000002E-2</v>
      </c>
      <c r="AH11">
        <v>1.9111E-2</v>
      </c>
      <c r="AI11">
        <v>1.4220999999999999E-2</v>
      </c>
      <c r="AJ11">
        <v>1.9393000000000001E-2</v>
      </c>
      <c r="AK11">
        <v>5.4743E-2</v>
      </c>
      <c r="AL11">
        <v>6.0567999999999997E-2</v>
      </c>
      <c r="AM11">
        <v>6.4846000000000001E-2</v>
      </c>
      <c r="AN11">
        <v>5.1995E-2</v>
      </c>
      <c r="AO11">
        <v>5.5749E-2</v>
      </c>
      <c r="AP11">
        <v>1.5398E-2</v>
      </c>
      <c r="AQ11">
        <v>7.8510000000000003E-3</v>
      </c>
      <c r="AR11">
        <v>7.2769999999999996E-3</v>
      </c>
      <c r="AS11">
        <v>7.4200000000000004E-3</v>
      </c>
      <c r="AT11">
        <v>3.8040000000000001E-3</v>
      </c>
      <c r="AU11">
        <v>5.7780000000000001E-3</v>
      </c>
      <c r="AV11">
        <v>4.372E-3</v>
      </c>
      <c r="AW11">
        <v>4.6210000000000001E-3</v>
      </c>
      <c r="AX11">
        <v>4.3810000000000003E-3</v>
      </c>
      <c r="AY11">
        <v>1.5668999999999999E-2</v>
      </c>
      <c r="AZ11">
        <v>1.5509E-2</v>
      </c>
      <c r="BA11">
        <v>1.2119E-2</v>
      </c>
      <c r="BB11">
        <v>3.5503E-2</v>
      </c>
      <c r="BC11">
        <v>2.1807E-2</v>
      </c>
    </row>
    <row r="12" spans="1:55">
      <c r="A12" t="s">
        <v>12</v>
      </c>
      <c r="B12">
        <v>6.5799999999999995E-4</v>
      </c>
      <c r="C12">
        <v>9.2100000000000005E-4</v>
      </c>
      <c r="D12">
        <v>2.6909999999999998E-3</v>
      </c>
      <c r="E12">
        <v>2.7859999999999998E-3</v>
      </c>
      <c r="F12">
        <v>5.4600000000000004E-4</v>
      </c>
      <c r="G12">
        <v>2.7759999999999998E-3</v>
      </c>
      <c r="H12">
        <v>5.2800000000000004E-4</v>
      </c>
      <c r="I12">
        <v>9.8400000000000007E-4</v>
      </c>
      <c r="J12">
        <v>6.1899999999999998E-4</v>
      </c>
      <c r="K12">
        <v>9.6100000000000005E-4</v>
      </c>
      <c r="L12">
        <v>1.1583559999999999</v>
      </c>
      <c r="M12">
        <v>0</v>
      </c>
      <c r="N12">
        <v>1.3519999999999999E-3</v>
      </c>
      <c r="O12">
        <v>9.7909999999999994E-3</v>
      </c>
      <c r="P12">
        <v>1.325E-3</v>
      </c>
      <c r="Q12">
        <v>8.1000000000000004E-5</v>
      </c>
      <c r="R12">
        <v>4.4190000000000002E-3</v>
      </c>
      <c r="S12">
        <v>3.689E-3</v>
      </c>
      <c r="T12">
        <v>2.3270000000000001E-3</v>
      </c>
      <c r="U12">
        <v>4.3049999999999998E-3</v>
      </c>
      <c r="V12">
        <v>2.8960000000000001E-3</v>
      </c>
      <c r="W12">
        <v>2.99E-3</v>
      </c>
      <c r="X12">
        <v>0.30116999999999999</v>
      </c>
      <c r="Y12">
        <v>3.2752999999999997E-2</v>
      </c>
      <c r="Z12">
        <v>3.2863999999999997E-2</v>
      </c>
      <c r="AA12">
        <v>1.268E-3</v>
      </c>
      <c r="AB12">
        <v>2.9450000000000001E-3</v>
      </c>
      <c r="AC12">
        <v>4.0899999999999999E-3</v>
      </c>
      <c r="AD12">
        <v>7.3099999999999997E-3</v>
      </c>
      <c r="AE12">
        <v>0.26478099999999999</v>
      </c>
      <c r="AF12">
        <v>5.9295E-2</v>
      </c>
      <c r="AG12">
        <v>9.7169999999999999E-3</v>
      </c>
      <c r="AH12">
        <v>6.8630000000000002E-3</v>
      </c>
      <c r="AI12">
        <v>3.1340000000000001E-3</v>
      </c>
      <c r="AJ12">
        <v>2.869E-3</v>
      </c>
      <c r="AK12">
        <v>1.8834E-2</v>
      </c>
      <c r="AL12">
        <v>4.2139999999999999E-3</v>
      </c>
      <c r="AM12">
        <v>5.228E-3</v>
      </c>
      <c r="AN12">
        <v>5.0670000000000003E-3</v>
      </c>
      <c r="AO12">
        <v>4.1640000000000002E-3</v>
      </c>
      <c r="AP12">
        <v>4.0800000000000003E-3</v>
      </c>
      <c r="AQ12">
        <v>1.9319999999999999E-3</v>
      </c>
      <c r="AR12">
        <v>1.1620000000000001E-3</v>
      </c>
      <c r="AS12">
        <v>2.9369999999999999E-3</v>
      </c>
      <c r="AT12">
        <v>1.9550000000000001E-3</v>
      </c>
      <c r="AU12">
        <v>2.2799999999999999E-3</v>
      </c>
      <c r="AV12">
        <v>1.884E-3</v>
      </c>
      <c r="AW12">
        <v>1.7279999999999999E-3</v>
      </c>
      <c r="AX12">
        <v>2.5140000000000002E-3</v>
      </c>
      <c r="AY12">
        <v>3.3709999999999999E-3</v>
      </c>
      <c r="AZ12">
        <v>4.8300000000000001E-3</v>
      </c>
      <c r="BA12">
        <v>4.0379999999999999E-3</v>
      </c>
      <c r="BB12">
        <v>3.833E-3</v>
      </c>
      <c r="BC12">
        <v>4.7819999999999998E-3</v>
      </c>
    </row>
    <row r="13" spans="1:55">
      <c r="A13" t="s">
        <v>13</v>
      </c>
      <c r="B13">
        <v>0</v>
      </c>
      <c r="C13">
        <v>0</v>
      </c>
      <c r="D13">
        <v>0</v>
      </c>
      <c r="E13">
        <v>0</v>
      </c>
      <c r="F13">
        <v>0</v>
      </c>
      <c r="G13">
        <v>0</v>
      </c>
      <c r="H13">
        <v>0</v>
      </c>
      <c r="I13">
        <v>0</v>
      </c>
      <c r="J13">
        <v>0</v>
      </c>
      <c r="K13">
        <v>0</v>
      </c>
      <c r="L13">
        <v>0</v>
      </c>
      <c r="M13">
        <v>1</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row>
    <row r="14" spans="1:55">
      <c r="A14" t="s">
        <v>14</v>
      </c>
      <c r="B14">
        <v>3.8539999999999998E-3</v>
      </c>
      <c r="C14">
        <v>4.163E-3</v>
      </c>
      <c r="D14">
        <v>4.1070000000000004E-3</v>
      </c>
      <c r="E14">
        <v>1.967E-3</v>
      </c>
      <c r="F14">
        <v>1.7730000000000001E-3</v>
      </c>
      <c r="G14">
        <v>2.862E-3</v>
      </c>
      <c r="H14">
        <v>9.7499999999999996E-4</v>
      </c>
      <c r="I14">
        <v>2.7130000000000001E-3</v>
      </c>
      <c r="J14">
        <v>5.62E-4</v>
      </c>
      <c r="K14">
        <v>1.1854E-2</v>
      </c>
      <c r="L14">
        <v>0.11795600000000001</v>
      </c>
      <c r="M14">
        <v>0</v>
      </c>
      <c r="N14">
        <v>1.020807</v>
      </c>
      <c r="O14">
        <v>3.5959999999999998E-3</v>
      </c>
      <c r="P14">
        <v>2.686E-3</v>
      </c>
      <c r="Q14">
        <v>7.1000000000000005E-5</v>
      </c>
      <c r="R14">
        <v>6.7380000000000001E-3</v>
      </c>
      <c r="S14">
        <v>5.182E-3</v>
      </c>
      <c r="T14">
        <v>3.1440000000000001E-3</v>
      </c>
      <c r="U14">
        <v>3.5720000000000001E-3</v>
      </c>
      <c r="V14">
        <v>3.3569000000000002E-2</v>
      </c>
      <c r="W14">
        <v>5.7080000000000004E-3</v>
      </c>
      <c r="X14">
        <v>0.10321</v>
      </c>
      <c r="Y14">
        <v>8.2349999999999993E-3</v>
      </c>
      <c r="Z14">
        <v>6.9290000000000003E-3</v>
      </c>
      <c r="AA14">
        <v>6.6399999999999999E-4</v>
      </c>
      <c r="AB14">
        <v>1.977E-3</v>
      </c>
      <c r="AC14">
        <v>6.5339999999999999E-3</v>
      </c>
      <c r="AD14">
        <v>1.3219E-2</v>
      </c>
      <c r="AE14">
        <v>3.5157000000000001E-2</v>
      </c>
      <c r="AF14">
        <v>8.8070000000000006E-3</v>
      </c>
      <c r="AG14">
        <v>7.7400000000000004E-3</v>
      </c>
      <c r="AH14">
        <v>5.3657000000000003E-2</v>
      </c>
      <c r="AI14">
        <v>1.841E-3</v>
      </c>
      <c r="AJ14">
        <v>2.7430000000000002E-3</v>
      </c>
      <c r="AK14">
        <v>8.5369999999999994E-3</v>
      </c>
      <c r="AL14">
        <v>1.6900000000000001E-3</v>
      </c>
      <c r="AM14">
        <v>4.1520000000000003E-3</v>
      </c>
      <c r="AN14">
        <v>3.107E-3</v>
      </c>
      <c r="AO14">
        <v>1.8649999999999999E-3</v>
      </c>
      <c r="AP14">
        <v>6.2170000000000003E-3</v>
      </c>
      <c r="AQ14">
        <v>1.508E-3</v>
      </c>
      <c r="AR14">
        <v>1.379E-3</v>
      </c>
      <c r="AS14">
        <v>2.0730000000000002E-3</v>
      </c>
      <c r="AT14">
        <v>1.263E-3</v>
      </c>
      <c r="AU14">
        <v>1.3339999999999999E-3</v>
      </c>
      <c r="AV14">
        <v>8.8900000000000003E-4</v>
      </c>
      <c r="AW14">
        <v>1.0219999999999999E-3</v>
      </c>
      <c r="AX14">
        <v>5.2110000000000004E-3</v>
      </c>
      <c r="AY14">
        <v>1.851E-3</v>
      </c>
      <c r="AZ14">
        <v>4.6410000000000002E-3</v>
      </c>
      <c r="BA14">
        <v>2.4520000000000002E-3</v>
      </c>
      <c r="BB14">
        <v>5.5979999999999997E-3</v>
      </c>
      <c r="BC14">
        <v>3.1909999999999998E-3</v>
      </c>
    </row>
    <row r="15" spans="1:55">
      <c r="A15" t="s">
        <v>15</v>
      </c>
      <c r="B15">
        <v>5.4780000000000002E-3</v>
      </c>
      <c r="C15">
        <v>9.0670000000000004E-3</v>
      </c>
      <c r="D15">
        <v>1.0666999999999999E-2</v>
      </c>
      <c r="E15">
        <v>7.175E-3</v>
      </c>
      <c r="F15">
        <v>9.1199999999999996E-3</v>
      </c>
      <c r="G15">
        <v>7.9924999999999996E-2</v>
      </c>
      <c r="H15">
        <v>5.646E-3</v>
      </c>
      <c r="I15">
        <v>1.7389000000000002E-2</v>
      </c>
      <c r="J15">
        <v>1.7580999999999999E-2</v>
      </c>
      <c r="K15">
        <v>5.4089999999999997E-3</v>
      </c>
      <c r="L15">
        <v>4.7947999999999998E-2</v>
      </c>
      <c r="M15">
        <v>0</v>
      </c>
      <c r="N15">
        <v>4.4345000000000002E-2</v>
      </c>
      <c r="O15">
        <v>1.0056719999999999</v>
      </c>
      <c r="P15">
        <v>1.2459E-2</v>
      </c>
      <c r="Q15">
        <v>1.8749999999999999E-3</v>
      </c>
      <c r="R15">
        <v>3.3333000000000002E-2</v>
      </c>
      <c r="S15">
        <v>2.7476E-2</v>
      </c>
      <c r="T15">
        <v>2.2807000000000001E-2</v>
      </c>
      <c r="U15">
        <v>4.2397999999999998E-2</v>
      </c>
      <c r="V15">
        <v>2.0508999999999999E-2</v>
      </c>
      <c r="W15">
        <v>1.5462E-2</v>
      </c>
      <c r="X15">
        <v>3.4846000000000002E-2</v>
      </c>
      <c r="Y15">
        <v>2.1173000000000001E-2</v>
      </c>
      <c r="Z15">
        <v>1.5432E-2</v>
      </c>
      <c r="AA15">
        <v>8.1189999999999995E-3</v>
      </c>
      <c r="AB15">
        <v>2.7102999999999999E-2</v>
      </c>
      <c r="AC15">
        <v>1.9068000000000002E-2</v>
      </c>
      <c r="AD15">
        <v>2.2556E-2</v>
      </c>
      <c r="AE15">
        <v>1.9369999999999998E-2</v>
      </c>
      <c r="AF15">
        <v>2.9461999999999999E-2</v>
      </c>
      <c r="AG15">
        <v>1.4112E-2</v>
      </c>
      <c r="AH15">
        <v>5.4165999999999999E-2</v>
      </c>
      <c r="AI15">
        <v>3.2228E-2</v>
      </c>
      <c r="AJ15">
        <v>6.0060000000000002E-2</v>
      </c>
      <c r="AK15">
        <v>0.102925</v>
      </c>
      <c r="AL15">
        <v>0.24689800000000001</v>
      </c>
      <c r="AM15">
        <v>0.255911</v>
      </c>
      <c r="AN15">
        <v>0.18911500000000001</v>
      </c>
      <c r="AO15">
        <v>0.224214</v>
      </c>
      <c r="AP15">
        <v>3.5799999999999998E-2</v>
      </c>
      <c r="AQ15">
        <v>9.8689999999999993E-3</v>
      </c>
      <c r="AR15">
        <v>1.3605000000000001E-2</v>
      </c>
      <c r="AS15">
        <v>8.149E-3</v>
      </c>
      <c r="AT15">
        <v>3.516E-3</v>
      </c>
      <c r="AU15">
        <v>4.4460000000000003E-3</v>
      </c>
      <c r="AV15">
        <v>3.2030000000000001E-3</v>
      </c>
      <c r="AW15">
        <v>5.3769999999999998E-3</v>
      </c>
      <c r="AX15">
        <v>9.1170000000000001E-3</v>
      </c>
      <c r="AY15">
        <v>3.8268999999999997E-2</v>
      </c>
      <c r="AZ15">
        <v>2.6561000000000001E-2</v>
      </c>
      <c r="BA15">
        <v>1.2102E-2</v>
      </c>
      <c r="BB15">
        <v>1.8846000000000002E-2</v>
      </c>
      <c r="BC15">
        <v>2.5531999999999999E-2</v>
      </c>
    </row>
    <row r="16" spans="1:55">
      <c r="A16" t="s">
        <v>16</v>
      </c>
      <c r="B16">
        <v>5.8570000000000002E-3</v>
      </c>
      <c r="C16">
        <v>6.4790000000000004E-3</v>
      </c>
      <c r="D16">
        <v>3.7796000000000003E-2</v>
      </c>
      <c r="E16">
        <v>5.8042000000000003E-2</v>
      </c>
      <c r="F16">
        <v>6.7132999999999998E-2</v>
      </c>
      <c r="G16">
        <v>4.7919000000000003E-2</v>
      </c>
      <c r="H16">
        <v>0.27732600000000002</v>
      </c>
      <c r="I16">
        <v>7.4600000000000003E-4</v>
      </c>
      <c r="J16">
        <v>4.0204999999999998E-2</v>
      </c>
      <c r="K16">
        <v>2.1510000000000001E-3</v>
      </c>
      <c r="L16">
        <v>5.9810000000000002E-3</v>
      </c>
      <c r="M16">
        <v>0</v>
      </c>
      <c r="N16">
        <v>3.297E-3</v>
      </c>
      <c r="O16">
        <v>1.059E-3</v>
      </c>
      <c r="P16">
        <v>1.238086</v>
      </c>
      <c r="Q16">
        <v>2.9E-4</v>
      </c>
      <c r="R16">
        <v>2.6356000000000001E-2</v>
      </c>
      <c r="S16">
        <v>0.131718</v>
      </c>
      <c r="T16">
        <v>9.8750000000000001E-3</v>
      </c>
      <c r="U16">
        <v>8.7720000000000003E-3</v>
      </c>
      <c r="V16">
        <v>3.3723000000000003E-2</v>
      </c>
      <c r="W16">
        <v>1.5917000000000001E-2</v>
      </c>
      <c r="X16">
        <v>5.829E-3</v>
      </c>
      <c r="Y16">
        <v>7.2639999999999996E-3</v>
      </c>
      <c r="Z16">
        <v>5.2399999999999999E-3</v>
      </c>
      <c r="AA16">
        <v>2.3119999999999998E-3</v>
      </c>
      <c r="AB16">
        <v>8.6789999999999992E-3</v>
      </c>
      <c r="AC16">
        <v>9.4129999999999995E-3</v>
      </c>
      <c r="AD16">
        <v>1.0312999999999999E-2</v>
      </c>
      <c r="AE16">
        <v>3.7469999999999999E-3</v>
      </c>
      <c r="AF16">
        <v>2.9220000000000001E-3</v>
      </c>
      <c r="AG16">
        <v>1.6084999999999999E-2</v>
      </c>
      <c r="AH16">
        <v>5.8060000000000004E-3</v>
      </c>
      <c r="AI16">
        <v>5.0899999999999999E-3</v>
      </c>
      <c r="AJ16">
        <v>6.9629999999999996E-3</v>
      </c>
      <c r="AK16">
        <v>1.4328E-2</v>
      </c>
      <c r="AL16">
        <v>2.245E-3</v>
      </c>
      <c r="AM16">
        <v>9.3665999999999999E-2</v>
      </c>
      <c r="AN16">
        <v>2.9780000000000001E-2</v>
      </c>
      <c r="AO16">
        <v>3.8628999999999997E-2</v>
      </c>
      <c r="AP16">
        <v>1.2003E-2</v>
      </c>
      <c r="AQ16">
        <v>0.22461</v>
      </c>
      <c r="AR16">
        <v>0.37040200000000001</v>
      </c>
      <c r="AS16">
        <v>4.908E-3</v>
      </c>
      <c r="AT16">
        <v>6.221E-3</v>
      </c>
      <c r="AU16">
        <v>2.0494999999999999E-2</v>
      </c>
      <c r="AV16">
        <v>7.9729999999999992E-3</v>
      </c>
      <c r="AW16">
        <v>2.6381999999999999E-2</v>
      </c>
      <c r="AX16">
        <v>2.4870000000000001E-3</v>
      </c>
      <c r="AY16">
        <v>1.047E-2</v>
      </c>
      <c r="AZ16">
        <v>4.0945000000000002E-2</v>
      </c>
      <c r="BA16">
        <v>4.9127999999999998E-2</v>
      </c>
      <c r="BB16">
        <v>0.13402500000000001</v>
      </c>
      <c r="BC16">
        <v>4.3811000000000003E-2</v>
      </c>
    </row>
    <row r="17" spans="1:55">
      <c r="A17" t="s">
        <v>17</v>
      </c>
      <c r="B17">
        <v>0</v>
      </c>
      <c r="C17">
        <v>0</v>
      </c>
      <c r="D17">
        <v>0</v>
      </c>
      <c r="E17">
        <v>0</v>
      </c>
      <c r="F17">
        <v>1.9999999999999999E-6</v>
      </c>
      <c r="G17">
        <v>9.9999999999999995E-7</v>
      </c>
      <c r="H17">
        <v>0</v>
      </c>
      <c r="I17">
        <v>0</v>
      </c>
      <c r="J17">
        <v>7.9999999999999996E-6</v>
      </c>
      <c r="K17">
        <v>0</v>
      </c>
      <c r="L17">
        <v>1.9999999999999999E-6</v>
      </c>
      <c r="M17">
        <v>0</v>
      </c>
      <c r="N17">
        <v>0</v>
      </c>
      <c r="O17">
        <v>0</v>
      </c>
      <c r="P17">
        <v>0</v>
      </c>
      <c r="Q17">
        <v>1.000902</v>
      </c>
      <c r="R17">
        <v>0</v>
      </c>
      <c r="S17">
        <v>0</v>
      </c>
      <c r="T17">
        <v>0</v>
      </c>
      <c r="U17">
        <v>0</v>
      </c>
      <c r="V17">
        <v>0</v>
      </c>
      <c r="W17">
        <v>0</v>
      </c>
      <c r="X17">
        <v>9.9999999999999995E-7</v>
      </c>
      <c r="Y17">
        <v>0</v>
      </c>
      <c r="Z17">
        <v>0</v>
      </c>
      <c r="AA17">
        <v>0</v>
      </c>
      <c r="AB17">
        <v>9.9999999999999995E-7</v>
      </c>
      <c r="AC17">
        <v>0</v>
      </c>
      <c r="AD17">
        <v>0</v>
      </c>
      <c r="AE17">
        <v>1.9999999999999999E-6</v>
      </c>
      <c r="AF17">
        <v>0</v>
      </c>
      <c r="AG17">
        <v>0</v>
      </c>
      <c r="AH17">
        <v>0</v>
      </c>
      <c r="AI17">
        <v>9.9999999999999995E-7</v>
      </c>
      <c r="AJ17">
        <v>9.9999999999999995E-7</v>
      </c>
      <c r="AK17">
        <v>9.9999999999999995E-7</v>
      </c>
      <c r="AL17">
        <v>9.9999999999999995E-7</v>
      </c>
      <c r="AM17">
        <v>9.9999999999999995E-7</v>
      </c>
      <c r="AN17">
        <v>9.9999999999999995E-7</v>
      </c>
      <c r="AO17">
        <v>9.9999999999999995E-7</v>
      </c>
      <c r="AP17">
        <v>9.9999999999999995E-7</v>
      </c>
      <c r="AQ17">
        <v>0</v>
      </c>
      <c r="AR17">
        <v>9.9999999999999995E-7</v>
      </c>
      <c r="AS17">
        <v>9.9999999999999995E-7</v>
      </c>
      <c r="AT17">
        <v>9.9999999999999995E-7</v>
      </c>
      <c r="AU17">
        <v>9.9999999999999995E-7</v>
      </c>
      <c r="AV17">
        <v>9.9999999999999995E-7</v>
      </c>
      <c r="AW17">
        <v>9.9999999999999995E-7</v>
      </c>
      <c r="AX17">
        <v>0</v>
      </c>
      <c r="AY17">
        <v>9.9999999999999995E-7</v>
      </c>
      <c r="AZ17">
        <v>9.9999999999999995E-7</v>
      </c>
      <c r="BA17">
        <v>9.9999999999999995E-7</v>
      </c>
      <c r="BB17">
        <v>0</v>
      </c>
      <c r="BC17">
        <v>0</v>
      </c>
    </row>
    <row r="18" spans="1:55">
      <c r="A18" t="s">
        <v>18</v>
      </c>
      <c r="B18">
        <v>1.3300000000000001E-4</v>
      </c>
      <c r="C18">
        <v>6.1399999999999996E-4</v>
      </c>
      <c r="D18">
        <v>9.0849999999999993E-3</v>
      </c>
      <c r="E18">
        <v>2.14E-4</v>
      </c>
      <c r="F18">
        <v>1.17E-4</v>
      </c>
      <c r="G18">
        <v>3.1700000000000001E-4</v>
      </c>
      <c r="H18">
        <v>3.4E-5</v>
      </c>
      <c r="I18">
        <v>3.8999999999999999E-5</v>
      </c>
      <c r="J18">
        <v>2.9E-5</v>
      </c>
      <c r="K18">
        <v>1.8E-5</v>
      </c>
      <c r="L18">
        <v>8.0000000000000007E-5</v>
      </c>
      <c r="M18">
        <v>0</v>
      </c>
      <c r="N18">
        <v>3.1999999999999999E-5</v>
      </c>
      <c r="O18">
        <v>6.0000000000000002E-6</v>
      </c>
      <c r="P18">
        <v>1.05E-4</v>
      </c>
      <c r="Q18">
        <v>6.9999999999999999E-6</v>
      </c>
      <c r="R18">
        <v>1.033876</v>
      </c>
      <c r="S18">
        <v>2.1879999999999998E-3</v>
      </c>
      <c r="T18">
        <v>1.56E-4</v>
      </c>
      <c r="U18">
        <v>1.7000000000000001E-4</v>
      </c>
      <c r="V18">
        <v>1.1400000000000001E-4</v>
      </c>
      <c r="W18">
        <v>2.7520000000000001E-3</v>
      </c>
      <c r="X18">
        <v>6.2000000000000003E-5</v>
      </c>
      <c r="Y18">
        <v>5.8999999999999998E-5</v>
      </c>
      <c r="Z18">
        <v>1.46E-4</v>
      </c>
      <c r="AA18">
        <v>3.4E-5</v>
      </c>
      <c r="AB18">
        <v>1.47E-4</v>
      </c>
      <c r="AC18">
        <v>2.5360000000000001E-3</v>
      </c>
      <c r="AD18">
        <v>3.8400000000000001E-4</v>
      </c>
      <c r="AE18">
        <v>3.6000000000000001E-5</v>
      </c>
      <c r="AF18">
        <v>1.5E-5</v>
      </c>
      <c r="AG18">
        <v>1.3300000000000001E-4</v>
      </c>
      <c r="AH18">
        <v>1.75E-4</v>
      </c>
      <c r="AI18">
        <v>3.1199999999999999E-4</v>
      </c>
      <c r="AJ18">
        <v>2.5500000000000002E-4</v>
      </c>
      <c r="AK18">
        <v>7.3999999999999996E-5</v>
      </c>
      <c r="AL18">
        <v>6.7000000000000002E-5</v>
      </c>
      <c r="AM18">
        <v>1E-4</v>
      </c>
      <c r="AN18">
        <v>5.7000000000000003E-5</v>
      </c>
      <c r="AO18">
        <v>7.2000000000000002E-5</v>
      </c>
      <c r="AP18">
        <v>1.46E-4</v>
      </c>
      <c r="AQ18">
        <v>2.5999999999999998E-4</v>
      </c>
      <c r="AR18">
        <v>9.1000000000000003E-5</v>
      </c>
      <c r="AS18">
        <v>4.0000000000000003E-5</v>
      </c>
      <c r="AT18">
        <v>1.17E-4</v>
      </c>
      <c r="AU18">
        <v>6.0999999999999999E-5</v>
      </c>
      <c r="AV18">
        <v>4.6E-5</v>
      </c>
      <c r="AW18">
        <v>5.8E-5</v>
      </c>
      <c r="AX18">
        <v>5.3000000000000001E-5</v>
      </c>
      <c r="AY18">
        <v>1.2300000000000001E-4</v>
      </c>
      <c r="AZ18">
        <v>1.9100000000000001E-4</v>
      </c>
      <c r="BA18">
        <v>3.0800000000000001E-4</v>
      </c>
      <c r="BB18">
        <v>1.173E-3</v>
      </c>
      <c r="BC18">
        <v>1.524E-3</v>
      </c>
    </row>
    <row r="19" spans="1:55">
      <c r="A19" t="s">
        <v>19</v>
      </c>
      <c r="B19">
        <v>0</v>
      </c>
      <c r="C19">
        <v>0</v>
      </c>
      <c r="D19">
        <v>0</v>
      </c>
      <c r="E19">
        <v>0</v>
      </c>
      <c r="F19">
        <v>0</v>
      </c>
      <c r="G19">
        <v>0</v>
      </c>
      <c r="H19">
        <v>0</v>
      </c>
      <c r="I19">
        <v>0</v>
      </c>
      <c r="J19">
        <v>0</v>
      </c>
      <c r="K19">
        <v>0</v>
      </c>
      <c r="L19">
        <v>0</v>
      </c>
      <c r="M19">
        <v>0</v>
      </c>
      <c r="N19">
        <v>0</v>
      </c>
      <c r="O19">
        <v>0</v>
      </c>
      <c r="P19">
        <v>0</v>
      </c>
      <c r="Q19">
        <v>0</v>
      </c>
      <c r="R19">
        <v>0</v>
      </c>
      <c r="S19">
        <v>1</v>
      </c>
      <c r="T19">
        <v>0</v>
      </c>
      <c r="U19">
        <v>0</v>
      </c>
      <c r="V19">
        <v>0</v>
      </c>
      <c r="W19">
        <v>0</v>
      </c>
      <c r="X19">
        <v>0</v>
      </c>
      <c r="Y19">
        <v>0</v>
      </c>
      <c r="Z19">
        <v>0</v>
      </c>
      <c r="AA19">
        <v>0</v>
      </c>
      <c r="AB19">
        <v>0</v>
      </c>
      <c r="AC19">
        <v>6.0000000000000002E-5</v>
      </c>
      <c r="AD19">
        <v>0</v>
      </c>
      <c r="AE19">
        <v>0</v>
      </c>
      <c r="AF19">
        <v>0</v>
      </c>
      <c r="AG19">
        <v>3.0000000000000001E-5</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row>
    <row r="20" spans="1:55">
      <c r="A20" t="s">
        <v>20</v>
      </c>
      <c r="B20">
        <v>1.06E-4</v>
      </c>
      <c r="C20">
        <v>1.44E-4</v>
      </c>
      <c r="D20">
        <v>4.2750000000000002E-3</v>
      </c>
      <c r="E20">
        <v>4.5000000000000003E-5</v>
      </c>
      <c r="F20">
        <v>1.03E-4</v>
      </c>
      <c r="G20">
        <v>3.1199999999999999E-4</v>
      </c>
      <c r="H20">
        <v>7.1000000000000005E-5</v>
      </c>
      <c r="I20">
        <v>1.2300000000000001E-4</v>
      </c>
      <c r="J20">
        <v>3.6000000000000001E-5</v>
      </c>
      <c r="K20">
        <v>6.8999999999999997E-5</v>
      </c>
      <c r="L20">
        <v>2.6699999999999998E-4</v>
      </c>
      <c r="M20">
        <v>0</v>
      </c>
      <c r="N20">
        <v>2.0000000000000001E-4</v>
      </c>
      <c r="O20">
        <v>2.4000000000000001E-5</v>
      </c>
      <c r="P20">
        <v>1.3300000000000001E-4</v>
      </c>
      <c r="Q20">
        <v>3.3000000000000003E-5</v>
      </c>
      <c r="R20">
        <v>1.7200000000000001E-4</v>
      </c>
      <c r="S20">
        <v>1.6699999999999999E-4</v>
      </c>
      <c r="T20">
        <v>1.003099</v>
      </c>
      <c r="U20">
        <v>2.0100000000000001E-4</v>
      </c>
      <c r="V20">
        <v>1.15E-4</v>
      </c>
      <c r="W20">
        <v>1.2899999999999999E-3</v>
      </c>
      <c r="X20">
        <v>1.8900000000000001E-4</v>
      </c>
      <c r="Y20">
        <v>1.07E-4</v>
      </c>
      <c r="Z20">
        <v>1.7799999999999999E-4</v>
      </c>
      <c r="AA20">
        <v>1.3100000000000001E-4</v>
      </c>
      <c r="AB20">
        <v>3.9300000000000001E-4</v>
      </c>
      <c r="AC20">
        <v>4.2110000000000003E-3</v>
      </c>
      <c r="AD20">
        <v>2.9499999999999999E-3</v>
      </c>
      <c r="AE20">
        <v>1.45E-4</v>
      </c>
      <c r="AF20">
        <v>5.8999999999999998E-5</v>
      </c>
      <c r="AG20">
        <v>1.44E-4</v>
      </c>
      <c r="AH20">
        <v>2.0140000000000002E-3</v>
      </c>
      <c r="AI20">
        <v>1.21E-4</v>
      </c>
      <c r="AJ20">
        <v>2.4800000000000001E-4</v>
      </c>
      <c r="AK20">
        <v>2.7300000000000002E-4</v>
      </c>
      <c r="AL20">
        <v>1.2999999999999999E-4</v>
      </c>
      <c r="AM20">
        <v>2.2100000000000001E-4</v>
      </c>
      <c r="AN20">
        <v>1.8200000000000001E-4</v>
      </c>
      <c r="AO20">
        <v>1.75E-4</v>
      </c>
      <c r="AP20">
        <v>2.7300000000000002E-4</v>
      </c>
      <c r="AQ20">
        <v>1.08E-4</v>
      </c>
      <c r="AR20">
        <v>1.46E-4</v>
      </c>
      <c r="AS20">
        <v>1.2400000000000001E-4</v>
      </c>
      <c r="AT20">
        <v>8.7000000000000001E-5</v>
      </c>
      <c r="AU20">
        <v>9.0000000000000006E-5</v>
      </c>
      <c r="AV20">
        <v>6.3999999999999997E-5</v>
      </c>
      <c r="AW20">
        <v>6.7000000000000002E-5</v>
      </c>
      <c r="AX20">
        <v>1.95E-4</v>
      </c>
      <c r="AY20">
        <v>1.1900000000000001E-4</v>
      </c>
      <c r="AZ20">
        <v>2.1100000000000001E-4</v>
      </c>
      <c r="BA20">
        <v>1.02E-4</v>
      </c>
      <c r="BB20">
        <v>1.34E-4</v>
      </c>
      <c r="BC20">
        <v>1.8900000000000001E-4</v>
      </c>
    </row>
    <row r="21" spans="1:55">
      <c r="A21" t="s">
        <v>21</v>
      </c>
      <c r="B21">
        <v>1.1130000000000001E-3</v>
      </c>
      <c r="C21">
        <v>3.3530000000000001E-3</v>
      </c>
      <c r="D21">
        <v>2.382E-3</v>
      </c>
      <c r="E21">
        <v>9.68E-4</v>
      </c>
      <c r="F21">
        <v>1.093E-3</v>
      </c>
      <c r="G21">
        <v>6.607E-3</v>
      </c>
      <c r="H21">
        <v>1.3439999999999999E-3</v>
      </c>
      <c r="I21">
        <v>8.12E-4</v>
      </c>
      <c r="J21">
        <v>4.8999999999999998E-4</v>
      </c>
      <c r="K21">
        <v>2.6819999999999999E-3</v>
      </c>
      <c r="L21">
        <v>1.0501E-2</v>
      </c>
      <c r="M21">
        <v>0</v>
      </c>
      <c r="N21">
        <v>1.7930000000000001E-3</v>
      </c>
      <c r="O21">
        <v>7.7999999999999999E-4</v>
      </c>
      <c r="P21">
        <v>2.921E-3</v>
      </c>
      <c r="Q21">
        <v>5.7899999999999998E-4</v>
      </c>
      <c r="R21">
        <v>6.319E-3</v>
      </c>
      <c r="S21">
        <v>7.5100000000000002E-3</v>
      </c>
      <c r="T21">
        <v>3.3210000000000002E-3</v>
      </c>
      <c r="U21">
        <v>1.227994</v>
      </c>
      <c r="V21">
        <v>3.1949999999999999E-3</v>
      </c>
      <c r="W21">
        <v>4.731E-3</v>
      </c>
      <c r="X21">
        <v>5.6620000000000004E-3</v>
      </c>
      <c r="Y21">
        <v>3.0219999999999999E-3</v>
      </c>
      <c r="Z21">
        <v>6.2240000000000004E-3</v>
      </c>
      <c r="AA21">
        <v>2.5929999999999998E-3</v>
      </c>
      <c r="AB21">
        <v>6.9259999999999999E-3</v>
      </c>
      <c r="AC21">
        <v>9.5919999999999998E-3</v>
      </c>
      <c r="AD21">
        <v>5.2989999999999999E-3</v>
      </c>
      <c r="AE21">
        <v>4.4759999999999999E-3</v>
      </c>
      <c r="AF21">
        <v>1.537E-3</v>
      </c>
      <c r="AG21">
        <v>2.4710000000000001E-3</v>
      </c>
      <c r="AH21">
        <v>6.2480000000000001E-3</v>
      </c>
      <c r="AI21">
        <v>1.0536999999999999E-2</v>
      </c>
      <c r="AJ21">
        <v>1.6947E-2</v>
      </c>
      <c r="AK21">
        <v>6.0200000000000002E-3</v>
      </c>
      <c r="AL21">
        <v>2.4910000000000002E-3</v>
      </c>
      <c r="AM21">
        <v>4.0280000000000003E-3</v>
      </c>
      <c r="AN21">
        <v>5.7489999999999998E-3</v>
      </c>
      <c r="AO21">
        <v>3.3670000000000002E-3</v>
      </c>
      <c r="AP21">
        <v>4.2900000000000004E-3</v>
      </c>
      <c r="AQ21">
        <v>2.9329999999999998E-3</v>
      </c>
      <c r="AR21">
        <v>3.042E-3</v>
      </c>
      <c r="AS21">
        <v>2.6405999999999999E-2</v>
      </c>
      <c r="AT21">
        <v>6.0219999999999996E-3</v>
      </c>
      <c r="AU21">
        <v>1.7023E-2</v>
      </c>
      <c r="AV21">
        <v>8.4410000000000006E-3</v>
      </c>
      <c r="AW21">
        <v>8.6049999999999998E-3</v>
      </c>
      <c r="AX21">
        <v>3.5209999999999998E-3</v>
      </c>
      <c r="AY21">
        <v>1.491E-2</v>
      </c>
      <c r="AZ21">
        <v>1.3412E-2</v>
      </c>
      <c r="BA21">
        <v>2.4553999999999999E-2</v>
      </c>
      <c r="BB21">
        <v>4.888E-3</v>
      </c>
      <c r="BC21">
        <v>6.3229999999999996E-3</v>
      </c>
    </row>
    <row r="22" spans="1:55">
      <c r="A22" t="s">
        <v>22</v>
      </c>
      <c r="B22">
        <v>6.3182000000000002E-2</v>
      </c>
      <c r="C22">
        <v>9.1883999999999993E-2</v>
      </c>
      <c r="D22">
        <v>0.11833100000000001</v>
      </c>
      <c r="E22">
        <v>4.3811000000000003E-2</v>
      </c>
      <c r="F22">
        <v>2.7109000000000001E-2</v>
      </c>
      <c r="G22">
        <v>3.8443999999999999E-2</v>
      </c>
      <c r="H22">
        <v>1.1658E-2</v>
      </c>
      <c r="I22">
        <v>1.6609999999999999E-3</v>
      </c>
      <c r="J22">
        <v>3.0899999999999999E-3</v>
      </c>
      <c r="K22">
        <v>1.7930000000000001E-3</v>
      </c>
      <c r="L22">
        <v>2.3033999999999999E-2</v>
      </c>
      <c r="M22">
        <v>0</v>
      </c>
      <c r="N22">
        <v>4.4290000000000003E-2</v>
      </c>
      <c r="O22">
        <v>1.101E-3</v>
      </c>
      <c r="P22">
        <v>2.4320999999999999E-2</v>
      </c>
      <c r="Q22">
        <v>2.7700000000000001E-4</v>
      </c>
      <c r="R22">
        <v>0.19250600000000001</v>
      </c>
      <c r="S22">
        <v>0.125887</v>
      </c>
      <c r="T22">
        <v>6.2251000000000001E-2</v>
      </c>
      <c r="U22">
        <v>7.8620999999999996E-2</v>
      </c>
      <c r="V22">
        <v>1.1313800000000001</v>
      </c>
      <c r="W22">
        <v>0.139375</v>
      </c>
      <c r="X22">
        <v>6.1530000000000001E-2</v>
      </c>
      <c r="Y22">
        <v>9.4852000000000006E-2</v>
      </c>
      <c r="Z22">
        <v>6.5458000000000002E-2</v>
      </c>
      <c r="AA22">
        <v>8.0450000000000001E-3</v>
      </c>
      <c r="AB22">
        <v>2.5797E-2</v>
      </c>
      <c r="AC22">
        <v>8.1827999999999998E-2</v>
      </c>
      <c r="AD22">
        <v>9.1367000000000004E-2</v>
      </c>
      <c r="AE22">
        <v>1.0355E-2</v>
      </c>
      <c r="AF22">
        <v>2.0899999999999998E-3</v>
      </c>
      <c r="AG22">
        <v>0.15398100000000001</v>
      </c>
      <c r="AH22">
        <v>1.9328000000000001E-2</v>
      </c>
      <c r="AI22">
        <v>1.0243E-2</v>
      </c>
      <c r="AJ22">
        <v>9.6229999999999996E-3</v>
      </c>
      <c r="AK22">
        <v>1.0654E-2</v>
      </c>
      <c r="AL22">
        <v>5.5640000000000004E-3</v>
      </c>
      <c r="AM22">
        <v>1.1908999999999999E-2</v>
      </c>
      <c r="AN22">
        <v>1.3036000000000001E-2</v>
      </c>
      <c r="AO22">
        <v>5.3270000000000001E-3</v>
      </c>
      <c r="AP22">
        <v>6.594E-3</v>
      </c>
      <c r="AQ22">
        <v>1.2023000000000001E-2</v>
      </c>
      <c r="AR22">
        <v>1.2777999999999999E-2</v>
      </c>
      <c r="AS22">
        <v>7.2430000000000003E-3</v>
      </c>
      <c r="AT22">
        <v>4.182E-3</v>
      </c>
      <c r="AU22">
        <v>9.3489999999999997E-3</v>
      </c>
      <c r="AV22">
        <v>4.797E-3</v>
      </c>
      <c r="AW22">
        <v>4.4450000000000002E-3</v>
      </c>
      <c r="AX22">
        <v>4.3920000000000001E-3</v>
      </c>
      <c r="AY22">
        <v>1.5245E-2</v>
      </c>
      <c r="AZ22">
        <v>1.2152E-2</v>
      </c>
      <c r="BA22">
        <v>2.8171000000000002E-2</v>
      </c>
      <c r="BB22">
        <v>0.14614199999999999</v>
      </c>
      <c r="BC22">
        <v>5.4052000000000003E-2</v>
      </c>
    </row>
    <row r="23" spans="1:55">
      <c r="A23" t="s">
        <v>23</v>
      </c>
      <c r="B23">
        <v>1.7390000000000001E-3</v>
      </c>
      <c r="C23">
        <v>2.758E-3</v>
      </c>
      <c r="D23">
        <v>1.9369999999999999E-3</v>
      </c>
      <c r="E23">
        <v>9.2500000000000004E-4</v>
      </c>
      <c r="F23">
        <v>1.2891E-2</v>
      </c>
      <c r="G23">
        <v>1.1174999999999999E-2</v>
      </c>
      <c r="H23">
        <v>1.098E-3</v>
      </c>
      <c r="I23">
        <v>1.3760000000000001E-3</v>
      </c>
      <c r="J23">
        <v>5.7600000000000001E-4</v>
      </c>
      <c r="K23">
        <v>8.2899999999999998E-4</v>
      </c>
      <c r="L23">
        <v>3.258E-3</v>
      </c>
      <c r="M23">
        <v>0</v>
      </c>
      <c r="N23">
        <v>2.7620000000000001E-3</v>
      </c>
      <c r="O23">
        <v>3.0600000000000001E-4</v>
      </c>
      <c r="P23">
        <v>2.1940000000000002E-3</v>
      </c>
      <c r="Q23">
        <v>4.2200000000000001E-4</v>
      </c>
      <c r="R23">
        <v>7.8899999999999994E-3</v>
      </c>
      <c r="S23">
        <v>1.6986000000000001E-2</v>
      </c>
      <c r="T23">
        <v>4.862E-3</v>
      </c>
      <c r="U23">
        <v>4.9789999999999999E-3</v>
      </c>
      <c r="V23">
        <v>3.5799999999999998E-3</v>
      </c>
      <c r="W23">
        <v>1.061804</v>
      </c>
      <c r="X23">
        <v>2.666E-3</v>
      </c>
      <c r="Y23">
        <v>1.867E-3</v>
      </c>
      <c r="Z23">
        <v>1.1148E-2</v>
      </c>
      <c r="AA23">
        <v>2.7460000000000002E-3</v>
      </c>
      <c r="AB23">
        <v>2.3900999999999999E-2</v>
      </c>
      <c r="AC23">
        <v>3.1146E-2</v>
      </c>
      <c r="AD23">
        <v>1.7645999999999998E-2</v>
      </c>
      <c r="AE23">
        <v>2.1199999999999999E-3</v>
      </c>
      <c r="AF23">
        <v>7.1699999999999997E-4</v>
      </c>
      <c r="AG23">
        <v>2.8189999999999999E-3</v>
      </c>
      <c r="AH23">
        <v>2.1215000000000001E-2</v>
      </c>
      <c r="AI23">
        <v>9.8399999999999998E-3</v>
      </c>
      <c r="AJ23">
        <v>1.2848E-2</v>
      </c>
      <c r="AK23">
        <v>4.6509999999999998E-3</v>
      </c>
      <c r="AL23">
        <v>1.5110999999999999E-2</v>
      </c>
      <c r="AM23">
        <v>1.0784999999999999E-2</v>
      </c>
      <c r="AN23">
        <v>8.2150000000000001E-3</v>
      </c>
      <c r="AO23">
        <v>1.3945000000000001E-2</v>
      </c>
      <c r="AP23">
        <v>9.2770000000000005E-3</v>
      </c>
      <c r="AQ23">
        <v>1.7780000000000001E-3</v>
      </c>
      <c r="AR23">
        <v>2.8080000000000002E-3</v>
      </c>
      <c r="AS23">
        <v>1.9970000000000001E-3</v>
      </c>
      <c r="AT23">
        <v>3.4949999999999998E-3</v>
      </c>
      <c r="AU23">
        <v>3.6849999999999999E-3</v>
      </c>
      <c r="AV23">
        <v>4.5849999999999997E-3</v>
      </c>
      <c r="AW23">
        <v>4.176E-3</v>
      </c>
      <c r="AX23">
        <v>3.529E-3</v>
      </c>
      <c r="AY23">
        <v>5.9410000000000001E-3</v>
      </c>
      <c r="AZ23">
        <v>4.235E-3</v>
      </c>
      <c r="BA23">
        <v>4.4949999999999999E-3</v>
      </c>
      <c r="BB23">
        <v>4.5890000000000002E-3</v>
      </c>
      <c r="BC23">
        <v>4.7730000000000003E-3</v>
      </c>
    </row>
    <row r="24" spans="1:55">
      <c r="A24" t="s">
        <v>24</v>
      </c>
      <c r="B24">
        <v>6.9999999999999999E-4</v>
      </c>
      <c r="C24">
        <v>5.6300000000000002E-4</v>
      </c>
      <c r="D24">
        <v>6.2100000000000002E-4</v>
      </c>
      <c r="E24">
        <v>2.2499999999999999E-4</v>
      </c>
      <c r="F24">
        <v>3.6699999999999998E-4</v>
      </c>
      <c r="G24">
        <v>1.39E-3</v>
      </c>
      <c r="H24">
        <v>1.56E-4</v>
      </c>
      <c r="I24">
        <v>8.5700000000000001E-4</v>
      </c>
      <c r="J24">
        <v>1.35E-4</v>
      </c>
      <c r="K24">
        <v>4.5300000000000001E-4</v>
      </c>
      <c r="L24">
        <v>1.2310000000000001E-3</v>
      </c>
      <c r="M24">
        <v>0</v>
      </c>
      <c r="N24">
        <v>1.3699999999999999E-3</v>
      </c>
      <c r="O24">
        <v>4.6900000000000002E-4</v>
      </c>
      <c r="P24">
        <v>3.7100000000000002E-4</v>
      </c>
      <c r="Q24">
        <v>2.6999999999999999E-5</v>
      </c>
      <c r="R24">
        <v>7.9500000000000003E-4</v>
      </c>
      <c r="S24">
        <v>4.2299999999999998E-4</v>
      </c>
      <c r="T24">
        <v>2.6080000000000001E-3</v>
      </c>
      <c r="U24">
        <v>4.4700000000000002E-4</v>
      </c>
      <c r="V24">
        <v>5.8699999999999996E-4</v>
      </c>
      <c r="W24">
        <v>2.0969999999999999E-3</v>
      </c>
      <c r="X24">
        <v>1.0338130000000001</v>
      </c>
      <c r="Y24">
        <v>1.1039999999999999E-3</v>
      </c>
      <c r="Z24">
        <v>1.4350000000000001E-3</v>
      </c>
      <c r="AA24">
        <v>1.7799999999999999E-4</v>
      </c>
      <c r="AB24">
        <v>1.7819999999999999E-3</v>
      </c>
      <c r="AC24">
        <v>5.2040000000000003E-3</v>
      </c>
      <c r="AD24">
        <v>1.1807E-2</v>
      </c>
      <c r="AE24">
        <v>6.4000000000000005E-4</v>
      </c>
      <c r="AF24">
        <v>3.3399999999999999E-4</v>
      </c>
      <c r="AG24">
        <v>1.604E-3</v>
      </c>
      <c r="AH24">
        <v>1.7741E-2</v>
      </c>
      <c r="AI24">
        <v>6.0599999999999998E-4</v>
      </c>
      <c r="AJ24">
        <v>9.2000000000000003E-4</v>
      </c>
      <c r="AK24">
        <v>1.4590000000000001E-2</v>
      </c>
      <c r="AL24">
        <v>2.3540000000000002E-3</v>
      </c>
      <c r="AM24">
        <v>2.2669999999999999E-3</v>
      </c>
      <c r="AN24">
        <v>7.6300000000000001E-4</v>
      </c>
      <c r="AO24">
        <v>3.9399999999999998E-4</v>
      </c>
      <c r="AP24">
        <v>1.939E-3</v>
      </c>
      <c r="AQ24">
        <v>3.2699999999999998E-4</v>
      </c>
      <c r="AR24">
        <v>2.9599999999999998E-4</v>
      </c>
      <c r="AS24">
        <v>5.6800000000000004E-4</v>
      </c>
      <c r="AT24">
        <v>3.5199999999999999E-4</v>
      </c>
      <c r="AU24">
        <v>3.01E-4</v>
      </c>
      <c r="AV24">
        <v>2.03E-4</v>
      </c>
      <c r="AW24">
        <v>2.6899999999999998E-4</v>
      </c>
      <c r="AX24">
        <v>5.4660000000000004E-3</v>
      </c>
      <c r="AY24">
        <v>1.58E-3</v>
      </c>
      <c r="AZ24">
        <v>2.0660000000000001E-3</v>
      </c>
      <c r="BA24">
        <v>5.2659999999999998E-3</v>
      </c>
      <c r="BB24">
        <v>3.2590000000000002E-3</v>
      </c>
      <c r="BC24">
        <v>5.0489999999999997E-3</v>
      </c>
    </row>
    <row r="25" spans="1:55">
      <c r="A25" t="s">
        <v>25</v>
      </c>
      <c r="B25">
        <v>4.6E-5</v>
      </c>
      <c r="C25">
        <v>3.8000000000000002E-5</v>
      </c>
      <c r="D25">
        <v>2.4899999999999998E-4</v>
      </c>
      <c r="E25">
        <v>3.4999999999999997E-5</v>
      </c>
      <c r="F25">
        <v>2.4000000000000001E-5</v>
      </c>
      <c r="G25">
        <v>4.8000000000000001E-5</v>
      </c>
      <c r="H25">
        <v>1.4E-5</v>
      </c>
      <c r="I25">
        <v>5.5000000000000002E-5</v>
      </c>
      <c r="J25">
        <v>1.2E-5</v>
      </c>
      <c r="K25">
        <v>3.1000000000000001E-5</v>
      </c>
      <c r="L25">
        <v>8.7000000000000001E-5</v>
      </c>
      <c r="M25">
        <v>0</v>
      </c>
      <c r="N25">
        <v>9.2E-5</v>
      </c>
      <c r="O25">
        <v>9.0000000000000002E-6</v>
      </c>
      <c r="P25">
        <v>4.1E-5</v>
      </c>
      <c r="Q25">
        <v>1.9999999999999999E-6</v>
      </c>
      <c r="R25">
        <v>1.0399999999999999E-4</v>
      </c>
      <c r="S25">
        <v>5.1E-5</v>
      </c>
      <c r="T25">
        <v>6.4999999999999994E-5</v>
      </c>
      <c r="U25">
        <v>5.5699999999999999E-4</v>
      </c>
      <c r="V25">
        <v>5.7000000000000003E-5</v>
      </c>
      <c r="W25">
        <v>1.03E-4</v>
      </c>
      <c r="X25">
        <v>2.0100000000000001E-4</v>
      </c>
      <c r="Y25">
        <v>1.0087120000000001</v>
      </c>
      <c r="Z25">
        <v>4.9259999999999998E-3</v>
      </c>
      <c r="AA25">
        <v>5.9000000000000003E-4</v>
      </c>
      <c r="AB25">
        <v>1.6770000000000001E-3</v>
      </c>
      <c r="AC25">
        <v>1.0039999999999999E-3</v>
      </c>
      <c r="AD25">
        <v>3.9329999999999999E-3</v>
      </c>
      <c r="AE25">
        <v>4.6E-5</v>
      </c>
      <c r="AF25">
        <v>2.3E-5</v>
      </c>
      <c r="AG25">
        <v>5.8999999999999998E-5</v>
      </c>
      <c r="AH25">
        <v>1.1310000000000001E-3</v>
      </c>
      <c r="AI25">
        <v>5.7000000000000003E-5</v>
      </c>
      <c r="AJ25">
        <v>5.8999999999999998E-5</v>
      </c>
      <c r="AK25">
        <v>1.4799999999999999E-4</v>
      </c>
      <c r="AL25">
        <v>2.0999999999999999E-5</v>
      </c>
      <c r="AM25">
        <v>7.1000000000000005E-5</v>
      </c>
      <c r="AN25">
        <v>6.6000000000000005E-5</v>
      </c>
      <c r="AO25">
        <v>2.8E-5</v>
      </c>
      <c r="AP25">
        <v>1.2400000000000001E-4</v>
      </c>
      <c r="AQ25">
        <v>2.4000000000000001E-5</v>
      </c>
      <c r="AR25">
        <v>2.1999999999999999E-5</v>
      </c>
      <c r="AS25">
        <v>6.6000000000000005E-5</v>
      </c>
      <c r="AT25">
        <v>2.5999999999999998E-5</v>
      </c>
      <c r="AU25">
        <v>2.8E-5</v>
      </c>
      <c r="AV25">
        <v>1.7E-5</v>
      </c>
      <c r="AW25">
        <v>1.9000000000000001E-5</v>
      </c>
      <c r="AX25">
        <v>1.02E-4</v>
      </c>
      <c r="AY25">
        <v>4.8999999999999998E-5</v>
      </c>
      <c r="AZ25">
        <v>9.0000000000000006E-5</v>
      </c>
      <c r="BA25">
        <v>4.8000000000000001E-5</v>
      </c>
      <c r="BB25">
        <v>6.2000000000000003E-5</v>
      </c>
      <c r="BC25">
        <v>5.1E-5</v>
      </c>
    </row>
    <row r="26" spans="1:55">
      <c r="A26" t="s">
        <v>26</v>
      </c>
      <c r="B26">
        <v>4.4099999999999999E-4</v>
      </c>
      <c r="C26">
        <v>3.2200000000000002E-4</v>
      </c>
      <c r="D26">
        <v>5.1099999999999995E-4</v>
      </c>
      <c r="E26">
        <v>2.0799999999999999E-4</v>
      </c>
      <c r="F26">
        <v>1.8100000000000001E-4</v>
      </c>
      <c r="G26">
        <v>2.4529999999999999E-3</v>
      </c>
      <c r="H26">
        <v>1.7899999999999999E-4</v>
      </c>
      <c r="I26">
        <v>2.2499999999999999E-4</v>
      </c>
      <c r="J26">
        <v>7.7999999999999999E-5</v>
      </c>
      <c r="K26">
        <v>2.5999999999999998E-4</v>
      </c>
      <c r="L26">
        <v>2.2179999999999999E-3</v>
      </c>
      <c r="M26">
        <v>0</v>
      </c>
      <c r="N26">
        <v>1.5139999999999999E-3</v>
      </c>
      <c r="O26">
        <v>1.44E-4</v>
      </c>
      <c r="P26">
        <v>4.2400000000000001E-4</v>
      </c>
      <c r="Q26">
        <v>4.8000000000000001E-5</v>
      </c>
      <c r="R26">
        <v>1.168E-3</v>
      </c>
      <c r="S26">
        <v>1.7600000000000001E-3</v>
      </c>
      <c r="T26">
        <v>1.127E-3</v>
      </c>
      <c r="U26">
        <v>1.178E-3</v>
      </c>
      <c r="V26">
        <v>5.4500000000000002E-4</v>
      </c>
      <c r="W26">
        <v>8.1599999999999999E-4</v>
      </c>
      <c r="X26">
        <v>1.622E-3</v>
      </c>
      <c r="Y26">
        <v>1.1310000000000001E-3</v>
      </c>
      <c r="Z26">
        <v>1.0265880000000001</v>
      </c>
      <c r="AA26">
        <v>1.4311000000000001E-2</v>
      </c>
      <c r="AB26">
        <v>7.7450000000000001E-3</v>
      </c>
      <c r="AC26">
        <v>6.123E-3</v>
      </c>
      <c r="AD26">
        <v>5.3829999999999998E-3</v>
      </c>
      <c r="AE26">
        <v>1.8309999999999999E-3</v>
      </c>
      <c r="AF26">
        <v>2.1800000000000001E-4</v>
      </c>
      <c r="AG26">
        <v>1.6069999999999999E-3</v>
      </c>
      <c r="AH26">
        <v>2.9369999999999999E-3</v>
      </c>
      <c r="AI26">
        <v>5.483E-3</v>
      </c>
      <c r="AJ26">
        <v>1.4109999999999999E-3</v>
      </c>
      <c r="AK26">
        <v>3.3969999999999998E-3</v>
      </c>
      <c r="AL26">
        <v>1.4920000000000001E-3</v>
      </c>
      <c r="AM26">
        <v>7.7200000000000001E-4</v>
      </c>
      <c r="AN26">
        <v>8.5599999999999999E-4</v>
      </c>
      <c r="AO26">
        <v>4.2400000000000001E-4</v>
      </c>
      <c r="AP26">
        <v>1.0089999999999999E-3</v>
      </c>
      <c r="AQ26">
        <v>5.0600000000000005E-4</v>
      </c>
      <c r="AR26">
        <v>4.0400000000000001E-4</v>
      </c>
      <c r="AS26">
        <v>4.3E-3</v>
      </c>
      <c r="AT26">
        <v>7.36E-4</v>
      </c>
      <c r="AU26">
        <v>6.29E-4</v>
      </c>
      <c r="AV26">
        <v>3.5199999999999999E-4</v>
      </c>
      <c r="AW26">
        <v>3.1500000000000001E-4</v>
      </c>
      <c r="AX26">
        <v>5.4100000000000003E-4</v>
      </c>
      <c r="AY26">
        <v>3.5270000000000002E-3</v>
      </c>
      <c r="AZ26">
        <v>1E-3</v>
      </c>
      <c r="BA26">
        <v>2.4589999999999998E-3</v>
      </c>
      <c r="BB26">
        <v>3.1159999999999998E-3</v>
      </c>
      <c r="BC26">
        <v>2.771E-3</v>
      </c>
    </row>
    <row r="27" spans="1:55">
      <c r="A27" t="s">
        <v>27</v>
      </c>
      <c r="B27">
        <v>0</v>
      </c>
      <c r="C27">
        <v>0</v>
      </c>
      <c r="D27">
        <v>4.1300000000000001E-4</v>
      </c>
      <c r="E27">
        <v>0</v>
      </c>
      <c r="F27">
        <v>9.9999999999999995E-7</v>
      </c>
      <c r="G27">
        <v>9.9999999999999995E-7</v>
      </c>
      <c r="H27">
        <v>0</v>
      </c>
      <c r="I27">
        <v>0</v>
      </c>
      <c r="J27">
        <v>0</v>
      </c>
      <c r="K27">
        <v>0</v>
      </c>
      <c r="L27">
        <v>0</v>
      </c>
      <c r="M27">
        <v>0</v>
      </c>
      <c r="N27">
        <v>0</v>
      </c>
      <c r="O27">
        <v>0</v>
      </c>
      <c r="P27">
        <v>0</v>
      </c>
      <c r="Q27">
        <v>0</v>
      </c>
      <c r="R27">
        <v>9.9999999999999995E-7</v>
      </c>
      <c r="S27">
        <v>1.9999999999999999E-6</v>
      </c>
      <c r="T27">
        <v>9.9999999999999995E-7</v>
      </c>
      <c r="U27">
        <v>9.9999999999999995E-7</v>
      </c>
      <c r="V27">
        <v>0</v>
      </c>
      <c r="W27">
        <v>1.1400000000000001E-4</v>
      </c>
      <c r="X27">
        <v>0</v>
      </c>
      <c r="Y27">
        <v>0</v>
      </c>
      <c r="Z27">
        <v>9.9999999999999995E-7</v>
      </c>
      <c r="AA27">
        <v>1</v>
      </c>
      <c r="AB27">
        <v>3.0000000000000001E-6</v>
      </c>
      <c r="AC27">
        <v>3.0000000000000001E-6</v>
      </c>
      <c r="AD27">
        <v>1.9999999999999999E-6</v>
      </c>
      <c r="AE27">
        <v>0</v>
      </c>
      <c r="AF27">
        <v>0</v>
      </c>
      <c r="AG27">
        <v>0</v>
      </c>
      <c r="AH27">
        <v>1.9999999999999999E-6</v>
      </c>
      <c r="AI27">
        <v>9.9999999999999995E-7</v>
      </c>
      <c r="AJ27">
        <v>9.9999999999999995E-7</v>
      </c>
      <c r="AK27">
        <v>0</v>
      </c>
      <c r="AL27">
        <v>1.9999999999999999E-6</v>
      </c>
      <c r="AM27">
        <v>9.9999999999999995E-7</v>
      </c>
      <c r="AN27">
        <v>9.9999999999999995E-7</v>
      </c>
      <c r="AO27">
        <v>9.9999999999999995E-7</v>
      </c>
      <c r="AP27">
        <v>9.9999999999999995E-7</v>
      </c>
      <c r="AQ27">
        <v>0</v>
      </c>
      <c r="AR27">
        <v>0</v>
      </c>
      <c r="AS27">
        <v>0</v>
      </c>
      <c r="AT27">
        <v>0</v>
      </c>
      <c r="AU27">
        <v>0</v>
      </c>
      <c r="AV27">
        <v>0</v>
      </c>
      <c r="AW27">
        <v>0</v>
      </c>
      <c r="AX27">
        <v>0</v>
      </c>
      <c r="AY27">
        <v>9.9999999999999995E-7</v>
      </c>
      <c r="AZ27">
        <v>0</v>
      </c>
      <c r="BA27">
        <v>0</v>
      </c>
      <c r="BB27">
        <v>0</v>
      </c>
      <c r="BC27">
        <v>9.9999999999999995E-7</v>
      </c>
    </row>
    <row r="28" spans="1:55">
      <c r="A28" t="s">
        <v>28</v>
      </c>
      <c r="B28">
        <v>1.2300000000000001E-4</v>
      </c>
      <c r="C28">
        <v>1.83E-4</v>
      </c>
      <c r="D28">
        <v>1.407E-3</v>
      </c>
      <c r="E28">
        <v>5.6099999999999998E-4</v>
      </c>
      <c r="F28">
        <v>9.8999999999999994E-5</v>
      </c>
      <c r="G28">
        <v>5.13E-4</v>
      </c>
      <c r="H28">
        <v>8.2000000000000001E-5</v>
      </c>
      <c r="I28">
        <v>1.7899999999999999E-4</v>
      </c>
      <c r="J28">
        <v>2.6400000000000002E-4</v>
      </c>
      <c r="K28">
        <v>9.6000000000000002E-5</v>
      </c>
      <c r="L28">
        <v>5.0299999999999997E-4</v>
      </c>
      <c r="M28">
        <v>0</v>
      </c>
      <c r="N28">
        <v>4.35E-4</v>
      </c>
      <c r="O28">
        <v>7.7000000000000001E-5</v>
      </c>
      <c r="P28">
        <v>2.5500000000000002E-4</v>
      </c>
      <c r="Q28">
        <v>1.5999999999999999E-5</v>
      </c>
      <c r="R28">
        <v>4.3600000000000003E-4</v>
      </c>
      <c r="S28">
        <v>3.57E-4</v>
      </c>
      <c r="T28">
        <v>2.52E-4</v>
      </c>
      <c r="U28">
        <v>4.57E-4</v>
      </c>
      <c r="V28">
        <v>2.0699999999999999E-4</v>
      </c>
      <c r="W28">
        <v>6.5700000000000003E-4</v>
      </c>
      <c r="X28">
        <v>3.3799999999999998E-4</v>
      </c>
      <c r="Y28">
        <v>2.8600000000000001E-4</v>
      </c>
      <c r="Z28">
        <v>4.08E-4</v>
      </c>
      <c r="AA28">
        <v>1.54E-4</v>
      </c>
      <c r="AB28">
        <v>1.016392</v>
      </c>
      <c r="AC28">
        <v>3.5100000000000002E-4</v>
      </c>
      <c r="AD28">
        <v>4.9299999999999995E-4</v>
      </c>
      <c r="AE28">
        <v>1.9799999999999999E-4</v>
      </c>
      <c r="AF28">
        <v>1.6799999999999999E-4</v>
      </c>
      <c r="AG28">
        <v>3.2600000000000001E-4</v>
      </c>
      <c r="AH28">
        <v>4.3899999999999999E-4</v>
      </c>
      <c r="AI28">
        <v>8.9300000000000002E-4</v>
      </c>
      <c r="AJ28">
        <v>4.2099999999999999E-4</v>
      </c>
      <c r="AK28">
        <v>2.6699999999999998E-4</v>
      </c>
      <c r="AL28">
        <v>2.5799999999999998E-3</v>
      </c>
      <c r="AM28">
        <v>4.8099999999999998E-4</v>
      </c>
      <c r="AN28">
        <v>1.928E-3</v>
      </c>
      <c r="AO28">
        <v>3.153E-3</v>
      </c>
      <c r="AP28">
        <v>6.4499999999999996E-4</v>
      </c>
      <c r="AQ28">
        <v>1.6799999999999999E-4</v>
      </c>
      <c r="AR28">
        <v>3.1300000000000002E-4</v>
      </c>
      <c r="AS28">
        <v>1.44E-4</v>
      </c>
      <c r="AT28">
        <v>2.1499999999999999E-4</v>
      </c>
      <c r="AU28">
        <v>1.95E-4</v>
      </c>
      <c r="AV28">
        <v>2.8499999999999999E-4</v>
      </c>
      <c r="AW28">
        <v>1.6200000000000001E-4</v>
      </c>
      <c r="AX28">
        <v>1.66E-4</v>
      </c>
      <c r="AY28">
        <v>8.25E-4</v>
      </c>
      <c r="AZ28">
        <v>4.08E-4</v>
      </c>
      <c r="BA28">
        <v>2.13E-4</v>
      </c>
      <c r="BB28">
        <v>2.5599999999999999E-4</v>
      </c>
      <c r="BC28">
        <v>1.7000000000000001E-4</v>
      </c>
    </row>
    <row r="29" spans="1:55">
      <c r="A29" t="s">
        <v>29</v>
      </c>
      <c r="B29">
        <v>9.0000000000000002E-6</v>
      </c>
      <c r="C29">
        <v>1.1E-5</v>
      </c>
      <c r="D29">
        <v>1.1E-5</v>
      </c>
      <c r="E29">
        <v>1.1E-5</v>
      </c>
      <c r="F29">
        <v>1.5E-5</v>
      </c>
      <c r="G29">
        <v>3.1999999999999999E-5</v>
      </c>
      <c r="H29">
        <v>2.0000000000000002E-5</v>
      </c>
      <c r="I29">
        <v>9.0000000000000002E-6</v>
      </c>
      <c r="J29">
        <v>5.0000000000000004E-6</v>
      </c>
      <c r="K29">
        <v>6.0000000000000002E-6</v>
      </c>
      <c r="L29">
        <v>1.8E-5</v>
      </c>
      <c r="M29">
        <v>0</v>
      </c>
      <c r="N29">
        <v>1.9000000000000001E-5</v>
      </c>
      <c r="O29">
        <v>1.9999999999999999E-6</v>
      </c>
      <c r="P29">
        <v>7.7000000000000001E-5</v>
      </c>
      <c r="Q29">
        <v>0</v>
      </c>
      <c r="R29">
        <v>6.7000000000000002E-5</v>
      </c>
      <c r="S29">
        <v>2.43E-4</v>
      </c>
      <c r="T29">
        <v>4.6E-5</v>
      </c>
      <c r="U29">
        <v>1.84E-4</v>
      </c>
      <c r="V29">
        <v>1.2999999999999999E-5</v>
      </c>
      <c r="W29">
        <v>2.0999999999999999E-5</v>
      </c>
      <c r="X29">
        <v>1.4E-5</v>
      </c>
      <c r="Y29">
        <v>1.2999999999999999E-5</v>
      </c>
      <c r="Z29">
        <v>1.0000000000000001E-5</v>
      </c>
      <c r="AA29">
        <v>6.9999999999999999E-6</v>
      </c>
      <c r="AB29">
        <v>2.1999999999999999E-5</v>
      </c>
      <c r="AC29">
        <v>1.0015890000000001</v>
      </c>
      <c r="AD29">
        <v>3.7800000000000003E-4</v>
      </c>
      <c r="AE29">
        <v>1.1E-5</v>
      </c>
      <c r="AF29">
        <v>5.0000000000000004E-6</v>
      </c>
      <c r="AG29">
        <v>2.6999999999999999E-5</v>
      </c>
      <c r="AH29">
        <v>1.5200000000000001E-4</v>
      </c>
      <c r="AI29">
        <v>1.2999999999999999E-5</v>
      </c>
      <c r="AJ29">
        <v>1.7E-5</v>
      </c>
      <c r="AK29">
        <v>2.5000000000000001E-5</v>
      </c>
      <c r="AL29">
        <v>9.0000000000000002E-6</v>
      </c>
      <c r="AM29">
        <v>5.1E-5</v>
      </c>
      <c r="AN29">
        <v>2.6999999999999999E-5</v>
      </c>
      <c r="AO29">
        <v>2.6999999999999999E-5</v>
      </c>
      <c r="AP29">
        <v>3.1999999999999999E-5</v>
      </c>
      <c r="AQ29">
        <v>2.3000000000000001E-4</v>
      </c>
      <c r="AR29">
        <v>3.6000000000000001E-5</v>
      </c>
      <c r="AS29">
        <v>1.2999999999999999E-5</v>
      </c>
      <c r="AT29">
        <v>1.7000000000000001E-4</v>
      </c>
      <c r="AU29">
        <v>1E-4</v>
      </c>
      <c r="AV29">
        <v>9.3999999999999994E-5</v>
      </c>
      <c r="AW29">
        <v>1.6699999999999999E-4</v>
      </c>
      <c r="AX29">
        <v>2.3E-5</v>
      </c>
      <c r="AY29">
        <v>1.44E-4</v>
      </c>
      <c r="AZ29">
        <v>2.0000000000000002E-5</v>
      </c>
      <c r="BA29">
        <v>1.94E-4</v>
      </c>
      <c r="BB29">
        <v>1.5300000000000001E-4</v>
      </c>
      <c r="BC29">
        <v>3.5100000000000002E-4</v>
      </c>
    </row>
    <row r="30" spans="1:55">
      <c r="A30" t="s">
        <v>30</v>
      </c>
      <c r="B30">
        <v>1.4899999999999999E-4</v>
      </c>
      <c r="C30">
        <v>6.1799999999999995E-4</v>
      </c>
      <c r="D30">
        <v>1.1410000000000001E-3</v>
      </c>
      <c r="E30">
        <v>6.7369999999999999E-3</v>
      </c>
      <c r="F30">
        <v>2.1000000000000001E-4</v>
      </c>
      <c r="G30">
        <v>1.8519999999999999E-3</v>
      </c>
      <c r="H30">
        <v>3.6000000000000002E-4</v>
      </c>
      <c r="I30">
        <v>1.7799999999999999E-4</v>
      </c>
      <c r="J30">
        <v>9.1299999999999997E-4</v>
      </c>
      <c r="K30">
        <v>2.3900000000000001E-4</v>
      </c>
      <c r="L30">
        <v>4.5199999999999998E-4</v>
      </c>
      <c r="M30">
        <v>0</v>
      </c>
      <c r="N30">
        <v>1.85E-4</v>
      </c>
      <c r="O30">
        <v>1.0900000000000001E-4</v>
      </c>
      <c r="P30">
        <v>1.2650000000000001E-3</v>
      </c>
      <c r="Q30">
        <v>2.0999999999999999E-5</v>
      </c>
      <c r="R30">
        <v>8.5599999999999999E-4</v>
      </c>
      <c r="S30">
        <v>4.6999999999999999E-4</v>
      </c>
      <c r="T30">
        <v>2.7599999999999999E-4</v>
      </c>
      <c r="U30">
        <v>3.4200000000000002E-4</v>
      </c>
      <c r="V30">
        <v>5.4699999999999996E-4</v>
      </c>
      <c r="W30">
        <v>5.6599999999999999E-4</v>
      </c>
      <c r="X30">
        <v>2.7799999999999998E-4</v>
      </c>
      <c r="Y30">
        <v>3.7599999999999998E-4</v>
      </c>
      <c r="Z30">
        <v>4.8700000000000002E-4</v>
      </c>
      <c r="AA30">
        <v>1.01E-4</v>
      </c>
      <c r="AB30">
        <v>3.01E-4</v>
      </c>
      <c r="AC30">
        <v>5.9500000000000004E-4</v>
      </c>
      <c r="AD30">
        <v>1.0052369999999999</v>
      </c>
      <c r="AE30">
        <v>3.2200000000000002E-4</v>
      </c>
      <c r="AF30">
        <v>5.1800000000000001E-4</v>
      </c>
      <c r="AG30">
        <v>4.8500000000000003E-4</v>
      </c>
      <c r="AH30">
        <v>2.7599999999999999E-4</v>
      </c>
      <c r="AI30">
        <v>4.44E-4</v>
      </c>
      <c r="AJ30">
        <v>8.1899999999999996E-4</v>
      </c>
      <c r="AK30">
        <v>6.1850000000000004E-3</v>
      </c>
      <c r="AL30">
        <v>1.56E-4</v>
      </c>
      <c r="AM30">
        <v>3.2759999999999998E-3</v>
      </c>
      <c r="AN30">
        <v>5.6490000000000004E-3</v>
      </c>
      <c r="AO30">
        <v>1.5299999999999999E-3</v>
      </c>
      <c r="AP30">
        <v>4.6799999999999999E-4</v>
      </c>
      <c r="AQ30">
        <v>5.1099999999999995E-4</v>
      </c>
      <c r="AR30">
        <v>5.9500000000000004E-4</v>
      </c>
      <c r="AS30">
        <v>1.0510000000000001E-3</v>
      </c>
      <c r="AT30">
        <v>8.3500000000000002E-4</v>
      </c>
      <c r="AU30">
        <v>9.6400000000000001E-4</v>
      </c>
      <c r="AV30">
        <v>5.1999999999999995E-4</v>
      </c>
      <c r="AW30">
        <v>2.7500000000000002E-4</v>
      </c>
      <c r="AX30">
        <v>3.2000000000000003E-4</v>
      </c>
      <c r="AY30">
        <v>1.9849999999999998E-3</v>
      </c>
      <c r="AZ30">
        <v>1.3060000000000001E-3</v>
      </c>
      <c r="BA30">
        <v>1.915E-3</v>
      </c>
      <c r="BB30">
        <v>6.4770000000000001E-3</v>
      </c>
      <c r="BC30">
        <v>4.5230000000000001E-3</v>
      </c>
    </row>
    <row r="31" spans="1:55">
      <c r="A31" t="s">
        <v>31</v>
      </c>
      <c r="B31">
        <v>6.38E-4</v>
      </c>
      <c r="C31">
        <v>1.3990000000000001E-3</v>
      </c>
      <c r="D31">
        <v>9.6069999999999992E-3</v>
      </c>
      <c r="E31">
        <v>1.1512E-2</v>
      </c>
      <c r="F31">
        <v>8.7100000000000003E-4</v>
      </c>
      <c r="G31">
        <v>2.4030000000000002E-3</v>
      </c>
      <c r="H31">
        <v>1.418E-3</v>
      </c>
      <c r="I31">
        <v>1.2229999999999999E-3</v>
      </c>
      <c r="J31">
        <v>1.1119999999999999E-3</v>
      </c>
      <c r="K31">
        <v>1.173E-3</v>
      </c>
      <c r="L31">
        <v>2.1359999999999999E-3</v>
      </c>
      <c r="M31">
        <v>0</v>
      </c>
      <c r="N31">
        <v>6.8599999999999998E-4</v>
      </c>
      <c r="O31">
        <v>7.6499999999999995E-4</v>
      </c>
      <c r="P31">
        <v>3.8630000000000001E-3</v>
      </c>
      <c r="Q31">
        <v>1.4799999999999999E-4</v>
      </c>
      <c r="R31">
        <v>1.3514999999999999E-2</v>
      </c>
      <c r="S31">
        <v>1.1469999999999999E-2</v>
      </c>
      <c r="T31">
        <v>3.9350000000000001E-3</v>
      </c>
      <c r="U31">
        <v>1.3424999999999999E-2</v>
      </c>
      <c r="V31">
        <v>3.372E-3</v>
      </c>
      <c r="W31">
        <v>7.7999999999999996E-3</v>
      </c>
      <c r="X31">
        <v>6.8599999999999998E-3</v>
      </c>
      <c r="Y31">
        <v>6.8009999999999998E-3</v>
      </c>
      <c r="Z31">
        <v>8.3730000000000002E-3</v>
      </c>
      <c r="AA31">
        <v>2.2780000000000001E-3</v>
      </c>
      <c r="AB31">
        <v>5.3880000000000004E-3</v>
      </c>
      <c r="AC31">
        <v>6.9249999999999997E-3</v>
      </c>
      <c r="AD31">
        <v>1.2873000000000001E-2</v>
      </c>
      <c r="AE31">
        <v>1.2089399999999999</v>
      </c>
      <c r="AF31">
        <v>6.8900000000000005E-4</v>
      </c>
      <c r="AG31">
        <v>3.7834E-2</v>
      </c>
      <c r="AH31">
        <v>2.3180000000000002E-3</v>
      </c>
      <c r="AI31">
        <v>8.1589999999999996E-3</v>
      </c>
      <c r="AJ31">
        <v>5.411E-3</v>
      </c>
      <c r="AK31">
        <v>5.6779999999999997E-2</v>
      </c>
      <c r="AL31">
        <v>1.864E-3</v>
      </c>
      <c r="AM31">
        <v>3.493E-3</v>
      </c>
      <c r="AN31">
        <v>9.5680000000000001E-3</v>
      </c>
      <c r="AO31">
        <v>2.0929999999999998E-3</v>
      </c>
      <c r="AP31">
        <v>9.7529999999999995E-3</v>
      </c>
      <c r="AQ31">
        <v>6.2249999999999996E-3</v>
      </c>
      <c r="AR31">
        <v>3.1589999999999999E-3</v>
      </c>
      <c r="AS31">
        <v>6.7710000000000001E-3</v>
      </c>
      <c r="AT31">
        <v>2.3519999999999999E-3</v>
      </c>
      <c r="AU31">
        <v>4.1920000000000004E-3</v>
      </c>
      <c r="AV31">
        <v>3.9610000000000001E-3</v>
      </c>
      <c r="AW31">
        <v>3.8300000000000001E-3</v>
      </c>
      <c r="AX31">
        <v>1.838E-3</v>
      </c>
      <c r="AY31">
        <v>6.0610000000000004E-3</v>
      </c>
      <c r="AZ31">
        <v>1.2423999999999999E-2</v>
      </c>
      <c r="BA31">
        <v>7.0920000000000002E-3</v>
      </c>
      <c r="BB31">
        <v>9.6360000000000005E-3</v>
      </c>
      <c r="BC31">
        <v>1.1748E-2</v>
      </c>
    </row>
    <row r="32" spans="1:55">
      <c r="A32" t="s">
        <v>32</v>
      </c>
      <c r="B32">
        <v>3.8999999999999999E-5</v>
      </c>
      <c r="C32">
        <v>5.5000000000000002E-5</v>
      </c>
      <c r="D32">
        <v>2.4499999999999999E-4</v>
      </c>
      <c r="E32">
        <v>5.1E-5</v>
      </c>
      <c r="F32">
        <v>4.6E-5</v>
      </c>
      <c r="G32">
        <v>5.0000000000000002E-5</v>
      </c>
      <c r="H32">
        <v>5.3999999999999998E-5</v>
      </c>
      <c r="I32">
        <v>1.0000000000000001E-5</v>
      </c>
      <c r="J32">
        <v>9.3199999999999999E-4</v>
      </c>
      <c r="K32">
        <v>7.9999999999999996E-6</v>
      </c>
      <c r="L32">
        <v>3.6999999999999998E-5</v>
      </c>
      <c r="M32">
        <v>0</v>
      </c>
      <c r="N32">
        <v>5.1E-5</v>
      </c>
      <c r="O32">
        <v>3.0000000000000001E-6</v>
      </c>
      <c r="P32">
        <v>2.1900000000000001E-4</v>
      </c>
      <c r="Q32">
        <v>1.9999999999999999E-6</v>
      </c>
      <c r="R32">
        <v>1.305E-3</v>
      </c>
      <c r="S32">
        <v>8.8599999999999996E-4</v>
      </c>
      <c r="T32">
        <v>5.0299999999999997E-4</v>
      </c>
      <c r="U32">
        <v>7.4600000000000003E-4</v>
      </c>
      <c r="V32">
        <v>5.2700000000000002E-4</v>
      </c>
      <c r="W32">
        <v>7.8600000000000002E-4</v>
      </c>
      <c r="X32">
        <v>1.4649999999999999E-3</v>
      </c>
      <c r="Y32">
        <v>1.3110000000000001E-3</v>
      </c>
      <c r="Z32">
        <v>1.14E-3</v>
      </c>
      <c r="AA32">
        <v>4.2900000000000002E-4</v>
      </c>
      <c r="AB32">
        <v>5.1900000000000004E-4</v>
      </c>
      <c r="AC32">
        <v>1.1900000000000001E-3</v>
      </c>
      <c r="AD32">
        <v>1.2880000000000001E-3</v>
      </c>
      <c r="AE32">
        <v>7.4999999999999993E-5</v>
      </c>
      <c r="AF32">
        <v>1.0001979999999999</v>
      </c>
      <c r="AG32">
        <v>1.22E-4</v>
      </c>
      <c r="AH32">
        <v>1.75E-4</v>
      </c>
      <c r="AI32">
        <v>3.4999999999999997E-5</v>
      </c>
      <c r="AJ32">
        <v>4.8000000000000001E-5</v>
      </c>
      <c r="AK32">
        <v>6.7000000000000002E-5</v>
      </c>
      <c r="AL32">
        <v>3.7500000000000001E-4</v>
      </c>
      <c r="AM32">
        <v>5.0000000000000002E-5</v>
      </c>
      <c r="AN32">
        <v>4.0000000000000003E-5</v>
      </c>
      <c r="AO32">
        <v>3.8999999999999999E-5</v>
      </c>
      <c r="AP32">
        <v>3.6000000000000001E-5</v>
      </c>
      <c r="AQ32">
        <v>3.6499999999999998E-4</v>
      </c>
      <c r="AR32">
        <v>1.73E-4</v>
      </c>
      <c r="AS32">
        <v>3.4999999999999997E-5</v>
      </c>
      <c r="AT32">
        <v>1.5E-5</v>
      </c>
      <c r="AU32">
        <v>3.8000000000000002E-5</v>
      </c>
      <c r="AV32">
        <v>2.1999999999999999E-5</v>
      </c>
      <c r="AW32">
        <v>4.8000000000000001E-5</v>
      </c>
      <c r="AX32">
        <v>2.6999999999999999E-5</v>
      </c>
      <c r="AY32">
        <v>5.1E-5</v>
      </c>
      <c r="AZ32">
        <v>6.7999999999999999E-5</v>
      </c>
      <c r="BA32">
        <v>1.2300000000000001E-4</v>
      </c>
      <c r="BB32">
        <v>1.5699999999999999E-4</v>
      </c>
      <c r="BC32">
        <v>8.0000000000000007E-5</v>
      </c>
    </row>
    <row r="33" spans="1:55">
      <c r="A33" t="s">
        <v>33</v>
      </c>
      <c r="B33">
        <v>7.3999999999999996E-5</v>
      </c>
      <c r="C33">
        <v>7.5900000000000002E-4</v>
      </c>
      <c r="D33">
        <v>1.124E-3</v>
      </c>
      <c r="E33">
        <v>7.8999999999999996E-5</v>
      </c>
      <c r="F33">
        <v>1.1400000000000001E-4</v>
      </c>
      <c r="G33">
        <v>1.8599999999999999E-4</v>
      </c>
      <c r="H33">
        <v>2.24E-4</v>
      </c>
      <c r="I33">
        <v>2.8E-5</v>
      </c>
      <c r="J33">
        <v>9.7E-5</v>
      </c>
      <c r="K33">
        <v>2.3900000000000001E-4</v>
      </c>
      <c r="L33">
        <v>1.9000000000000001E-4</v>
      </c>
      <c r="M33">
        <v>0</v>
      </c>
      <c r="N33">
        <v>8.5000000000000006E-5</v>
      </c>
      <c r="O33">
        <v>6.2000000000000003E-5</v>
      </c>
      <c r="P33">
        <v>3.1500000000000001E-4</v>
      </c>
      <c r="Q33">
        <v>1.9000000000000001E-5</v>
      </c>
      <c r="R33">
        <v>1.387E-3</v>
      </c>
      <c r="S33">
        <v>6.4300000000000002E-4</v>
      </c>
      <c r="T33">
        <v>2.7099999999999997E-4</v>
      </c>
      <c r="U33">
        <v>1.32E-3</v>
      </c>
      <c r="V33">
        <v>4.9600000000000002E-4</v>
      </c>
      <c r="W33">
        <v>7.8799999999999996E-4</v>
      </c>
      <c r="X33">
        <v>9.6500000000000004E-4</v>
      </c>
      <c r="Y33">
        <v>1.1311E-2</v>
      </c>
      <c r="Z33">
        <v>4.3199999999999998E-4</v>
      </c>
      <c r="AA33">
        <v>1.5100000000000001E-4</v>
      </c>
      <c r="AB33">
        <v>7.6599999999999997E-4</v>
      </c>
      <c r="AC33">
        <v>5.6099999999999998E-4</v>
      </c>
      <c r="AD33">
        <v>5.9000000000000003E-4</v>
      </c>
      <c r="AE33">
        <v>2.12E-4</v>
      </c>
      <c r="AF33">
        <v>7.4999999999999993E-5</v>
      </c>
      <c r="AG33">
        <v>1.03051</v>
      </c>
      <c r="AH33">
        <v>2.43E-4</v>
      </c>
      <c r="AI33">
        <v>9.77E-4</v>
      </c>
      <c r="AJ33">
        <v>7.1699999999999997E-4</v>
      </c>
      <c r="AK33">
        <v>2.5300000000000002E-4</v>
      </c>
      <c r="AL33">
        <v>1.3100000000000001E-4</v>
      </c>
      <c r="AM33">
        <v>1.173E-3</v>
      </c>
      <c r="AN33">
        <v>6.0499999999999996E-4</v>
      </c>
      <c r="AO33">
        <v>1.9900000000000001E-4</v>
      </c>
      <c r="AP33">
        <v>7.1699999999999997E-4</v>
      </c>
      <c r="AQ33">
        <v>8.9700000000000001E-4</v>
      </c>
      <c r="AR33">
        <v>2.6200000000000003E-4</v>
      </c>
      <c r="AS33">
        <v>1.94E-4</v>
      </c>
      <c r="AT33">
        <v>7.6000000000000004E-5</v>
      </c>
      <c r="AU33">
        <v>1.1900000000000001E-4</v>
      </c>
      <c r="AV33">
        <v>1.56E-4</v>
      </c>
      <c r="AW33">
        <v>1.35E-4</v>
      </c>
      <c r="AX33">
        <v>1.12E-4</v>
      </c>
      <c r="AY33">
        <v>6.9200000000000002E-4</v>
      </c>
      <c r="AZ33">
        <v>4.7899999999999999E-4</v>
      </c>
      <c r="BA33">
        <v>6.1700000000000004E-4</v>
      </c>
      <c r="BB33">
        <v>3.1740000000000002E-3</v>
      </c>
      <c r="BC33">
        <v>1.7099999999999999E-3</v>
      </c>
    </row>
    <row r="34" spans="1:55">
      <c r="A34" t="s">
        <v>34</v>
      </c>
      <c r="B34">
        <v>3.7137000000000003E-2</v>
      </c>
      <c r="C34">
        <v>2.6036E-2</v>
      </c>
      <c r="D34">
        <v>4.8469999999999997E-3</v>
      </c>
      <c r="E34">
        <v>4.0639999999999999E-3</v>
      </c>
      <c r="F34">
        <v>1.5474999999999999E-2</v>
      </c>
      <c r="G34">
        <v>1.9654999999999999E-2</v>
      </c>
      <c r="H34">
        <v>5.0720000000000001E-3</v>
      </c>
      <c r="I34">
        <v>4.7987000000000002E-2</v>
      </c>
      <c r="J34">
        <v>5.8009999999999997E-3</v>
      </c>
      <c r="K34">
        <v>2.4771000000000001E-2</v>
      </c>
      <c r="L34">
        <v>6.1661000000000001E-2</v>
      </c>
      <c r="M34">
        <v>0</v>
      </c>
      <c r="N34">
        <v>7.3190000000000005E-2</v>
      </c>
      <c r="O34">
        <v>6.9109999999999996E-3</v>
      </c>
      <c r="P34">
        <v>9.3939999999999996E-3</v>
      </c>
      <c r="Q34">
        <v>8.8099999999999995E-4</v>
      </c>
      <c r="R34">
        <v>8.9750000000000003E-3</v>
      </c>
      <c r="S34">
        <v>8.567E-3</v>
      </c>
      <c r="T34">
        <v>1.5474E-2</v>
      </c>
      <c r="U34">
        <v>1.1806000000000001E-2</v>
      </c>
      <c r="V34">
        <v>1.0147E-2</v>
      </c>
      <c r="W34">
        <v>6.5259999999999997E-3</v>
      </c>
      <c r="X34">
        <v>4.4742999999999998E-2</v>
      </c>
      <c r="Y34">
        <v>1.1743E-2</v>
      </c>
      <c r="Z34">
        <v>7.1840000000000003E-3</v>
      </c>
      <c r="AA34">
        <v>3.7550000000000001E-3</v>
      </c>
      <c r="AB34">
        <v>9.7280000000000005E-3</v>
      </c>
      <c r="AC34">
        <v>8.1510000000000003E-3</v>
      </c>
      <c r="AD34">
        <v>7.5459999999999998E-3</v>
      </c>
      <c r="AE34">
        <v>2.9453E-2</v>
      </c>
      <c r="AF34">
        <v>1.7197E-2</v>
      </c>
      <c r="AG34">
        <v>3.7837999999999997E-2</v>
      </c>
      <c r="AH34">
        <v>1.014208</v>
      </c>
      <c r="AI34">
        <v>1.9148999999999999E-2</v>
      </c>
      <c r="AJ34">
        <v>3.6244999999999999E-2</v>
      </c>
      <c r="AK34">
        <v>9.2194999999999999E-2</v>
      </c>
      <c r="AL34">
        <v>5.7109999999999999E-3</v>
      </c>
      <c r="AM34">
        <v>4.4454E-2</v>
      </c>
      <c r="AN34">
        <v>2.9805999999999999E-2</v>
      </c>
      <c r="AO34">
        <v>1.008E-2</v>
      </c>
      <c r="AP34">
        <v>0.103106</v>
      </c>
      <c r="AQ34">
        <v>1.2137999999999999E-2</v>
      </c>
      <c r="AR34">
        <v>8.1890000000000001E-3</v>
      </c>
      <c r="AS34">
        <v>2.6103999999999999E-2</v>
      </c>
      <c r="AT34">
        <v>1.4171E-2</v>
      </c>
      <c r="AU34">
        <v>1.1743E-2</v>
      </c>
      <c r="AV34">
        <v>7.5950000000000002E-3</v>
      </c>
      <c r="AW34">
        <v>1.0702E-2</v>
      </c>
      <c r="AX34">
        <v>8.6656999999999998E-2</v>
      </c>
      <c r="AY34">
        <v>1.332E-2</v>
      </c>
      <c r="AZ34">
        <v>6.5963999999999995E-2</v>
      </c>
      <c r="BA34">
        <v>1.2954E-2</v>
      </c>
      <c r="BB34">
        <v>9.0900000000000009E-3</v>
      </c>
      <c r="BC34">
        <v>1.1265000000000001E-2</v>
      </c>
    </row>
    <row r="35" spans="1:55">
      <c r="A35" t="s">
        <v>35</v>
      </c>
      <c r="B35">
        <v>8.5679999999999992E-3</v>
      </c>
      <c r="C35">
        <v>4.8320000000000004E-3</v>
      </c>
      <c r="D35">
        <v>2.4750000000000002E-3</v>
      </c>
      <c r="E35">
        <v>1.9870000000000001E-3</v>
      </c>
      <c r="F35">
        <v>2.6979999999999999E-3</v>
      </c>
      <c r="G35">
        <v>7.123E-3</v>
      </c>
      <c r="H35">
        <v>5.7749999999999998E-3</v>
      </c>
      <c r="I35">
        <v>6.6429999999999996E-3</v>
      </c>
      <c r="J35">
        <v>2.2369999999999998E-3</v>
      </c>
      <c r="K35">
        <v>1.539E-3</v>
      </c>
      <c r="L35">
        <v>1.2194E-2</v>
      </c>
      <c r="M35">
        <v>0</v>
      </c>
      <c r="N35">
        <v>1.4657E-2</v>
      </c>
      <c r="O35">
        <v>7.1900000000000002E-4</v>
      </c>
      <c r="P35">
        <v>1.0633E-2</v>
      </c>
      <c r="Q35">
        <v>2.8660000000000001E-3</v>
      </c>
      <c r="R35">
        <v>1.3372999999999999E-2</v>
      </c>
      <c r="S35">
        <v>1.1358999999999999E-2</v>
      </c>
      <c r="T35">
        <v>1.3367E-2</v>
      </c>
      <c r="U35">
        <v>1.7023E-2</v>
      </c>
      <c r="V35">
        <v>6.8339999999999998E-3</v>
      </c>
      <c r="W35">
        <v>1.0120000000000001E-2</v>
      </c>
      <c r="X35">
        <v>9.6150000000000003E-3</v>
      </c>
      <c r="Y35">
        <v>8.0829999999999999E-3</v>
      </c>
      <c r="Z35">
        <v>1.2765E-2</v>
      </c>
      <c r="AA35">
        <v>1.1900000000000001E-2</v>
      </c>
      <c r="AB35">
        <v>2.7147000000000001E-2</v>
      </c>
      <c r="AC35">
        <v>1.3154000000000001E-2</v>
      </c>
      <c r="AD35">
        <v>1.2512000000000001E-2</v>
      </c>
      <c r="AE35">
        <v>6.6299999999999996E-3</v>
      </c>
      <c r="AF35">
        <v>2.294E-3</v>
      </c>
      <c r="AG35">
        <v>6.685E-3</v>
      </c>
      <c r="AH35">
        <v>1.6587999999999999E-2</v>
      </c>
      <c r="AI35">
        <v>1.0109300000000001</v>
      </c>
      <c r="AJ35">
        <v>9.4050000000000002E-3</v>
      </c>
      <c r="AK35">
        <v>1.21E-2</v>
      </c>
      <c r="AL35">
        <v>3.4204999999999999E-2</v>
      </c>
      <c r="AM35">
        <v>1.6312E-2</v>
      </c>
      <c r="AN35">
        <v>1.4093E-2</v>
      </c>
      <c r="AO35">
        <v>1.2215999999999999E-2</v>
      </c>
      <c r="AP35">
        <v>1.6E-2</v>
      </c>
      <c r="AQ35">
        <v>7.4879999999999999E-3</v>
      </c>
      <c r="AR35">
        <v>1.1731E-2</v>
      </c>
      <c r="AS35">
        <v>5.2189999999999997E-3</v>
      </c>
      <c r="AT35">
        <v>4.7829999999999999E-3</v>
      </c>
      <c r="AU35">
        <v>8.267E-3</v>
      </c>
      <c r="AV35">
        <v>2.849E-3</v>
      </c>
      <c r="AW35">
        <v>3.2000000000000002E-3</v>
      </c>
      <c r="AX35">
        <v>2.8080000000000002E-3</v>
      </c>
      <c r="AY35">
        <v>1.8485000000000001E-2</v>
      </c>
      <c r="AZ35">
        <v>9.9179999999999997E-3</v>
      </c>
      <c r="BA35">
        <v>7.7609999999999997E-3</v>
      </c>
      <c r="BB35">
        <v>1.0754E-2</v>
      </c>
      <c r="BC35">
        <v>7.6959999999999997E-3</v>
      </c>
    </row>
    <row r="36" spans="1:55">
      <c r="A36" t="s">
        <v>36</v>
      </c>
      <c r="B36">
        <v>2.0822E-2</v>
      </c>
      <c r="C36">
        <v>2.9732999999999999E-2</v>
      </c>
      <c r="D36">
        <v>3.4734000000000001E-2</v>
      </c>
      <c r="E36">
        <v>2.0944999999999998E-2</v>
      </c>
      <c r="F36">
        <v>3.1203999999999999E-2</v>
      </c>
      <c r="G36">
        <v>4.0710999999999997E-2</v>
      </c>
      <c r="H36">
        <v>4.0538999999999999E-2</v>
      </c>
      <c r="I36">
        <v>1.2161999999999999E-2</v>
      </c>
      <c r="J36">
        <v>1.3657000000000001E-2</v>
      </c>
      <c r="K36">
        <v>6.8129999999999996E-3</v>
      </c>
      <c r="L36">
        <v>4.6538000000000003E-2</v>
      </c>
      <c r="M36">
        <v>0</v>
      </c>
      <c r="N36">
        <v>2.9843999999999999E-2</v>
      </c>
      <c r="O36">
        <v>3.699E-3</v>
      </c>
      <c r="P36">
        <v>7.2080000000000005E-2</v>
      </c>
      <c r="Q36">
        <v>2.2134999999999998E-2</v>
      </c>
      <c r="R36">
        <v>9.4547999999999993E-2</v>
      </c>
      <c r="S36">
        <v>7.7990000000000004E-2</v>
      </c>
      <c r="T36">
        <v>8.6054000000000005E-2</v>
      </c>
      <c r="U36">
        <v>0.11433699999999999</v>
      </c>
      <c r="V36">
        <v>4.5598E-2</v>
      </c>
      <c r="W36">
        <v>7.7149999999999996E-2</v>
      </c>
      <c r="X36">
        <v>5.0684E-2</v>
      </c>
      <c r="Y36">
        <v>5.3018999999999997E-2</v>
      </c>
      <c r="Z36">
        <v>9.2022999999999994E-2</v>
      </c>
      <c r="AA36">
        <v>8.7606000000000003E-2</v>
      </c>
      <c r="AB36">
        <v>0.19459399999999999</v>
      </c>
      <c r="AC36">
        <v>8.5365999999999997E-2</v>
      </c>
      <c r="AD36">
        <v>8.7744000000000003E-2</v>
      </c>
      <c r="AE36">
        <v>2.4749E-2</v>
      </c>
      <c r="AF36">
        <v>1.0527999999999999E-2</v>
      </c>
      <c r="AG36">
        <v>3.8476999999999997E-2</v>
      </c>
      <c r="AH36">
        <v>0.109127</v>
      </c>
      <c r="AI36">
        <v>3.3883999999999997E-2</v>
      </c>
      <c r="AJ36">
        <v>1.0299039999999999</v>
      </c>
      <c r="AK36">
        <v>4.2866000000000001E-2</v>
      </c>
      <c r="AL36">
        <v>5.9221000000000003E-2</v>
      </c>
      <c r="AM36">
        <v>6.7852999999999997E-2</v>
      </c>
      <c r="AN36">
        <v>5.9109000000000002E-2</v>
      </c>
      <c r="AO36">
        <v>7.3647000000000004E-2</v>
      </c>
      <c r="AP36">
        <v>3.2432999999999997E-2</v>
      </c>
      <c r="AQ36">
        <v>4.8982999999999999E-2</v>
      </c>
      <c r="AR36">
        <v>8.0903000000000003E-2</v>
      </c>
      <c r="AS36">
        <v>2.8337000000000001E-2</v>
      </c>
      <c r="AT36">
        <v>1.1001E-2</v>
      </c>
      <c r="AU36">
        <v>1.7888999999999999E-2</v>
      </c>
      <c r="AV36">
        <v>1.1703E-2</v>
      </c>
      <c r="AW36">
        <v>1.4652999999999999E-2</v>
      </c>
      <c r="AX36">
        <v>1.5288E-2</v>
      </c>
      <c r="AY36">
        <v>3.6345000000000002E-2</v>
      </c>
      <c r="AZ36">
        <v>3.0276000000000001E-2</v>
      </c>
      <c r="BA36">
        <v>3.3190999999999998E-2</v>
      </c>
      <c r="BB36">
        <v>6.0099E-2</v>
      </c>
      <c r="BC36">
        <v>3.7211000000000001E-2</v>
      </c>
    </row>
    <row r="37" spans="1:55">
      <c r="A37" t="s">
        <v>37</v>
      </c>
      <c r="B37">
        <v>2.3E-5</v>
      </c>
      <c r="C37">
        <v>2.7500000000000002E-4</v>
      </c>
      <c r="D37">
        <v>4.0000000000000003E-5</v>
      </c>
      <c r="E37">
        <v>2.6999999999999999E-5</v>
      </c>
      <c r="F37">
        <v>5.1999999999999997E-5</v>
      </c>
      <c r="G37">
        <v>7.1000000000000005E-5</v>
      </c>
      <c r="H37">
        <v>1.02E-4</v>
      </c>
      <c r="I37">
        <v>1.9000000000000001E-5</v>
      </c>
      <c r="J37">
        <v>2.4000000000000001E-5</v>
      </c>
      <c r="K37">
        <v>1.8E-5</v>
      </c>
      <c r="L37">
        <v>3.3600000000000001E-3</v>
      </c>
      <c r="M37">
        <v>0</v>
      </c>
      <c r="N37">
        <v>1.7799999999999999E-4</v>
      </c>
      <c r="O37">
        <v>3.6000000000000001E-5</v>
      </c>
      <c r="P37">
        <v>6.6000000000000005E-5</v>
      </c>
      <c r="Q37">
        <v>2.1999999999999999E-5</v>
      </c>
      <c r="R37">
        <v>1.2999999999999999E-4</v>
      </c>
      <c r="S37">
        <v>1.25E-4</v>
      </c>
      <c r="T37">
        <v>8.7000000000000001E-5</v>
      </c>
      <c r="U37">
        <v>4.8299999999999998E-4</v>
      </c>
      <c r="V37">
        <v>5.1999999999999997E-5</v>
      </c>
      <c r="W37">
        <v>7.3999999999999996E-5</v>
      </c>
      <c r="X37">
        <v>1.1329999999999999E-3</v>
      </c>
      <c r="Y37">
        <v>1.63E-4</v>
      </c>
      <c r="Z37">
        <v>1.85E-4</v>
      </c>
      <c r="AA37">
        <v>6.9999999999999994E-5</v>
      </c>
      <c r="AB37">
        <v>2.3800000000000001E-4</v>
      </c>
      <c r="AC37">
        <v>1.5899999999999999E-4</v>
      </c>
      <c r="AD37">
        <v>1.56E-4</v>
      </c>
      <c r="AE37">
        <v>8.0800000000000002E-4</v>
      </c>
      <c r="AF37">
        <v>1.9100000000000001E-4</v>
      </c>
      <c r="AG37">
        <v>1.76E-4</v>
      </c>
      <c r="AH37">
        <v>1.5100000000000001E-4</v>
      </c>
      <c r="AI37">
        <v>7.4999999999999993E-5</v>
      </c>
      <c r="AJ37">
        <v>3.5199999999999999E-4</v>
      </c>
      <c r="AK37">
        <v>1.0002120000000001</v>
      </c>
      <c r="AL37">
        <v>7.2000000000000002E-5</v>
      </c>
      <c r="AM37">
        <v>1.1E-4</v>
      </c>
      <c r="AN37">
        <v>8.2000000000000001E-5</v>
      </c>
      <c r="AO37">
        <v>1.02E-4</v>
      </c>
      <c r="AP37">
        <v>1.73E-4</v>
      </c>
      <c r="AQ37">
        <v>6.0999999999999999E-5</v>
      </c>
      <c r="AR37">
        <v>7.4999999999999993E-5</v>
      </c>
      <c r="AS37">
        <v>6.7000000000000002E-5</v>
      </c>
      <c r="AT37">
        <v>4.0000000000000003E-5</v>
      </c>
      <c r="AU37">
        <v>7.1000000000000005E-5</v>
      </c>
      <c r="AV37">
        <v>3.2499999999999999E-4</v>
      </c>
      <c r="AW37">
        <v>8.5000000000000006E-5</v>
      </c>
      <c r="AX37">
        <v>3.6000000000000001E-5</v>
      </c>
      <c r="AY37">
        <v>1.671E-3</v>
      </c>
      <c r="AZ37">
        <v>1.2899999999999999E-4</v>
      </c>
      <c r="BA37">
        <v>1.0900000000000001E-4</v>
      </c>
      <c r="BB37">
        <v>9.2999999999999997E-5</v>
      </c>
      <c r="BC37">
        <v>1.7200000000000001E-4</v>
      </c>
    </row>
    <row r="38" spans="1:55">
      <c r="A38" t="s">
        <v>38</v>
      </c>
      <c r="B38">
        <v>2.0170000000000001E-3</v>
      </c>
      <c r="C38">
        <v>5.3559999999999997E-3</v>
      </c>
      <c r="D38">
        <v>1.3856E-2</v>
      </c>
      <c r="E38">
        <v>1.6591999999999999E-2</v>
      </c>
      <c r="F38">
        <v>1.3497E-2</v>
      </c>
      <c r="G38">
        <v>6.0520000000000001E-3</v>
      </c>
      <c r="H38">
        <v>2.7009999999999998E-3</v>
      </c>
      <c r="I38">
        <v>1.467E-3</v>
      </c>
      <c r="J38">
        <v>1.4920000000000001E-3</v>
      </c>
      <c r="K38">
        <v>1.1299999999999999E-3</v>
      </c>
      <c r="L38">
        <v>1.0000999999999999E-2</v>
      </c>
      <c r="M38">
        <v>0</v>
      </c>
      <c r="N38">
        <v>1.6728E-2</v>
      </c>
      <c r="O38">
        <v>5.6999999999999998E-4</v>
      </c>
      <c r="P38">
        <v>5.8739999999999999E-3</v>
      </c>
      <c r="Q38">
        <v>1.6930000000000001E-3</v>
      </c>
      <c r="R38">
        <v>8.2410000000000001E-3</v>
      </c>
      <c r="S38">
        <v>8.6390000000000008E-3</v>
      </c>
      <c r="T38">
        <v>6.0699999999999999E-3</v>
      </c>
      <c r="U38">
        <v>2.4036999999999999E-2</v>
      </c>
      <c r="V38">
        <v>4.3569999999999998E-3</v>
      </c>
      <c r="W38">
        <v>8.4250000000000002E-3</v>
      </c>
      <c r="X38">
        <v>8.7360000000000007E-3</v>
      </c>
      <c r="Y38">
        <v>5.6439999999999997E-3</v>
      </c>
      <c r="Z38">
        <v>7.9579999999999998E-3</v>
      </c>
      <c r="AA38">
        <v>5.4790000000000004E-3</v>
      </c>
      <c r="AB38">
        <v>1.4951000000000001E-2</v>
      </c>
      <c r="AC38">
        <v>1.3321E-2</v>
      </c>
      <c r="AD38">
        <v>9.757E-3</v>
      </c>
      <c r="AE38">
        <v>3.9410000000000001E-3</v>
      </c>
      <c r="AF38">
        <v>2.5400000000000002E-3</v>
      </c>
      <c r="AG38">
        <v>5.836E-3</v>
      </c>
      <c r="AH38">
        <v>1.1944E-2</v>
      </c>
      <c r="AI38">
        <v>1.0635E-2</v>
      </c>
      <c r="AJ38">
        <v>8.1840000000000003E-3</v>
      </c>
      <c r="AK38">
        <v>1.0378999999999999E-2</v>
      </c>
      <c r="AL38">
        <v>1.0067999999999999</v>
      </c>
      <c r="AM38">
        <v>7.6249999999999998E-3</v>
      </c>
      <c r="AN38">
        <v>4.8510000000000003E-3</v>
      </c>
      <c r="AO38">
        <v>5.1019999999999998E-3</v>
      </c>
      <c r="AP38">
        <v>5.9610000000000002E-3</v>
      </c>
      <c r="AQ38">
        <v>4.0179999999999999E-3</v>
      </c>
      <c r="AR38">
        <v>5.7330000000000002E-3</v>
      </c>
      <c r="AS38">
        <v>4.6820000000000004E-3</v>
      </c>
      <c r="AT38">
        <v>1.81E-3</v>
      </c>
      <c r="AU38">
        <v>2.5469999999999998E-3</v>
      </c>
      <c r="AV38">
        <v>2.807E-3</v>
      </c>
      <c r="AW38">
        <v>3.6939999999999998E-3</v>
      </c>
      <c r="AX38">
        <v>2.0960000000000002E-3</v>
      </c>
      <c r="AY38">
        <v>9.4020000000000006E-3</v>
      </c>
      <c r="AZ38">
        <v>3.2681000000000002E-2</v>
      </c>
      <c r="BA38">
        <v>1.1781E-2</v>
      </c>
      <c r="BB38">
        <v>1.4607999999999999E-2</v>
      </c>
      <c r="BC38">
        <v>5.5840000000000004E-3</v>
      </c>
    </row>
    <row r="39" spans="1:55">
      <c r="A39" t="s">
        <v>39</v>
      </c>
      <c r="B39">
        <v>2.3699999999999999E-4</v>
      </c>
      <c r="C39">
        <v>7.2000000000000005E-4</v>
      </c>
      <c r="D39">
        <v>2.0900000000000001E-4</v>
      </c>
      <c r="E39">
        <v>1.5300000000000001E-4</v>
      </c>
      <c r="F39">
        <v>5.3749999999999996E-3</v>
      </c>
      <c r="G39">
        <v>7.1699999999999997E-4</v>
      </c>
      <c r="H39">
        <v>4.6099999999999998E-4</v>
      </c>
      <c r="I39">
        <v>1.4999999999999999E-4</v>
      </c>
      <c r="J39">
        <v>2.3499999999999999E-4</v>
      </c>
      <c r="K39">
        <v>6.4099999999999997E-4</v>
      </c>
      <c r="L39">
        <v>3.5149999999999999E-3</v>
      </c>
      <c r="M39">
        <v>0</v>
      </c>
      <c r="N39">
        <v>3.57E-4</v>
      </c>
      <c r="O39">
        <v>4.2099999999999999E-4</v>
      </c>
      <c r="P39">
        <v>7.6499999999999995E-4</v>
      </c>
      <c r="Q39">
        <v>2.9399999999999999E-4</v>
      </c>
      <c r="R39">
        <v>1.1999999999999999E-3</v>
      </c>
      <c r="S39">
        <v>9.5200000000000005E-4</v>
      </c>
      <c r="T39">
        <v>9.3599999999999998E-4</v>
      </c>
      <c r="U39">
        <v>1.263E-3</v>
      </c>
      <c r="V39">
        <v>7.6199999999999998E-4</v>
      </c>
      <c r="W39">
        <v>7.9199999999999995E-4</v>
      </c>
      <c r="X39">
        <v>1.3389999999999999E-3</v>
      </c>
      <c r="Y39">
        <v>7.5500000000000003E-4</v>
      </c>
      <c r="Z39">
        <v>1.189E-3</v>
      </c>
      <c r="AA39">
        <v>9.0399999999999996E-4</v>
      </c>
      <c r="AB39">
        <v>2.264E-3</v>
      </c>
      <c r="AC39">
        <v>1.0579999999999999E-3</v>
      </c>
      <c r="AD39">
        <v>1.0640000000000001E-3</v>
      </c>
      <c r="AE39">
        <v>1.253E-3</v>
      </c>
      <c r="AF39">
        <v>3.79E-4</v>
      </c>
      <c r="AG39">
        <v>5.1000000000000004E-4</v>
      </c>
      <c r="AH39">
        <v>1.248E-3</v>
      </c>
      <c r="AI39">
        <v>4.5899999999999999E-4</v>
      </c>
      <c r="AJ39">
        <v>4.0200000000000001E-4</v>
      </c>
      <c r="AK39">
        <v>6.1200000000000002E-4</v>
      </c>
      <c r="AL39">
        <v>7.4700000000000005E-4</v>
      </c>
      <c r="AM39">
        <v>1.001287</v>
      </c>
      <c r="AN39">
        <v>8.9499999999999996E-4</v>
      </c>
      <c r="AO39">
        <v>1.1379999999999999E-3</v>
      </c>
      <c r="AP39">
        <v>1.3922E-2</v>
      </c>
      <c r="AQ39">
        <v>5.5400000000000002E-4</v>
      </c>
      <c r="AR39">
        <v>8.9599999999999999E-4</v>
      </c>
      <c r="AS39">
        <v>5.4299999999999997E-4</v>
      </c>
      <c r="AT39">
        <v>1.4899999999999999E-4</v>
      </c>
      <c r="AU39">
        <v>2.61E-4</v>
      </c>
      <c r="AV39">
        <v>1.7100000000000001E-4</v>
      </c>
      <c r="AW39">
        <v>3.2200000000000002E-4</v>
      </c>
      <c r="AX39">
        <v>1.9100000000000001E-4</v>
      </c>
      <c r="AY39">
        <v>1.426E-3</v>
      </c>
      <c r="AZ39">
        <v>4.1899999999999999E-4</v>
      </c>
      <c r="BA39">
        <v>4.15E-4</v>
      </c>
      <c r="BB39">
        <v>7.54E-4</v>
      </c>
      <c r="BC39">
        <v>5.8299999999999997E-4</v>
      </c>
    </row>
    <row r="40" spans="1:55">
      <c r="A40" t="s">
        <v>40</v>
      </c>
      <c r="B40">
        <v>1.83E-4</v>
      </c>
      <c r="C40">
        <v>1.1490000000000001E-3</v>
      </c>
      <c r="D40">
        <v>3.2000000000000003E-4</v>
      </c>
      <c r="E40">
        <v>9.3999999999999997E-4</v>
      </c>
      <c r="F40">
        <v>1.0809999999999999E-3</v>
      </c>
      <c r="G40">
        <v>3.6699999999999998E-4</v>
      </c>
      <c r="H40">
        <v>2.1800000000000001E-4</v>
      </c>
      <c r="I40">
        <v>1.7100000000000001E-4</v>
      </c>
      <c r="J40">
        <v>2.1599999999999999E-4</v>
      </c>
      <c r="K40">
        <v>4.7699999999999999E-4</v>
      </c>
      <c r="L40">
        <v>1.0690000000000001E-3</v>
      </c>
      <c r="M40">
        <v>0</v>
      </c>
      <c r="N40">
        <v>1.84E-4</v>
      </c>
      <c r="O40">
        <v>3.5799999999999997E-4</v>
      </c>
      <c r="P40">
        <v>4.3899999999999999E-4</v>
      </c>
      <c r="Q40">
        <v>7.8999999999999996E-5</v>
      </c>
      <c r="R40">
        <v>8.4500000000000005E-4</v>
      </c>
      <c r="S40">
        <v>5.8900000000000001E-4</v>
      </c>
      <c r="T40">
        <v>6.78E-4</v>
      </c>
      <c r="U40">
        <v>5.0500000000000002E-4</v>
      </c>
      <c r="V40">
        <v>2.8699999999999998E-4</v>
      </c>
      <c r="W40">
        <v>3.4400000000000001E-4</v>
      </c>
      <c r="X40">
        <v>6.11E-4</v>
      </c>
      <c r="Y40">
        <v>2.9E-4</v>
      </c>
      <c r="Z40">
        <v>4.1899999999999999E-4</v>
      </c>
      <c r="AA40">
        <v>2.72E-4</v>
      </c>
      <c r="AB40">
        <v>9.1299999999999997E-4</v>
      </c>
      <c r="AC40">
        <v>9.8299999999999993E-4</v>
      </c>
      <c r="AD40">
        <v>6.9700000000000003E-4</v>
      </c>
      <c r="AE40">
        <v>5.5800000000000001E-4</v>
      </c>
      <c r="AF40">
        <v>2.0799999999999999E-4</v>
      </c>
      <c r="AG40">
        <v>1.1100000000000001E-3</v>
      </c>
      <c r="AH40">
        <v>5.6599999999999999E-4</v>
      </c>
      <c r="AI40">
        <v>3.0400000000000002E-4</v>
      </c>
      <c r="AJ40">
        <v>7.54E-4</v>
      </c>
      <c r="AK40">
        <v>5.3799999999999996E-4</v>
      </c>
      <c r="AL40">
        <v>2.5439999999999998E-3</v>
      </c>
      <c r="AM40">
        <v>3.5500000000000002E-3</v>
      </c>
      <c r="AN40">
        <v>1.0013160000000001</v>
      </c>
      <c r="AO40">
        <v>2.1099999999999999E-3</v>
      </c>
      <c r="AP40">
        <v>2.6811999999999999E-2</v>
      </c>
      <c r="AQ40">
        <v>3.1700000000000001E-4</v>
      </c>
      <c r="AR40">
        <v>4.6299999999999998E-4</v>
      </c>
      <c r="AS40">
        <v>1.84E-4</v>
      </c>
      <c r="AT40">
        <v>8.1000000000000004E-5</v>
      </c>
      <c r="AU40">
        <v>1.13E-4</v>
      </c>
      <c r="AV40">
        <v>1.3300000000000001E-4</v>
      </c>
      <c r="AW40">
        <v>3.1199999999999999E-4</v>
      </c>
      <c r="AX40">
        <v>8.7999999999999998E-5</v>
      </c>
      <c r="AY40">
        <v>2.382E-3</v>
      </c>
      <c r="AZ40">
        <v>3.3399999999999999E-4</v>
      </c>
      <c r="BA40">
        <v>2.0599999999999999E-4</v>
      </c>
      <c r="BB40">
        <v>3.3199999999999999E-4</v>
      </c>
      <c r="BC40">
        <v>3.7399999999999998E-4</v>
      </c>
    </row>
    <row r="41" spans="1:55">
      <c r="A41" t="s">
        <v>41</v>
      </c>
      <c r="B41">
        <v>5.13E-4</v>
      </c>
      <c r="C41">
        <v>9.7300000000000002E-4</v>
      </c>
      <c r="D41">
        <v>1.1769E-2</v>
      </c>
      <c r="E41">
        <v>1.5219999999999999E-3</v>
      </c>
      <c r="F41">
        <v>2.3709999999999998E-3</v>
      </c>
      <c r="G41">
        <v>1.0499999999999999E-3</v>
      </c>
      <c r="H41">
        <v>6.5499999999999998E-4</v>
      </c>
      <c r="I41">
        <v>5.22E-4</v>
      </c>
      <c r="J41">
        <v>4.6999999999999999E-4</v>
      </c>
      <c r="K41">
        <v>2.5509999999999999E-3</v>
      </c>
      <c r="L41">
        <v>9.7669999999999996E-3</v>
      </c>
      <c r="M41">
        <v>0</v>
      </c>
      <c r="N41">
        <v>2.2279999999999999E-3</v>
      </c>
      <c r="O41">
        <v>8.8199999999999997E-4</v>
      </c>
      <c r="P41">
        <v>1.372E-3</v>
      </c>
      <c r="Q41">
        <v>3.6600000000000001E-4</v>
      </c>
      <c r="R41">
        <v>4.0029999999999996E-3</v>
      </c>
      <c r="S41">
        <v>2.199E-3</v>
      </c>
      <c r="T41">
        <v>2.235E-3</v>
      </c>
      <c r="U41">
        <v>2.6389999999999999E-3</v>
      </c>
      <c r="V41">
        <v>1.7390000000000001E-3</v>
      </c>
      <c r="W41">
        <v>5.0809999999999996E-3</v>
      </c>
      <c r="X41">
        <v>3.8089999999999999E-3</v>
      </c>
      <c r="Y41">
        <v>2.1870000000000001E-3</v>
      </c>
      <c r="Z41">
        <v>2.7720000000000002E-3</v>
      </c>
      <c r="AA41">
        <v>1.5100000000000001E-3</v>
      </c>
      <c r="AB41">
        <v>4.0080000000000003E-3</v>
      </c>
      <c r="AC41">
        <v>2.6350000000000002E-3</v>
      </c>
      <c r="AD41">
        <v>2.833E-3</v>
      </c>
      <c r="AE41">
        <v>4.483E-3</v>
      </c>
      <c r="AF41">
        <v>1.258E-3</v>
      </c>
      <c r="AG41">
        <v>3.4489999999999998E-3</v>
      </c>
      <c r="AH41">
        <v>3.016E-3</v>
      </c>
      <c r="AI41">
        <v>2.0209999999999998E-3</v>
      </c>
      <c r="AJ41">
        <v>5.4089999999999997E-3</v>
      </c>
      <c r="AK41">
        <v>1.218E-2</v>
      </c>
      <c r="AL41">
        <v>2.33E-3</v>
      </c>
      <c r="AM41">
        <v>6.6309999999999997E-3</v>
      </c>
      <c r="AN41">
        <v>3.0079999999999998E-3</v>
      </c>
      <c r="AO41">
        <v>1.0176350000000001</v>
      </c>
      <c r="AP41">
        <v>2.9214E-2</v>
      </c>
      <c r="AQ41">
        <v>1.4959999999999999E-3</v>
      </c>
      <c r="AR41">
        <v>1.3799999999999999E-3</v>
      </c>
      <c r="AS41">
        <v>4.0499999999999998E-3</v>
      </c>
      <c r="AT41">
        <v>3.359E-3</v>
      </c>
      <c r="AU41">
        <v>1.508E-3</v>
      </c>
      <c r="AV41">
        <v>3.2599999999999999E-3</v>
      </c>
      <c r="AW41">
        <v>2.6909999999999998E-3</v>
      </c>
      <c r="AX41">
        <v>2.1789999999999999E-3</v>
      </c>
      <c r="AY41">
        <v>1.3223E-2</v>
      </c>
      <c r="AZ41">
        <v>5.3298999999999999E-2</v>
      </c>
      <c r="BA41">
        <v>9.8209999999999999E-3</v>
      </c>
      <c r="BB41">
        <v>6.4409999999999997E-3</v>
      </c>
      <c r="BC41">
        <v>3.4280000000000001E-3</v>
      </c>
    </row>
    <row r="42" spans="1:55">
      <c r="A42" t="s">
        <v>42</v>
      </c>
      <c r="B42">
        <v>2.6499999999999999E-4</v>
      </c>
      <c r="C42">
        <v>1.121E-3</v>
      </c>
      <c r="D42">
        <v>1.8699999999999999E-3</v>
      </c>
      <c r="E42">
        <v>1.6230000000000001E-3</v>
      </c>
      <c r="F42">
        <v>8.6870000000000003E-3</v>
      </c>
      <c r="G42">
        <v>5.2599999999999999E-4</v>
      </c>
      <c r="H42">
        <v>3.7599999999999998E-4</v>
      </c>
      <c r="I42">
        <v>2.9100000000000003E-4</v>
      </c>
      <c r="J42">
        <v>3.1700000000000001E-4</v>
      </c>
      <c r="K42">
        <v>2.4800000000000001E-4</v>
      </c>
      <c r="L42">
        <v>1.503E-3</v>
      </c>
      <c r="M42">
        <v>0</v>
      </c>
      <c r="N42">
        <v>5.9900000000000003E-4</v>
      </c>
      <c r="O42">
        <v>1.17E-4</v>
      </c>
      <c r="P42">
        <v>8.1599999999999999E-4</v>
      </c>
      <c r="Q42">
        <v>2.2900000000000001E-4</v>
      </c>
      <c r="R42">
        <v>1.382E-3</v>
      </c>
      <c r="S42">
        <v>1.206E-3</v>
      </c>
      <c r="T42">
        <v>7.7200000000000001E-4</v>
      </c>
      <c r="U42">
        <v>1.238E-3</v>
      </c>
      <c r="V42">
        <v>9.0399999999999996E-4</v>
      </c>
      <c r="W42">
        <v>1.292E-3</v>
      </c>
      <c r="X42">
        <v>9.7999999999999997E-4</v>
      </c>
      <c r="Y42">
        <v>8.8599999999999996E-4</v>
      </c>
      <c r="Z42">
        <v>1.3159999999999999E-3</v>
      </c>
      <c r="AA42">
        <v>7.2599999999999997E-4</v>
      </c>
      <c r="AB42">
        <v>2.65E-3</v>
      </c>
      <c r="AC42">
        <v>1.5759999999999999E-3</v>
      </c>
      <c r="AD42">
        <v>1.5939999999999999E-3</v>
      </c>
      <c r="AE42">
        <v>6.2E-4</v>
      </c>
      <c r="AF42">
        <v>2.0799999999999999E-4</v>
      </c>
      <c r="AG42">
        <v>7.18E-4</v>
      </c>
      <c r="AH42">
        <v>1.6280000000000001E-3</v>
      </c>
      <c r="AI42">
        <v>1.601E-3</v>
      </c>
      <c r="AJ42">
        <v>2.1970000000000002E-3</v>
      </c>
      <c r="AK42">
        <v>4.5929999999999999E-3</v>
      </c>
      <c r="AL42">
        <v>3.1089999999999998E-3</v>
      </c>
      <c r="AM42">
        <v>4.5997000000000003E-2</v>
      </c>
      <c r="AN42">
        <v>1.5125E-2</v>
      </c>
      <c r="AO42">
        <v>2.5753999999999999E-2</v>
      </c>
      <c r="AP42">
        <v>1.0165059999999999</v>
      </c>
      <c r="AQ42">
        <v>5.1800000000000001E-4</v>
      </c>
      <c r="AR42">
        <v>7.85E-4</v>
      </c>
      <c r="AS42">
        <v>7.4600000000000003E-4</v>
      </c>
      <c r="AT42">
        <v>2.5099999999999998E-4</v>
      </c>
      <c r="AU42">
        <v>3.0699999999999998E-4</v>
      </c>
      <c r="AV42">
        <v>1.0809999999999999E-3</v>
      </c>
      <c r="AW42">
        <v>2.7950000000000002E-3</v>
      </c>
      <c r="AX42">
        <v>3.19E-4</v>
      </c>
      <c r="AY42">
        <v>1.918E-3</v>
      </c>
      <c r="AZ42">
        <v>1.8879999999999999E-3</v>
      </c>
      <c r="BA42">
        <v>6.87E-4</v>
      </c>
      <c r="BB42">
        <v>8.4199999999999998E-4</v>
      </c>
      <c r="BC42">
        <v>6.4800000000000003E-4</v>
      </c>
    </row>
    <row r="43" spans="1:55">
      <c r="A43" t="s">
        <v>43</v>
      </c>
      <c r="B43">
        <v>2.8499999999999999E-4</v>
      </c>
      <c r="C43">
        <v>6.2399999999999999E-4</v>
      </c>
      <c r="D43">
        <v>1.2333E-2</v>
      </c>
      <c r="E43">
        <v>1.3861E-2</v>
      </c>
      <c r="F43">
        <v>1.4958000000000001E-2</v>
      </c>
      <c r="G43">
        <v>1.758E-3</v>
      </c>
      <c r="H43">
        <v>7.2400000000000003E-4</v>
      </c>
      <c r="I43">
        <v>3.59E-4</v>
      </c>
      <c r="J43">
        <v>6.4599999999999998E-4</v>
      </c>
      <c r="K43">
        <v>4.4299999999999998E-4</v>
      </c>
      <c r="L43">
        <v>1.7099999999999999E-3</v>
      </c>
      <c r="M43">
        <v>0</v>
      </c>
      <c r="N43">
        <v>4.3800000000000002E-4</v>
      </c>
      <c r="O43">
        <v>1.56E-4</v>
      </c>
      <c r="P43">
        <v>2.709E-3</v>
      </c>
      <c r="Q43">
        <v>8.8999999999999995E-5</v>
      </c>
      <c r="R43">
        <v>7.5669999999999999E-3</v>
      </c>
      <c r="S43">
        <v>1.9040000000000001E-3</v>
      </c>
      <c r="T43">
        <v>9.6299999999999999E-4</v>
      </c>
      <c r="U43">
        <v>1.456E-3</v>
      </c>
      <c r="V43">
        <v>1.5479999999999999E-3</v>
      </c>
      <c r="W43">
        <v>4.1669999999999997E-3</v>
      </c>
      <c r="X43">
        <v>9.6299999999999999E-4</v>
      </c>
      <c r="Y43">
        <v>1.243E-3</v>
      </c>
      <c r="Z43">
        <v>1.2229999999999999E-3</v>
      </c>
      <c r="AA43">
        <v>7.7800000000000005E-4</v>
      </c>
      <c r="AB43">
        <v>8.1910000000000004E-3</v>
      </c>
      <c r="AC43">
        <v>1.036E-3</v>
      </c>
      <c r="AD43">
        <v>1.165E-3</v>
      </c>
      <c r="AE43">
        <v>8.9499999999999996E-4</v>
      </c>
      <c r="AF43">
        <v>3.19E-4</v>
      </c>
      <c r="AG43">
        <v>8.6899999999999998E-4</v>
      </c>
      <c r="AH43">
        <v>1.0950000000000001E-3</v>
      </c>
      <c r="AI43">
        <v>6.4219999999999998E-3</v>
      </c>
      <c r="AJ43">
        <v>2.9150000000000001E-3</v>
      </c>
      <c r="AK43">
        <v>3.8549999999999999E-3</v>
      </c>
      <c r="AL43">
        <v>2.104E-3</v>
      </c>
      <c r="AM43">
        <v>7.0790000000000002E-3</v>
      </c>
      <c r="AN43">
        <v>1.2924E-2</v>
      </c>
      <c r="AO43">
        <v>4.666E-3</v>
      </c>
      <c r="AP43">
        <v>7.5839999999999996E-3</v>
      </c>
      <c r="AQ43">
        <v>1.0017290000000001</v>
      </c>
      <c r="AR43">
        <v>1.273E-3</v>
      </c>
      <c r="AS43">
        <v>5.3819999999999996E-3</v>
      </c>
      <c r="AT43">
        <v>2.4970000000000001E-3</v>
      </c>
      <c r="AU43">
        <v>4.0765999999999997E-2</v>
      </c>
      <c r="AV43">
        <v>2.1086000000000001E-2</v>
      </c>
      <c r="AW43">
        <v>9.3951000000000007E-2</v>
      </c>
      <c r="AX43">
        <v>1.206E-3</v>
      </c>
      <c r="AY43">
        <v>1.2265E-2</v>
      </c>
      <c r="AZ43">
        <v>1.1000000000000001E-3</v>
      </c>
      <c r="BA43">
        <v>9.7499999999999996E-4</v>
      </c>
      <c r="BB43">
        <v>2.3649999999999999E-3</v>
      </c>
      <c r="BC43">
        <v>1.065E-3</v>
      </c>
    </row>
    <row r="44" spans="1:55">
      <c r="A44" t="s">
        <v>44</v>
      </c>
      <c r="B44">
        <v>1.0549999999999999E-3</v>
      </c>
      <c r="C44">
        <v>1.449E-3</v>
      </c>
      <c r="D44">
        <v>1.0971E-2</v>
      </c>
      <c r="E44">
        <v>5.5929999999999999E-3</v>
      </c>
      <c r="F44">
        <v>1.6584999999999999E-2</v>
      </c>
      <c r="G44">
        <v>1.2440000000000001E-3</v>
      </c>
      <c r="H44">
        <v>8.3100000000000003E-4</v>
      </c>
      <c r="I44">
        <v>6.2500000000000001E-4</v>
      </c>
      <c r="J44">
        <v>1.0610000000000001E-3</v>
      </c>
      <c r="K44">
        <v>1.072E-3</v>
      </c>
      <c r="L44">
        <v>2.124E-3</v>
      </c>
      <c r="M44">
        <v>0</v>
      </c>
      <c r="N44">
        <v>3.5860000000000002E-3</v>
      </c>
      <c r="O44">
        <v>3.1500000000000001E-4</v>
      </c>
      <c r="P44">
        <v>2.0590000000000001E-3</v>
      </c>
      <c r="Q44">
        <v>3.1500000000000001E-4</v>
      </c>
      <c r="R44">
        <v>2.2109999999999999E-3</v>
      </c>
      <c r="S44">
        <v>2.48E-3</v>
      </c>
      <c r="T44">
        <v>3.5490000000000001E-3</v>
      </c>
      <c r="U44">
        <v>3.421E-3</v>
      </c>
      <c r="V44">
        <v>1.9819999999999998E-3</v>
      </c>
      <c r="W44">
        <v>4.9569999999999996E-3</v>
      </c>
      <c r="X44">
        <v>3.032E-3</v>
      </c>
      <c r="Y44">
        <v>2.415E-3</v>
      </c>
      <c r="Z44">
        <v>1.835E-3</v>
      </c>
      <c r="AA44">
        <v>1.4660000000000001E-3</v>
      </c>
      <c r="AB44">
        <v>4.5079999999999999E-3</v>
      </c>
      <c r="AC44">
        <v>2.6849999999999999E-3</v>
      </c>
      <c r="AD44">
        <v>7.7219999999999997E-3</v>
      </c>
      <c r="AE44">
        <v>1.725E-3</v>
      </c>
      <c r="AF44">
        <v>5.9000000000000003E-4</v>
      </c>
      <c r="AG44">
        <v>1.748E-3</v>
      </c>
      <c r="AH44">
        <v>8.1759999999999992E-3</v>
      </c>
      <c r="AI44">
        <v>3.0990000000000002E-3</v>
      </c>
      <c r="AJ44">
        <v>8.6429999999999996E-3</v>
      </c>
      <c r="AK44">
        <v>4.5560000000000002E-3</v>
      </c>
      <c r="AL44">
        <v>1.5790000000000001E-3</v>
      </c>
      <c r="AM44">
        <v>5.0870000000000004E-3</v>
      </c>
      <c r="AN44">
        <v>6.097E-3</v>
      </c>
      <c r="AO44">
        <v>2.5159999999999998E-2</v>
      </c>
      <c r="AP44">
        <v>3.9179999999999996E-3</v>
      </c>
      <c r="AQ44">
        <v>2.0119999999999999E-3</v>
      </c>
      <c r="AR44">
        <v>1.001833</v>
      </c>
      <c r="AS44">
        <v>2.2959999999999999E-3</v>
      </c>
      <c r="AT44">
        <v>1.2329999999999999E-3</v>
      </c>
      <c r="AU44">
        <v>1.152E-3</v>
      </c>
      <c r="AV44">
        <v>2.5539999999999998E-3</v>
      </c>
      <c r="AW44">
        <v>2.807E-3</v>
      </c>
      <c r="AX44">
        <v>1.222E-3</v>
      </c>
      <c r="AY44">
        <v>4.7959999999999999E-3</v>
      </c>
      <c r="AZ44">
        <v>1.1821E-2</v>
      </c>
      <c r="BA44">
        <v>1.807E-3</v>
      </c>
      <c r="BB44">
        <v>3.9199999999999999E-3</v>
      </c>
      <c r="BC44">
        <v>3.6489999999999999E-3</v>
      </c>
    </row>
    <row r="45" spans="1:55">
      <c r="A45" t="s">
        <v>45</v>
      </c>
      <c r="B45">
        <v>2.7039999999999998E-3</v>
      </c>
      <c r="C45">
        <v>4.1219999999999998E-3</v>
      </c>
      <c r="D45">
        <v>1.9835999999999999E-2</v>
      </c>
      <c r="E45">
        <v>1.4789E-2</v>
      </c>
      <c r="F45">
        <v>4.3889999999999997E-3</v>
      </c>
      <c r="G45">
        <v>7.1939999999999999E-3</v>
      </c>
      <c r="H45">
        <v>4.4339999999999996E-3</v>
      </c>
      <c r="I45">
        <v>3.9110000000000004E-3</v>
      </c>
      <c r="J45">
        <v>1.622E-3</v>
      </c>
      <c r="K45">
        <v>2.9120000000000001E-3</v>
      </c>
      <c r="L45">
        <v>9.1319999999999995E-3</v>
      </c>
      <c r="M45">
        <v>0</v>
      </c>
      <c r="N45">
        <v>8.2039999999999995E-3</v>
      </c>
      <c r="O45">
        <v>2.5999999999999999E-3</v>
      </c>
      <c r="P45">
        <v>1.3853000000000001E-2</v>
      </c>
      <c r="Q45">
        <v>1.057E-3</v>
      </c>
      <c r="R45">
        <v>3.8710000000000001E-2</v>
      </c>
      <c r="S45">
        <v>5.1832999999999997E-2</v>
      </c>
      <c r="T45">
        <v>1.6402E-2</v>
      </c>
      <c r="U45">
        <v>3.1493E-2</v>
      </c>
      <c r="V45">
        <v>1.9647000000000001E-2</v>
      </c>
      <c r="W45">
        <v>1.7238E-2</v>
      </c>
      <c r="X45">
        <v>1.2383E-2</v>
      </c>
      <c r="Y45">
        <v>8.9119999999999998E-3</v>
      </c>
      <c r="Z45">
        <v>1.5469E-2</v>
      </c>
      <c r="AA45">
        <v>8.208E-3</v>
      </c>
      <c r="AB45">
        <v>2.8017E-2</v>
      </c>
      <c r="AC45">
        <v>6.3042000000000001E-2</v>
      </c>
      <c r="AD45">
        <v>3.5892E-2</v>
      </c>
      <c r="AE45">
        <v>9.2750000000000003E-3</v>
      </c>
      <c r="AF45">
        <v>2.5860000000000002E-3</v>
      </c>
      <c r="AG45">
        <v>1.1338000000000001E-2</v>
      </c>
      <c r="AH45">
        <v>1.627E-2</v>
      </c>
      <c r="AI45">
        <v>2.2589999999999999E-2</v>
      </c>
      <c r="AJ45">
        <v>2.9876E-2</v>
      </c>
      <c r="AK45">
        <v>1.9553999999999998E-2</v>
      </c>
      <c r="AL45">
        <v>9.8069999999999997E-3</v>
      </c>
      <c r="AM45">
        <v>3.0166999999999999E-2</v>
      </c>
      <c r="AN45">
        <v>5.8619999999999998E-2</v>
      </c>
      <c r="AO45">
        <v>3.3954999999999999E-2</v>
      </c>
      <c r="AP45">
        <v>5.0208000000000003E-2</v>
      </c>
      <c r="AQ45">
        <v>1.5883000000000001E-2</v>
      </c>
      <c r="AR45">
        <v>1.1313999999999999E-2</v>
      </c>
      <c r="AS45">
        <v>1.155624</v>
      </c>
      <c r="AT45">
        <v>2.7063E-2</v>
      </c>
      <c r="AU45">
        <v>6.4399999999999999E-2</v>
      </c>
      <c r="AV45">
        <v>2.8840999999999999E-2</v>
      </c>
      <c r="AW45">
        <v>3.6665999999999997E-2</v>
      </c>
      <c r="AX45">
        <v>1.6275999999999999E-2</v>
      </c>
      <c r="AY45">
        <v>8.4749000000000005E-2</v>
      </c>
      <c r="AZ45">
        <v>4.3401000000000002E-2</v>
      </c>
      <c r="BA45">
        <v>5.0761000000000001E-2</v>
      </c>
      <c r="BB45">
        <v>2.3574000000000001E-2</v>
      </c>
      <c r="BC45">
        <v>2.0336E-2</v>
      </c>
    </row>
    <row r="46" spans="1:55">
      <c r="A46" t="s">
        <v>46</v>
      </c>
      <c r="B46">
        <v>2.5270000000000002E-3</v>
      </c>
      <c r="C46">
        <v>4.8640000000000003E-3</v>
      </c>
      <c r="D46">
        <v>6.2639999999999996E-3</v>
      </c>
      <c r="E46">
        <v>2.3960000000000001E-3</v>
      </c>
      <c r="F46">
        <v>1.2404999999999999E-2</v>
      </c>
      <c r="G46">
        <v>1.5993E-2</v>
      </c>
      <c r="H46">
        <v>2.941E-3</v>
      </c>
      <c r="I46">
        <v>2.3310000000000002E-3</v>
      </c>
      <c r="J46">
        <v>3.5309999999999999E-3</v>
      </c>
      <c r="K46">
        <v>3.2799999999999999E-3</v>
      </c>
      <c r="L46">
        <v>1.4095999999999999E-2</v>
      </c>
      <c r="M46">
        <v>0</v>
      </c>
      <c r="N46">
        <v>1.1114000000000001E-2</v>
      </c>
      <c r="O46">
        <v>1.0859999999999999E-3</v>
      </c>
      <c r="P46">
        <v>6.3359999999999996E-3</v>
      </c>
      <c r="Q46">
        <v>5.0699999999999996E-4</v>
      </c>
      <c r="R46">
        <v>1.5675000000000001E-2</v>
      </c>
      <c r="S46">
        <v>1.0600999999999999E-2</v>
      </c>
      <c r="T46">
        <v>6.7759999999999999E-3</v>
      </c>
      <c r="U46">
        <v>2.3189999999999999E-2</v>
      </c>
      <c r="V46">
        <v>7.077E-3</v>
      </c>
      <c r="W46">
        <v>1.0315E-2</v>
      </c>
      <c r="X46">
        <v>8.8109999999999994E-3</v>
      </c>
      <c r="Y46">
        <v>7.0080000000000003E-3</v>
      </c>
      <c r="Z46">
        <v>5.901E-3</v>
      </c>
      <c r="AA46">
        <v>5.7670000000000004E-3</v>
      </c>
      <c r="AB46">
        <v>9.2680000000000002E-3</v>
      </c>
      <c r="AC46">
        <v>9.1669999999999998E-3</v>
      </c>
      <c r="AD46">
        <v>2.2790999999999999E-2</v>
      </c>
      <c r="AE46">
        <v>1.6056999999999998E-2</v>
      </c>
      <c r="AF46">
        <v>4.1920000000000004E-3</v>
      </c>
      <c r="AG46">
        <v>4.1669999999999997E-3</v>
      </c>
      <c r="AH46">
        <v>7.4330000000000004E-3</v>
      </c>
      <c r="AI46">
        <v>7.6730000000000001E-3</v>
      </c>
      <c r="AJ46">
        <v>2.1606E-2</v>
      </c>
      <c r="AK46">
        <v>7.9850000000000008E-3</v>
      </c>
      <c r="AL46">
        <v>5.6410000000000002E-3</v>
      </c>
      <c r="AM46">
        <v>1.898E-2</v>
      </c>
      <c r="AN46">
        <v>7.6480000000000003E-3</v>
      </c>
      <c r="AO46">
        <v>4.8500000000000001E-3</v>
      </c>
      <c r="AP46">
        <v>6.1919999999999996E-3</v>
      </c>
      <c r="AQ46">
        <v>8.5220000000000001E-3</v>
      </c>
      <c r="AR46">
        <v>4.797E-3</v>
      </c>
      <c r="AS46">
        <v>7.7819999999999999E-3</v>
      </c>
      <c r="AT46">
        <v>1.0071490000000001</v>
      </c>
      <c r="AU46">
        <v>1.9768000000000001E-2</v>
      </c>
      <c r="AV46">
        <v>8.5716000000000001E-2</v>
      </c>
      <c r="AW46">
        <v>3.4566E-2</v>
      </c>
      <c r="AX46">
        <v>1.3077999999999999E-2</v>
      </c>
      <c r="AY46">
        <v>2.0219000000000001E-2</v>
      </c>
      <c r="AZ46">
        <v>3.3519999999999999E-3</v>
      </c>
      <c r="BA46">
        <v>4.3800000000000002E-3</v>
      </c>
      <c r="BB46">
        <v>6.1469999999999997E-3</v>
      </c>
      <c r="BC46">
        <v>7.574E-3</v>
      </c>
    </row>
    <row r="47" spans="1:55">
      <c r="A47" t="s">
        <v>47</v>
      </c>
      <c r="B47">
        <v>5.5400000000000002E-4</v>
      </c>
      <c r="C47">
        <v>1.026E-3</v>
      </c>
      <c r="D47">
        <v>8.2100000000000001E-4</v>
      </c>
      <c r="E47">
        <v>4.3100000000000001E-4</v>
      </c>
      <c r="F47">
        <v>1.168E-3</v>
      </c>
      <c r="G47">
        <v>5.1900000000000004E-4</v>
      </c>
      <c r="H47">
        <v>2.6699999999999998E-4</v>
      </c>
      <c r="I47">
        <v>6.8599999999999998E-4</v>
      </c>
      <c r="J47">
        <v>7.8799999999999996E-4</v>
      </c>
      <c r="K47">
        <v>3.6449999999999998E-3</v>
      </c>
      <c r="L47">
        <v>2.4260000000000002E-3</v>
      </c>
      <c r="M47">
        <v>0</v>
      </c>
      <c r="N47">
        <v>1.8810000000000001E-3</v>
      </c>
      <c r="O47">
        <v>1.0039999999999999E-3</v>
      </c>
      <c r="P47">
        <v>6.5799999999999995E-4</v>
      </c>
      <c r="Q47">
        <v>8.7999999999999998E-5</v>
      </c>
      <c r="R47">
        <v>9.7499999999999996E-4</v>
      </c>
      <c r="S47">
        <v>3.1979999999999999E-3</v>
      </c>
      <c r="T47">
        <v>2.294E-3</v>
      </c>
      <c r="U47">
        <v>1.7329999999999999E-3</v>
      </c>
      <c r="V47">
        <v>1.9220000000000001E-3</v>
      </c>
      <c r="W47">
        <v>1.1950000000000001E-3</v>
      </c>
      <c r="X47">
        <v>1.1640000000000001E-3</v>
      </c>
      <c r="Y47">
        <v>1.059E-3</v>
      </c>
      <c r="Z47">
        <v>6.87E-4</v>
      </c>
      <c r="AA47">
        <v>6.4800000000000003E-4</v>
      </c>
      <c r="AB47">
        <v>3.6459999999999999E-3</v>
      </c>
      <c r="AC47">
        <v>7.5699999999999997E-4</v>
      </c>
      <c r="AD47">
        <v>1.8010000000000001E-3</v>
      </c>
      <c r="AE47">
        <v>2.7599999999999999E-3</v>
      </c>
      <c r="AF47">
        <v>9.7400000000000004E-4</v>
      </c>
      <c r="AG47">
        <v>6.8199999999999999E-4</v>
      </c>
      <c r="AH47">
        <v>1.918E-3</v>
      </c>
      <c r="AI47">
        <v>6.1450000000000003E-3</v>
      </c>
      <c r="AJ47">
        <v>2.9880000000000002E-3</v>
      </c>
      <c r="AK47">
        <v>1.364E-3</v>
      </c>
      <c r="AL47">
        <v>1.0300000000000001E-3</v>
      </c>
      <c r="AM47">
        <v>9.9869999999999994E-3</v>
      </c>
      <c r="AN47">
        <v>1.4673E-2</v>
      </c>
      <c r="AO47">
        <v>5.6470000000000001E-3</v>
      </c>
      <c r="AP47">
        <v>9.3799999999999994E-3</v>
      </c>
      <c r="AQ47">
        <v>1.2949999999999999E-3</v>
      </c>
      <c r="AR47">
        <v>1.036E-3</v>
      </c>
      <c r="AS47">
        <v>2.4320000000000001E-3</v>
      </c>
      <c r="AT47">
        <v>6.5719999999999997E-3</v>
      </c>
      <c r="AU47">
        <v>1.0113559999999999</v>
      </c>
      <c r="AV47">
        <v>1.3468000000000001E-2</v>
      </c>
      <c r="AW47">
        <v>2.5378000000000001E-2</v>
      </c>
      <c r="AX47">
        <v>2.0639999999999999E-3</v>
      </c>
      <c r="AY47">
        <v>5.496E-3</v>
      </c>
      <c r="AZ47">
        <v>2.6340000000000001E-3</v>
      </c>
      <c r="BA47">
        <v>9.990000000000001E-4</v>
      </c>
      <c r="BB47">
        <v>3.068E-3</v>
      </c>
      <c r="BC47">
        <v>9.5600000000000004E-4</v>
      </c>
    </row>
    <row r="48" spans="1:55">
      <c r="A48" t="s">
        <v>48</v>
      </c>
      <c r="B48">
        <v>1.805E-3</v>
      </c>
      <c r="C48">
        <v>5.9690000000000003E-3</v>
      </c>
      <c r="D48">
        <v>1.3359999999999999E-3</v>
      </c>
      <c r="E48">
        <v>5.1400000000000003E-4</v>
      </c>
      <c r="F48">
        <v>2.2920000000000002E-3</v>
      </c>
      <c r="G48">
        <v>1.2700000000000001E-3</v>
      </c>
      <c r="H48">
        <v>5.9000000000000003E-4</v>
      </c>
      <c r="I48">
        <v>8.61E-4</v>
      </c>
      <c r="J48">
        <v>5.4799999999999998E-4</v>
      </c>
      <c r="K48">
        <v>7.1500000000000003E-4</v>
      </c>
      <c r="L48">
        <v>2.147E-3</v>
      </c>
      <c r="M48">
        <v>0</v>
      </c>
      <c r="N48">
        <v>6.6E-4</v>
      </c>
      <c r="O48">
        <v>2.1100000000000001E-4</v>
      </c>
      <c r="P48">
        <v>1.2470000000000001E-3</v>
      </c>
      <c r="Q48">
        <v>1.6699999999999999E-4</v>
      </c>
      <c r="R48">
        <v>5.2579999999999997E-3</v>
      </c>
      <c r="S48">
        <v>6.6600000000000001E-3</v>
      </c>
      <c r="T48">
        <v>2.137E-3</v>
      </c>
      <c r="U48">
        <v>6.4559999999999999E-3</v>
      </c>
      <c r="V48">
        <v>1.9949999999999998E-3</v>
      </c>
      <c r="W48">
        <v>2.0140000000000002E-3</v>
      </c>
      <c r="X48">
        <v>1.351E-3</v>
      </c>
      <c r="Y48">
        <v>1.168E-3</v>
      </c>
      <c r="Z48">
        <v>2.539E-3</v>
      </c>
      <c r="AA48">
        <v>1.354E-3</v>
      </c>
      <c r="AB48">
        <v>4.0740000000000004E-3</v>
      </c>
      <c r="AC48">
        <v>1.111E-3</v>
      </c>
      <c r="AD48">
        <v>4.3870000000000003E-3</v>
      </c>
      <c r="AE48">
        <v>6.2839999999999997E-3</v>
      </c>
      <c r="AF48">
        <v>3.3100000000000002E-4</v>
      </c>
      <c r="AG48">
        <v>1.4139999999999999E-3</v>
      </c>
      <c r="AH48">
        <v>1.5889999999999999E-3</v>
      </c>
      <c r="AI48">
        <v>8.9239999999999996E-3</v>
      </c>
      <c r="AJ48">
        <v>6.4209999999999996E-3</v>
      </c>
      <c r="AK48">
        <v>1.2719999999999999E-3</v>
      </c>
      <c r="AL48">
        <v>2.4099999999999998E-3</v>
      </c>
      <c r="AM48">
        <v>3.9880000000000002E-3</v>
      </c>
      <c r="AN48">
        <v>1.4610000000000001E-3</v>
      </c>
      <c r="AO48">
        <v>1.9689999999999998E-3</v>
      </c>
      <c r="AP48">
        <v>3.5400000000000002E-3</v>
      </c>
      <c r="AQ48">
        <v>2.2179999999999999E-3</v>
      </c>
      <c r="AR48">
        <v>1.6659999999999999E-3</v>
      </c>
      <c r="AS48">
        <v>2.8830000000000001E-3</v>
      </c>
      <c r="AT48">
        <v>1.1180000000000001E-3</v>
      </c>
      <c r="AU48">
        <v>3.8847E-2</v>
      </c>
      <c r="AV48">
        <v>1.0673729999999999</v>
      </c>
      <c r="AW48">
        <v>2.5155E-2</v>
      </c>
      <c r="AX48">
        <v>4.1399999999999996E-3</v>
      </c>
      <c r="AY48">
        <v>1.1925E-2</v>
      </c>
      <c r="AZ48">
        <v>2.1740000000000002E-3</v>
      </c>
      <c r="BA48">
        <v>2.5339999999999998E-3</v>
      </c>
      <c r="BB48">
        <v>4.1279999999999997E-3</v>
      </c>
      <c r="BC48">
        <v>3.4120000000000001E-3</v>
      </c>
    </row>
    <row r="49" spans="1:55">
      <c r="A49" t="s">
        <v>49</v>
      </c>
      <c r="B49">
        <v>5.0000000000000004E-6</v>
      </c>
      <c r="C49">
        <v>1.9999999999999999E-6</v>
      </c>
      <c r="D49">
        <v>1.2799999999999999E-4</v>
      </c>
      <c r="E49">
        <v>2.7999999999999998E-4</v>
      </c>
      <c r="F49">
        <v>5.3000000000000001E-5</v>
      </c>
      <c r="G49">
        <v>6.9999999999999999E-6</v>
      </c>
      <c r="H49">
        <v>1.0000000000000001E-5</v>
      </c>
      <c r="I49">
        <v>9.9999999999999995E-7</v>
      </c>
      <c r="J49">
        <v>3.0000000000000001E-6</v>
      </c>
      <c r="K49">
        <v>1.9999999999999999E-6</v>
      </c>
      <c r="L49">
        <v>6.0000000000000002E-6</v>
      </c>
      <c r="M49">
        <v>0</v>
      </c>
      <c r="N49">
        <v>1.9999999999999999E-6</v>
      </c>
      <c r="O49">
        <v>9.9999999999999995E-7</v>
      </c>
      <c r="P49">
        <v>4.3999999999999999E-5</v>
      </c>
      <c r="Q49">
        <v>0</v>
      </c>
      <c r="R49">
        <v>2.5999999999999998E-5</v>
      </c>
      <c r="S49">
        <v>1.2E-5</v>
      </c>
      <c r="T49">
        <v>3.9999999999999998E-6</v>
      </c>
      <c r="U49">
        <v>5.0000000000000004E-6</v>
      </c>
      <c r="V49">
        <v>6.0000000000000002E-6</v>
      </c>
      <c r="W49">
        <v>3.8000000000000002E-5</v>
      </c>
      <c r="X49">
        <v>3.0000000000000001E-6</v>
      </c>
      <c r="Y49">
        <v>3.9999999999999998E-6</v>
      </c>
      <c r="Z49">
        <v>3.9999999999999998E-6</v>
      </c>
      <c r="AA49">
        <v>3.0000000000000001E-6</v>
      </c>
      <c r="AB49">
        <v>2.6999999999999999E-5</v>
      </c>
      <c r="AC49">
        <v>3.9999999999999998E-6</v>
      </c>
      <c r="AD49">
        <v>3.9999999999999998E-6</v>
      </c>
      <c r="AE49">
        <v>3.0000000000000001E-6</v>
      </c>
      <c r="AF49">
        <v>9.9999999999999995E-7</v>
      </c>
      <c r="AG49">
        <v>3.0000000000000001E-6</v>
      </c>
      <c r="AH49">
        <v>3.9999999999999998E-6</v>
      </c>
      <c r="AI49">
        <v>2.0999999999999999E-5</v>
      </c>
      <c r="AJ49">
        <v>1.0000000000000001E-5</v>
      </c>
      <c r="AK49">
        <v>1.2999999999999999E-5</v>
      </c>
      <c r="AL49">
        <v>6.9999999999999999E-6</v>
      </c>
      <c r="AM49">
        <v>2.5999999999999998E-5</v>
      </c>
      <c r="AN49">
        <v>4.3000000000000002E-5</v>
      </c>
      <c r="AO49">
        <v>1.7E-5</v>
      </c>
      <c r="AP49">
        <v>2.5000000000000001E-5</v>
      </c>
      <c r="AQ49">
        <v>1.2E-5</v>
      </c>
      <c r="AR49">
        <v>1.5E-5</v>
      </c>
      <c r="AS49">
        <v>1.8E-5</v>
      </c>
      <c r="AT49">
        <v>7.9999999999999996E-6</v>
      </c>
      <c r="AU49">
        <v>1.3300000000000001E-4</v>
      </c>
      <c r="AV49">
        <v>6.8999999999999997E-5</v>
      </c>
      <c r="AW49">
        <v>1.0003059999999999</v>
      </c>
      <c r="AX49">
        <v>3.9999999999999998E-6</v>
      </c>
      <c r="AY49">
        <v>4.0000000000000003E-5</v>
      </c>
      <c r="AZ49">
        <v>5.0000000000000004E-6</v>
      </c>
      <c r="BA49">
        <v>5.0000000000000004E-6</v>
      </c>
      <c r="BB49">
        <v>1.2E-5</v>
      </c>
      <c r="BC49">
        <v>5.0000000000000004E-6</v>
      </c>
    </row>
    <row r="50" spans="1:55">
      <c r="A50" t="s">
        <v>50</v>
      </c>
      <c r="B50">
        <v>7.8700000000000005E-4</v>
      </c>
      <c r="C50">
        <v>1.034E-3</v>
      </c>
      <c r="D50">
        <v>1.3079999999999999E-3</v>
      </c>
      <c r="E50">
        <v>7.9299999999999998E-4</v>
      </c>
      <c r="F50">
        <v>1.0460000000000001E-3</v>
      </c>
      <c r="G50">
        <v>1.99E-3</v>
      </c>
      <c r="H50">
        <v>1.134E-3</v>
      </c>
      <c r="I50">
        <v>5.2099999999999998E-4</v>
      </c>
      <c r="J50">
        <v>4.0999999999999999E-4</v>
      </c>
      <c r="K50">
        <v>8.9300000000000002E-4</v>
      </c>
      <c r="L50">
        <v>8.2470000000000009E-3</v>
      </c>
      <c r="M50">
        <v>0</v>
      </c>
      <c r="N50">
        <v>2.689E-3</v>
      </c>
      <c r="O50">
        <v>5.5800000000000001E-4</v>
      </c>
      <c r="P50">
        <v>2.3969999999999998E-3</v>
      </c>
      <c r="Q50">
        <v>5.1599999999999997E-4</v>
      </c>
      <c r="R50">
        <v>5.0470000000000003E-3</v>
      </c>
      <c r="S50">
        <v>6.4669999999999997E-3</v>
      </c>
      <c r="T50">
        <v>3.307E-3</v>
      </c>
      <c r="U50">
        <v>6.1970000000000003E-3</v>
      </c>
      <c r="V50">
        <v>2.4039999999999999E-3</v>
      </c>
      <c r="W50">
        <v>4.0130000000000001E-3</v>
      </c>
      <c r="X50">
        <v>4.6969999999999998E-3</v>
      </c>
      <c r="Y50">
        <v>3.3440000000000002E-3</v>
      </c>
      <c r="Z50">
        <v>5.2110000000000004E-3</v>
      </c>
      <c r="AA50">
        <v>2.1580000000000002E-3</v>
      </c>
      <c r="AB50">
        <v>7.7609999999999997E-3</v>
      </c>
      <c r="AC50">
        <v>7.7650000000000002E-3</v>
      </c>
      <c r="AD50">
        <v>4.6769999999999997E-3</v>
      </c>
      <c r="AE50">
        <v>2.797E-3</v>
      </c>
      <c r="AF50">
        <v>8.1499999999999997E-4</v>
      </c>
      <c r="AG50">
        <v>5.8979999999999996E-3</v>
      </c>
      <c r="AH50">
        <v>4.333E-3</v>
      </c>
      <c r="AI50">
        <v>1.9004E-2</v>
      </c>
      <c r="AJ50">
        <v>2.1267000000000001E-2</v>
      </c>
      <c r="AK50">
        <v>1.4078E-2</v>
      </c>
      <c r="AL50">
        <v>4.1599999999999996E-3</v>
      </c>
      <c r="AM50">
        <v>5.3629999999999997E-3</v>
      </c>
      <c r="AN50">
        <v>9.2849999999999999E-3</v>
      </c>
      <c r="AO50">
        <v>5.3639999999999998E-3</v>
      </c>
      <c r="AP50">
        <v>6.9420000000000003E-3</v>
      </c>
      <c r="AQ50">
        <v>3.1389999999999999E-3</v>
      </c>
      <c r="AR50">
        <v>3.1210000000000001E-3</v>
      </c>
      <c r="AS50">
        <v>8.6840000000000007E-3</v>
      </c>
      <c r="AT50">
        <v>6.0749999999999997E-3</v>
      </c>
      <c r="AU50">
        <v>8.9639999999999997E-3</v>
      </c>
      <c r="AV50">
        <v>5.6049999999999997E-3</v>
      </c>
      <c r="AW50">
        <v>8.2699999999999996E-3</v>
      </c>
      <c r="AX50">
        <v>1.002643</v>
      </c>
      <c r="AY50">
        <v>1.2489999999999999E-2</v>
      </c>
      <c r="AZ50">
        <v>3.692E-3</v>
      </c>
      <c r="BA50">
        <v>1.1219E-2</v>
      </c>
      <c r="BB50">
        <v>6.9459999999999999E-3</v>
      </c>
      <c r="BC50">
        <v>1.3217E-2</v>
      </c>
    </row>
    <row r="51" spans="1:55">
      <c r="A51" t="s">
        <v>51</v>
      </c>
      <c r="B51">
        <v>4.3199999999999998E-4</v>
      </c>
      <c r="C51">
        <v>6.11E-4</v>
      </c>
      <c r="D51">
        <v>7.2740000000000001E-3</v>
      </c>
      <c r="E51">
        <v>1.4319999999999999E-3</v>
      </c>
      <c r="F51">
        <v>3.19E-4</v>
      </c>
      <c r="G51">
        <v>2.738E-3</v>
      </c>
      <c r="H51">
        <v>2.6499999999999999E-4</v>
      </c>
      <c r="I51">
        <v>7.9500000000000003E-4</v>
      </c>
      <c r="J51">
        <v>2.9700000000000001E-4</v>
      </c>
      <c r="K51">
        <v>1.23E-3</v>
      </c>
      <c r="L51">
        <v>1.23E-3</v>
      </c>
      <c r="M51">
        <v>0</v>
      </c>
      <c r="N51">
        <v>7.5000000000000002E-4</v>
      </c>
      <c r="O51">
        <v>4.6000000000000001E-4</v>
      </c>
      <c r="P51">
        <v>6.4599999999999998E-4</v>
      </c>
      <c r="Q51">
        <v>4.3999999999999999E-5</v>
      </c>
      <c r="R51">
        <v>1.067E-3</v>
      </c>
      <c r="S51">
        <v>1.2489999999999999E-3</v>
      </c>
      <c r="T51">
        <v>8.25E-4</v>
      </c>
      <c r="U51">
        <v>1.2999999999999999E-3</v>
      </c>
      <c r="V51">
        <v>6.3400000000000001E-4</v>
      </c>
      <c r="W51">
        <v>2.5249999999999999E-3</v>
      </c>
      <c r="X51">
        <v>1.07E-3</v>
      </c>
      <c r="Y51">
        <v>5.7499999999999999E-4</v>
      </c>
      <c r="Z51">
        <v>7.8600000000000002E-4</v>
      </c>
      <c r="AA51">
        <v>3.5799999999999997E-4</v>
      </c>
      <c r="AB51">
        <v>1.668E-3</v>
      </c>
      <c r="AC51">
        <v>1.261E-3</v>
      </c>
      <c r="AD51">
        <v>8.8199999999999997E-4</v>
      </c>
      <c r="AE51">
        <v>3.4299999999999999E-3</v>
      </c>
      <c r="AF51">
        <v>6.5700000000000003E-4</v>
      </c>
      <c r="AG51">
        <v>1.062E-3</v>
      </c>
      <c r="AH51">
        <v>1.057E-3</v>
      </c>
      <c r="AI51">
        <v>1.828E-3</v>
      </c>
      <c r="AJ51">
        <v>1.3110000000000001E-3</v>
      </c>
      <c r="AK51">
        <v>2.2720000000000001E-3</v>
      </c>
      <c r="AL51">
        <v>2.1350000000000002E-3</v>
      </c>
      <c r="AM51">
        <v>3.849E-3</v>
      </c>
      <c r="AN51">
        <v>2.467E-3</v>
      </c>
      <c r="AO51">
        <v>4.15E-3</v>
      </c>
      <c r="AP51">
        <v>2.6180000000000001E-3</v>
      </c>
      <c r="AQ51">
        <v>8.3299999999999997E-4</v>
      </c>
      <c r="AR51">
        <v>5.7200000000000003E-4</v>
      </c>
      <c r="AS51">
        <v>1.4530000000000001E-3</v>
      </c>
      <c r="AT51">
        <v>3.5590000000000001E-3</v>
      </c>
      <c r="AU51">
        <v>3.264E-3</v>
      </c>
      <c r="AV51">
        <v>2.4919999999999999E-3</v>
      </c>
      <c r="AW51">
        <v>2.0100000000000001E-3</v>
      </c>
      <c r="AX51">
        <v>1.1069999999999999E-3</v>
      </c>
      <c r="AY51">
        <v>1.0029380000000001</v>
      </c>
      <c r="AZ51">
        <v>3.1870000000000002E-3</v>
      </c>
      <c r="BA51">
        <v>1.9070000000000001E-3</v>
      </c>
      <c r="BB51">
        <v>7.0899999999999999E-4</v>
      </c>
      <c r="BC51">
        <v>8.0500000000000005E-4</v>
      </c>
    </row>
    <row r="52" spans="1:55">
      <c r="A52" t="s">
        <v>52</v>
      </c>
      <c r="B52">
        <v>4.3899999999999999E-4</v>
      </c>
      <c r="C52">
        <v>6.0899999999999995E-4</v>
      </c>
      <c r="D52">
        <v>1.103E-3</v>
      </c>
      <c r="E52">
        <v>6.7199999999999996E-4</v>
      </c>
      <c r="F52">
        <v>1.2409999999999999E-3</v>
      </c>
      <c r="G52">
        <v>6.78E-4</v>
      </c>
      <c r="H52">
        <v>3.2600000000000001E-4</v>
      </c>
      <c r="I52">
        <v>3.97E-4</v>
      </c>
      <c r="J52">
        <v>1.5699999999999999E-4</v>
      </c>
      <c r="K52">
        <v>3.6280000000000001E-3</v>
      </c>
      <c r="L52">
        <v>7.4679999999999998E-3</v>
      </c>
      <c r="M52">
        <v>0</v>
      </c>
      <c r="N52">
        <v>8.7299999999999997E-4</v>
      </c>
      <c r="O52">
        <v>1.3849999999999999E-3</v>
      </c>
      <c r="P52">
        <v>9.5399999999999999E-4</v>
      </c>
      <c r="Q52">
        <v>5.8999999999999998E-5</v>
      </c>
      <c r="R52">
        <v>4.8380000000000003E-3</v>
      </c>
      <c r="S52">
        <v>2.0170000000000001E-3</v>
      </c>
      <c r="T52">
        <v>8.2899999999999998E-4</v>
      </c>
      <c r="U52">
        <v>6.234E-3</v>
      </c>
      <c r="V52">
        <v>3.0490000000000001E-3</v>
      </c>
      <c r="W52">
        <v>3.7469999999999999E-3</v>
      </c>
      <c r="X52">
        <v>2.7079999999999999E-3</v>
      </c>
      <c r="Y52">
        <v>1.3439999999999999E-3</v>
      </c>
      <c r="Z52">
        <v>1.0280000000000001E-3</v>
      </c>
      <c r="AA52">
        <v>3.77E-4</v>
      </c>
      <c r="AB52">
        <v>7.8189999999999996E-3</v>
      </c>
      <c r="AC52">
        <v>2.1810000000000002E-3</v>
      </c>
      <c r="AD52">
        <v>1.5319999999999999E-3</v>
      </c>
      <c r="AE52">
        <v>5.28E-3</v>
      </c>
      <c r="AF52">
        <v>1.201E-3</v>
      </c>
      <c r="AG52">
        <v>2.3654999999999999E-2</v>
      </c>
      <c r="AH52">
        <v>5.496E-3</v>
      </c>
      <c r="AI52">
        <v>1.302E-3</v>
      </c>
      <c r="AJ52">
        <v>1.688E-3</v>
      </c>
      <c r="AK52">
        <v>0.19950599999999999</v>
      </c>
      <c r="AL52">
        <v>2.5110000000000002E-3</v>
      </c>
      <c r="AM52">
        <v>7.2249999999999997E-3</v>
      </c>
      <c r="AN52">
        <v>4.3740000000000003E-3</v>
      </c>
      <c r="AO52">
        <v>3.7780000000000001E-3</v>
      </c>
      <c r="AP52">
        <v>2.4499999999999999E-3</v>
      </c>
      <c r="AQ52">
        <v>2.5869999999999999E-3</v>
      </c>
      <c r="AR52">
        <v>3.1419999999999998E-3</v>
      </c>
      <c r="AS52">
        <v>2.9180000000000001E-2</v>
      </c>
      <c r="AT52">
        <v>3.5590000000000001E-3</v>
      </c>
      <c r="AU52">
        <v>7.6969999999999998E-3</v>
      </c>
      <c r="AV52">
        <v>5.1989999999999996E-3</v>
      </c>
      <c r="AW52">
        <v>2.5270000000000002E-3</v>
      </c>
      <c r="AX52">
        <v>9.9909999999999999E-3</v>
      </c>
      <c r="AY52">
        <v>1.0414E-2</v>
      </c>
      <c r="AZ52">
        <v>1.0051859999999999</v>
      </c>
      <c r="BA52">
        <v>3.6120000000000002E-3</v>
      </c>
      <c r="BB52">
        <v>3.516E-3</v>
      </c>
      <c r="BC52">
        <v>1.175E-3</v>
      </c>
    </row>
    <row r="53" spans="1:55">
      <c r="A53" t="s">
        <v>53</v>
      </c>
      <c r="B53">
        <v>4.8999999999999998E-5</v>
      </c>
      <c r="C53">
        <v>7.8999999999999996E-5</v>
      </c>
      <c r="D53">
        <v>8.5000000000000006E-5</v>
      </c>
      <c r="E53">
        <v>4.3999999999999999E-5</v>
      </c>
      <c r="F53">
        <v>1.15E-4</v>
      </c>
      <c r="G53">
        <v>2.0799999999999999E-4</v>
      </c>
      <c r="H53">
        <v>5.8E-5</v>
      </c>
      <c r="I53">
        <v>3.6999999999999998E-5</v>
      </c>
      <c r="J53">
        <v>3.8000000000000002E-5</v>
      </c>
      <c r="K53">
        <v>5.1E-5</v>
      </c>
      <c r="L53">
        <v>2.8899999999999998E-4</v>
      </c>
      <c r="M53">
        <v>0</v>
      </c>
      <c r="N53">
        <v>1.1900000000000001E-4</v>
      </c>
      <c r="O53">
        <v>2.4000000000000001E-5</v>
      </c>
      <c r="P53">
        <v>1.2E-4</v>
      </c>
      <c r="Q53">
        <v>2.0999999999999999E-5</v>
      </c>
      <c r="R53">
        <v>3.19E-4</v>
      </c>
      <c r="S53">
        <v>2.1800000000000001E-4</v>
      </c>
      <c r="T53">
        <v>1.34E-4</v>
      </c>
      <c r="U53">
        <v>4.6500000000000003E-4</v>
      </c>
      <c r="V53">
        <v>1.73E-4</v>
      </c>
      <c r="W53">
        <v>1.75E-4</v>
      </c>
      <c r="X53">
        <v>2.5099999999999998E-4</v>
      </c>
      <c r="Y53">
        <v>1.9000000000000001E-4</v>
      </c>
      <c r="Z53">
        <v>1.5100000000000001E-4</v>
      </c>
      <c r="AA53">
        <v>1.3899999999999999E-4</v>
      </c>
      <c r="AB53">
        <v>2.7E-4</v>
      </c>
      <c r="AC53">
        <v>1.6200000000000001E-4</v>
      </c>
      <c r="AD53">
        <v>2.5399999999999999E-4</v>
      </c>
      <c r="AE53">
        <v>2.4600000000000002E-4</v>
      </c>
      <c r="AF53">
        <v>5.8999999999999998E-5</v>
      </c>
      <c r="AG53">
        <v>2.13E-4</v>
      </c>
      <c r="AH53">
        <v>3.0299999999999999E-4</v>
      </c>
      <c r="AI53">
        <v>1.44E-4</v>
      </c>
      <c r="AJ53">
        <v>4.7199999999999998E-4</v>
      </c>
      <c r="AK53">
        <v>1.0640000000000001E-3</v>
      </c>
      <c r="AL53">
        <v>1.85E-4</v>
      </c>
      <c r="AM53">
        <v>2.3699999999999999E-4</v>
      </c>
      <c r="AN53">
        <v>2.3800000000000001E-4</v>
      </c>
      <c r="AO53">
        <v>2.8699999999999998E-4</v>
      </c>
      <c r="AP53">
        <v>3.9199999999999999E-4</v>
      </c>
      <c r="AQ53">
        <v>3.5E-4</v>
      </c>
      <c r="AR53">
        <v>1.16E-4</v>
      </c>
      <c r="AS53">
        <v>4.1800000000000002E-4</v>
      </c>
      <c r="AT53">
        <v>6.476E-3</v>
      </c>
      <c r="AU53">
        <v>1.2689999999999999E-3</v>
      </c>
      <c r="AV53">
        <v>1.1280000000000001E-3</v>
      </c>
      <c r="AW53">
        <v>7.7899999999999996E-4</v>
      </c>
      <c r="AX53">
        <v>1.27E-4</v>
      </c>
      <c r="AY53">
        <v>4.08E-4</v>
      </c>
      <c r="AZ53">
        <v>4.9700000000000005E-4</v>
      </c>
      <c r="BA53">
        <v>1.0024169999999999</v>
      </c>
      <c r="BB53">
        <v>7.1400000000000001E-4</v>
      </c>
      <c r="BC53">
        <v>1.0809999999999999E-3</v>
      </c>
    </row>
    <row r="54" spans="1:55">
      <c r="A54" t="s">
        <v>54</v>
      </c>
      <c r="B54">
        <v>1.06E-3</v>
      </c>
      <c r="C54">
        <v>1.25E-3</v>
      </c>
      <c r="D54">
        <v>1.7619999999999999E-3</v>
      </c>
      <c r="E54">
        <v>1.725E-3</v>
      </c>
      <c r="F54">
        <v>2.7399999999999999E-4</v>
      </c>
      <c r="G54">
        <v>6.8900000000000005E-4</v>
      </c>
      <c r="H54">
        <v>2.2100000000000001E-4</v>
      </c>
      <c r="I54">
        <v>4.8000000000000001E-5</v>
      </c>
      <c r="J54">
        <v>6.6000000000000005E-5</v>
      </c>
      <c r="K54">
        <v>2.02E-4</v>
      </c>
      <c r="L54">
        <v>4.4299999999999998E-4</v>
      </c>
      <c r="M54">
        <v>0</v>
      </c>
      <c r="N54">
        <v>1.238E-3</v>
      </c>
      <c r="O54">
        <v>6.2000000000000003E-5</v>
      </c>
      <c r="P54">
        <v>5.6400000000000005E-4</v>
      </c>
      <c r="Q54">
        <v>1.4E-5</v>
      </c>
      <c r="R54">
        <v>2.575E-3</v>
      </c>
      <c r="S54">
        <v>1.7440000000000001E-3</v>
      </c>
      <c r="T54">
        <v>8.7699999999999996E-4</v>
      </c>
      <c r="U54">
        <v>2.8349999999999998E-3</v>
      </c>
      <c r="V54">
        <v>3.2919999999999998E-3</v>
      </c>
      <c r="W54">
        <v>3.9360000000000003E-3</v>
      </c>
      <c r="X54">
        <v>1.024E-3</v>
      </c>
      <c r="Y54">
        <v>1.841E-3</v>
      </c>
      <c r="Z54">
        <v>1.065E-3</v>
      </c>
      <c r="AA54">
        <v>1.5699999999999999E-4</v>
      </c>
      <c r="AB54">
        <v>7.2400000000000003E-4</v>
      </c>
      <c r="AC54">
        <v>1.1869999999999999E-3</v>
      </c>
      <c r="AD54">
        <v>1.307E-3</v>
      </c>
      <c r="AE54">
        <v>2.7999999999999998E-4</v>
      </c>
      <c r="AF54">
        <v>7.7999999999999999E-5</v>
      </c>
      <c r="AG54">
        <v>2.1250000000000002E-3</v>
      </c>
      <c r="AH54">
        <v>5.7799999999999995E-4</v>
      </c>
      <c r="AI54">
        <v>6.2500000000000001E-4</v>
      </c>
      <c r="AJ54">
        <v>5.13E-4</v>
      </c>
      <c r="AK54">
        <v>4.0400000000000001E-4</v>
      </c>
      <c r="AL54">
        <v>1.85E-4</v>
      </c>
      <c r="AM54">
        <v>8.3600000000000005E-4</v>
      </c>
      <c r="AN54">
        <v>1.3270000000000001E-3</v>
      </c>
      <c r="AO54">
        <v>3.2699999999999998E-4</v>
      </c>
      <c r="AP54">
        <v>9.3000000000000005E-4</v>
      </c>
      <c r="AQ54">
        <v>3.01E-4</v>
      </c>
      <c r="AR54">
        <v>2.92E-4</v>
      </c>
      <c r="AS54">
        <v>1.7200000000000001E-4</v>
      </c>
      <c r="AT54">
        <v>7.3200000000000001E-4</v>
      </c>
      <c r="AU54">
        <v>1.7470000000000001E-3</v>
      </c>
      <c r="AV54">
        <v>2.6400000000000002E-4</v>
      </c>
      <c r="AW54">
        <v>6.2699999999999995E-4</v>
      </c>
      <c r="AX54">
        <v>1.5200000000000001E-4</v>
      </c>
      <c r="AY54">
        <v>6.3100000000000005E-4</v>
      </c>
      <c r="AZ54">
        <v>2.7E-4</v>
      </c>
      <c r="BA54">
        <v>9.7199999999999999E-4</v>
      </c>
      <c r="BB54">
        <v>1.0058260000000001</v>
      </c>
      <c r="BC54">
        <v>2.8170000000000001E-3</v>
      </c>
    </row>
    <row r="55" spans="1:55">
      <c r="A55" t="s">
        <v>55</v>
      </c>
      <c r="B55">
        <v>2.843E-3</v>
      </c>
      <c r="C55">
        <v>6.3860000000000002E-3</v>
      </c>
      <c r="D55">
        <v>1.2979999999999999E-3</v>
      </c>
      <c r="E55">
        <v>1.044E-3</v>
      </c>
      <c r="F55">
        <v>1.493E-3</v>
      </c>
      <c r="G55">
        <v>5.8694000000000003E-2</v>
      </c>
      <c r="H55">
        <v>2.1229999999999999E-3</v>
      </c>
      <c r="I55">
        <v>7.6300000000000001E-4</v>
      </c>
      <c r="J55">
        <v>5.1999999999999995E-4</v>
      </c>
      <c r="K55">
        <v>5.31E-4</v>
      </c>
      <c r="L55">
        <v>1.114E-3</v>
      </c>
      <c r="M55">
        <v>0</v>
      </c>
      <c r="N55">
        <v>6.2799999999999998E-4</v>
      </c>
      <c r="O55">
        <v>3.0600000000000001E-4</v>
      </c>
      <c r="P55">
        <v>6.6210000000000001E-3</v>
      </c>
      <c r="Q55">
        <v>1.16E-4</v>
      </c>
      <c r="R55">
        <v>3.7569999999999999E-3</v>
      </c>
      <c r="S55">
        <v>2.9380000000000001E-3</v>
      </c>
      <c r="T55">
        <v>1.14E-3</v>
      </c>
      <c r="U55">
        <v>3.107E-3</v>
      </c>
      <c r="V55">
        <v>3.9909999999999998E-3</v>
      </c>
      <c r="W55">
        <v>3.4880000000000002E-3</v>
      </c>
      <c r="X55">
        <v>2.0890000000000001E-3</v>
      </c>
      <c r="Y55">
        <v>1.7401E-2</v>
      </c>
      <c r="Z55">
        <v>1.292E-3</v>
      </c>
      <c r="AA55">
        <v>5.8600000000000004E-4</v>
      </c>
      <c r="AB55">
        <v>2.2300000000000002E-3</v>
      </c>
      <c r="AC55">
        <v>1.6750000000000001E-3</v>
      </c>
      <c r="AD55">
        <v>1.7409999999999999E-3</v>
      </c>
      <c r="AE55">
        <v>7.7899999999999996E-4</v>
      </c>
      <c r="AF55">
        <v>2.72E-4</v>
      </c>
      <c r="AG55">
        <v>4.6245000000000001E-2</v>
      </c>
      <c r="AH55">
        <v>1.864E-3</v>
      </c>
      <c r="AI55">
        <v>4.4590000000000003E-3</v>
      </c>
      <c r="AJ55">
        <v>2.6020000000000001E-3</v>
      </c>
      <c r="AK55">
        <v>2.3340000000000001E-3</v>
      </c>
      <c r="AL55">
        <v>1.928E-3</v>
      </c>
      <c r="AM55">
        <v>6.8690000000000001E-3</v>
      </c>
      <c r="AN55">
        <v>2.862E-3</v>
      </c>
      <c r="AO55">
        <v>3.8739999999999998E-3</v>
      </c>
      <c r="AP55">
        <v>3.2290000000000001E-3</v>
      </c>
      <c r="AQ55">
        <v>7.1500000000000001E-3</v>
      </c>
      <c r="AR55">
        <v>9.1590000000000005E-3</v>
      </c>
      <c r="AS55">
        <v>1.524E-3</v>
      </c>
      <c r="AT55">
        <v>6.8400000000000004E-4</v>
      </c>
      <c r="AU55">
        <v>1.0349999999999999E-3</v>
      </c>
      <c r="AV55">
        <v>7.9799999999999999E-4</v>
      </c>
      <c r="AW55">
        <v>1.699E-3</v>
      </c>
      <c r="AX55">
        <v>6.6200000000000005E-4</v>
      </c>
      <c r="AY55">
        <v>4.3400000000000001E-3</v>
      </c>
      <c r="AZ55">
        <v>5.4580000000000002E-3</v>
      </c>
      <c r="BA55">
        <v>5.3550000000000004E-3</v>
      </c>
      <c r="BB55">
        <v>9.7750000000000007E-3</v>
      </c>
      <c r="BC55">
        <v>1.029061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5"/>
  <sheetViews>
    <sheetView topLeftCell="B37" workbookViewId="0">
      <selection activeCell="D5" sqref="D5"/>
    </sheetView>
  </sheetViews>
  <sheetFormatPr defaultRowHeight="14.5"/>
  <cols>
    <col min="1" max="1" width="41.1796875" customWidth="1"/>
    <col min="2" max="2" width="82" bestFit="1" customWidth="1"/>
    <col min="3" max="3" width="10.90625" bestFit="1" customWidth="1"/>
    <col min="4" max="4" width="12.90625" bestFit="1" customWidth="1"/>
    <col min="5" max="5" width="9.6328125" bestFit="1" customWidth="1"/>
    <col min="6" max="10" width="12" bestFit="1" customWidth="1"/>
    <col min="11" max="11" width="13.54296875" bestFit="1" customWidth="1"/>
    <col min="12" max="12" width="12" bestFit="1" customWidth="1"/>
    <col min="13" max="13" width="14.54296875" bestFit="1" customWidth="1"/>
  </cols>
  <sheetData>
    <row r="1" spans="1:13" s="1" customFormat="1">
      <c r="A1" s="1" t="s">
        <v>0</v>
      </c>
      <c r="B1" s="1" t="s">
        <v>141</v>
      </c>
      <c r="C1" s="1" t="s">
        <v>142</v>
      </c>
      <c r="D1" s="1" t="s">
        <v>143</v>
      </c>
      <c r="E1" s="1" t="s">
        <v>144</v>
      </c>
      <c r="F1" s="1" t="s">
        <v>145</v>
      </c>
      <c r="G1" s="1" t="s">
        <v>146</v>
      </c>
      <c r="H1" s="1" t="s">
        <v>147</v>
      </c>
      <c r="I1" s="1" t="s">
        <v>148</v>
      </c>
      <c r="J1" s="1" t="s">
        <v>149</v>
      </c>
      <c r="K1" s="1" t="s">
        <v>150</v>
      </c>
      <c r="L1" s="1" t="s">
        <v>151</v>
      </c>
      <c r="M1" s="1" t="s">
        <v>152</v>
      </c>
    </row>
    <row r="2" spans="1:13">
      <c r="A2" t="s">
        <v>2</v>
      </c>
      <c r="B2" t="s">
        <v>69</v>
      </c>
      <c r="C2" t="s">
        <v>153</v>
      </c>
      <c r="D2">
        <v>1.222901</v>
      </c>
      <c r="E2">
        <v>4.1065999999999998E-2</v>
      </c>
      <c r="F2">
        <v>15232977.75</v>
      </c>
      <c r="G2">
        <v>18628421.48630473</v>
      </c>
      <c r="H2">
        <v>11793042.779999999</v>
      </c>
      <c r="I2">
        <v>14421722.07675303</v>
      </c>
      <c r="J2">
        <v>18555002.138868839</v>
      </c>
      <c r="K2">
        <v>18555002.138868861</v>
      </c>
      <c r="L2">
        <v>3415493.282411986</v>
      </c>
      <c r="M2">
        <v>3415493.282411986</v>
      </c>
    </row>
    <row r="3" spans="1:13">
      <c r="A3" t="s">
        <v>3</v>
      </c>
      <c r="B3" t="s">
        <v>70</v>
      </c>
      <c r="C3" t="s">
        <v>154</v>
      </c>
      <c r="D3">
        <v>1.100069</v>
      </c>
      <c r="E3">
        <v>1.9258000000000001E-2</v>
      </c>
      <c r="F3">
        <v>6343335</v>
      </c>
      <c r="G3">
        <v>6978109.1889486704</v>
      </c>
      <c r="H3">
        <v>4834558.04</v>
      </c>
      <c r="I3">
        <v>5318349.7140588732</v>
      </c>
      <c r="J3">
        <v>6925847.7484787749</v>
      </c>
      <c r="K3">
        <v>6925847.7484787824</v>
      </c>
      <c r="L3">
        <v>1284743.8335044689</v>
      </c>
      <c r="M3">
        <v>1284743.8335044689</v>
      </c>
    </row>
    <row r="4" spans="1:13">
      <c r="A4" t="s">
        <v>4</v>
      </c>
      <c r="B4" t="s">
        <v>71</v>
      </c>
      <c r="C4" t="s">
        <v>155</v>
      </c>
      <c r="D4">
        <v>1.2799830000000001</v>
      </c>
      <c r="E4">
        <v>5.0608E-2</v>
      </c>
      <c r="F4">
        <v>9572948.4399999995</v>
      </c>
      <c r="G4">
        <v>12253206.874072669</v>
      </c>
      <c r="H4">
        <v>6580000.2000000002</v>
      </c>
      <c r="I4">
        <v>8422285.3791991621</v>
      </c>
      <c r="J4">
        <v>12253206.87407265</v>
      </c>
      <c r="K4">
        <v>12253206.874072669</v>
      </c>
      <c r="L4">
        <v>3820435.2379020839</v>
      </c>
      <c r="M4">
        <v>3820435.2379020839</v>
      </c>
    </row>
    <row r="5" spans="1:13">
      <c r="A5" t="s">
        <v>5</v>
      </c>
      <c r="B5" t="s">
        <v>72</v>
      </c>
      <c r="C5" t="s">
        <v>155</v>
      </c>
      <c r="D5">
        <v>1.2799830000000001</v>
      </c>
      <c r="E5">
        <v>5.0608E-2</v>
      </c>
      <c r="F5">
        <v>18493280.309999999</v>
      </c>
      <c r="G5">
        <v>23671075.93223856</v>
      </c>
      <c r="H5">
        <v>12739667.880000001</v>
      </c>
      <c r="I5">
        <v>16306552.47116515</v>
      </c>
      <c r="J5">
        <v>23671075.93223853</v>
      </c>
      <c r="K5">
        <v>23671075.93223856</v>
      </c>
      <c r="L5">
        <v>6316869.552278162</v>
      </c>
      <c r="M5">
        <v>6316869.552278161</v>
      </c>
    </row>
    <row r="6" spans="1:13">
      <c r="A6" t="s">
        <v>6</v>
      </c>
      <c r="B6" t="s">
        <v>73</v>
      </c>
      <c r="C6" t="s">
        <v>155</v>
      </c>
      <c r="D6">
        <v>1.2799830000000001</v>
      </c>
      <c r="E6">
        <v>5.0608E-2</v>
      </c>
      <c r="F6">
        <v>3787903.62</v>
      </c>
      <c r="G6">
        <v>4848450.5025610086</v>
      </c>
      <c r="H6">
        <v>2415587.52</v>
      </c>
      <c r="I6">
        <v>3091909.85311398</v>
      </c>
      <c r="J6">
        <v>4767545.5452741655</v>
      </c>
      <c r="K6">
        <v>4767545.545274158</v>
      </c>
      <c r="L6">
        <v>1725651.0483695611</v>
      </c>
      <c r="M6">
        <v>1725651.0483695611</v>
      </c>
    </row>
    <row r="7" spans="1:13">
      <c r="A7" t="s">
        <v>7</v>
      </c>
      <c r="B7" t="s">
        <v>74</v>
      </c>
      <c r="C7" t="s">
        <v>156</v>
      </c>
      <c r="D7">
        <v>1.200912</v>
      </c>
      <c r="E7">
        <v>3.7295000000000002E-2</v>
      </c>
      <c r="F7">
        <v>10940863.720000001</v>
      </c>
      <c r="G7">
        <v>13139019.31238299</v>
      </c>
      <c r="H7">
        <v>6657927.6399999997</v>
      </c>
      <c r="I7">
        <v>7995588.1072256444</v>
      </c>
      <c r="J7">
        <v>12940823.53392297</v>
      </c>
      <c r="K7">
        <v>12940823.533922959</v>
      </c>
      <c r="L7">
        <v>3895638.5572544509</v>
      </c>
      <c r="M7">
        <v>3895638.5572544509</v>
      </c>
    </row>
    <row r="8" spans="1:13">
      <c r="A8" t="s">
        <v>8</v>
      </c>
      <c r="B8" t="s">
        <v>75</v>
      </c>
      <c r="C8" t="s">
        <v>157</v>
      </c>
      <c r="D8">
        <v>1.010494</v>
      </c>
      <c r="E8">
        <v>2.0899999999999998E-3</v>
      </c>
      <c r="F8">
        <v>2059366.03</v>
      </c>
      <c r="G8">
        <v>2080977.348972115</v>
      </c>
      <c r="H8">
        <v>1434356.98</v>
      </c>
      <c r="I8">
        <v>1449409.353285315</v>
      </c>
      <c r="J8">
        <v>2080977.348972114</v>
      </c>
      <c r="K8">
        <v>2080977.348972115</v>
      </c>
      <c r="L8">
        <v>550434.45951913996</v>
      </c>
      <c r="M8">
        <v>550434.45951914007</v>
      </c>
    </row>
    <row r="9" spans="1:13">
      <c r="A9" t="s">
        <v>9</v>
      </c>
      <c r="B9" t="s">
        <v>76</v>
      </c>
      <c r="C9" t="s">
        <v>158</v>
      </c>
      <c r="D9">
        <v>1.0508690000000001</v>
      </c>
      <c r="E9">
        <v>9.9729999999999992E-3</v>
      </c>
      <c r="F9">
        <v>9033257.5099999998</v>
      </c>
      <c r="G9">
        <v>9492768.0026131794</v>
      </c>
      <c r="H9">
        <v>7948060.4199999999</v>
      </c>
      <c r="I9">
        <v>8352368.2961864565</v>
      </c>
      <c r="J9">
        <v>9492877.3034715652</v>
      </c>
      <c r="K9">
        <v>9492877.3034715746</v>
      </c>
      <c r="L9">
        <v>895926.95670022024</v>
      </c>
      <c r="M9">
        <v>895926.95670022024</v>
      </c>
    </row>
    <row r="10" spans="1:13">
      <c r="A10" t="s">
        <v>10</v>
      </c>
      <c r="B10" t="s">
        <v>77</v>
      </c>
      <c r="C10" t="s">
        <v>159</v>
      </c>
      <c r="D10">
        <v>1.0445249999999999</v>
      </c>
      <c r="E10">
        <v>8.7500000000000008E-3</v>
      </c>
      <c r="F10">
        <v>17131422.48</v>
      </c>
      <c r="G10">
        <v>17894195.133326512</v>
      </c>
      <c r="H10">
        <v>15098081.52</v>
      </c>
      <c r="I10">
        <v>15770320.1338451</v>
      </c>
      <c r="J10">
        <v>17894195.227333721</v>
      </c>
      <c r="K10">
        <v>17894195.227333739</v>
      </c>
      <c r="L10">
        <v>1641762.537866425</v>
      </c>
      <c r="M10">
        <v>1641762.5378664241</v>
      </c>
    </row>
    <row r="11" spans="1:13">
      <c r="A11" t="s">
        <v>11</v>
      </c>
      <c r="B11" t="s">
        <v>78</v>
      </c>
      <c r="C11" t="s">
        <v>160</v>
      </c>
      <c r="D11">
        <v>0.94220300000000001</v>
      </c>
      <c r="E11">
        <v>-1.1835999999999999E-2</v>
      </c>
      <c r="F11">
        <v>44023354.890000001</v>
      </c>
      <c r="G11">
        <v>41478936.171602003</v>
      </c>
      <c r="H11">
        <v>32291804.649999999</v>
      </c>
      <c r="I11">
        <v>30425434.574216042</v>
      </c>
      <c r="J11">
        <v>42421170.649553113</v>
      </c>
      <c r="K11">
        <v>42421170.649553157</v>
      </c>
      <c r="L11">
        <v>6665457.2768218601</v>
      </c>
      <c r="M11">
        <v>6665457.2768218601</v>
      </c>
    </row>
    <row r="12" spans="1:13">
      <c r="A12" t="s">
        <v>12</v>
      </c>
      <c r="B12" t="s">
        <v>79</v>
      </c>
      <c r="C12" t="s">
        <v>161</v>
      </c>
      <c r="D12">
        <v>1.878679</v>
      </c>
      <c r="E12">
        <v>0.134411</v>
      </c>
      <c r="F12">
        <v>57177797.200000003</v>
      </c>
      <c r="G12">
        <v>107418717.88712209</v>
      </c>
      <c r="H12">
        <v>24970978.27</v>
      </c>
      <c r="I12">
        <v>46912448.564048283</v>
      </c>
      <c r="J12">
        <v>107418357.53773309</v>
      </c>
      <c r="K12">
        <v>107418357.5377333</v>
      </c>
      <c r="L12">
        <v>44257127.945344433</v>
      </c>
      <c r="M12">
        <v>44257127.945344433</v>
      </c>
    </row>
    <row r="13" spans="1:13">
      <c r="A13" t="s">
        <v>13</v>
      </c>
      <c r="B13" t="s">
        <v>80</v>
      </c>
      <c r="C13" t="s">
        <v>162</v>
      </c>
      <c r="D13">
        <v>1</v>
      </c>
      <c r="E13">
        <v>0</v>
      </c>
      <c r="F13">
        <v>0</v>
      </c>
      <c r="G13">
        <v>0</v>
      </c>
      <c r="H13">
        <v>0</v>
      </c>
      <c r="I13">
        <v>0</v>
      </c>
      <c r="J13">
        <v>0</v>
      </c>
      <c r="K13">
        <v>0</v>
      </c>
      <c r="L13">
        <v>0</v>
      </c>
      <c r="M13">
        <v>0</v>
      </c>
    </row>
    <row r="14" spans="1:13">
      <c r="A14" t="s">
        <v>14</v>
      </c>
      <c r="B14" t="s">
        <v>81</v>
      </c>
      <c r="C14" t="s">
        <v>163</v>
      </c>
      <c r="D14">
        <v>1.1333299999999999</v>
      </c>
      <c r="E14">
        <v>2.5347999999999999E-2</v>
      </c>
      <c r="F14">
        <v>38575474.640000001</v>
      </c>
      <c r="G14">
        <v>43718756.43938686</v>
      </c>
      <c r="H14">
        <v>26533315.690000001</v>
      </c>
      <c r="I14">
        <v>30071012.139345929</v>
      </c>
      <c r="J14">
        <v>43717305.119198449</v>
      </c>
      <c r="K14">
        <v>43717305.119198494</v>
      </c>
      <c r="L14">
        <v>9791175.8632758632</v>
      </c>
      <c r="M14">
        <v>9791175.8632758632</v>
      </c>
    </row>
    <row r="15" spans="1:13">
      <c r="A15" t="s">
        <v>15</v>
      </c>
      <c r="B15" t="s">
        <v>82</v>
      </c>
      <c r="C15" t="s">
        <v>164</v>
      </c>
      <c r="D15">
        <v>1.1429450000000001</v>
      </c>
      <c r="E15">
        <v>2.7081999999999998E-2</v>
      </c>
      <c r="F15">
        <v>27782294.640000001</v>
      </c>
      <c r="G15">
        <v>31753633.94116088</v>
      </c>
      <c r="H15">
        <v>17493919.859999999</v>
      </c>
      <c r="I15">
        <v>19994587.726769719</v>
      </c>
      <c r="J15">
        <v>31477022.731044952</v>
      </c>
      <c r="K15">
        <v>31477022.73104497</v>
      </c>
      <c r="L15">
        <v>7252095.6436116183</v>
      </c>
      <c r="M15">
        <v>7252095.6436116192</v>
      </c>
    </row>
    <row r="16" spans="1:13">
      <c r="A16" t="s">
        <v>16</v>
      </c>
      <c r="B16" t="s">
        <v>83</v>
      </c>
      <c r="C16" t="s">
        <v>165</v>
      </c>
      <c r="D16">
        <v>1.291744</v>
      </c>
      <c r="E16">
        <v>5.2532000000000002E-2</v>
      </c>
      <c r="F16">
        <v>135591916.13999999</v>
      </c>
      <c r="G16">
        <v>175150071.2957885</v>
      </c>
      <c r="H16">
        <v>45386064.479999997</v>
      </c>
      <c r="I16">
        <v>58627185.571294948</v>
      </c>
      <c r="J16">
        <v>176887595.12801021</v>
      </c>
      <c r="K16">
        <v>176887595.12801051</v>
      </c>
      <c r="L16">
        <v>96382523.310063258</v>
      </c>
      <c r="M16">
        <v>96382523.310063258</v>
      </c>
    </row>
    <row r="17" spans="1:13">
      <c r="A17" t="s">
        <v>17</v>
      </c>
      <c r="B17" t="s">
        <v>84</v>
      </c>
      <c r="C17" t="s">
        <v>166</v>
      </c>
      <c r="D17">
        <v>0.87068999999999996</v>
      </c>
      <c r="E17">
        <v>-2.7314000000000001E-2</v>
      </c>
      <c r="F17">
        <v>2094.39</v>
      </c>
      <c r="G17">
        <v>1823.563706896553</v>
      </c>
      <c r="H17">
        <v>1314.18</v>
      </c>
      <c r="I17">
        <v>1144.242931034483</v>
      </c>
      <c r="J17">
        <v>1823.894568965517</v>
      </c>
      <c r="K17">
        <v>1823.8945689655191</v>
      </c>
      <c r="L17">
        <v>50.360689655172223</v>
      </c>
      <c r="M17">
        <v>50.36068965517223</v>
      </c>
    </row>
    <row r="18" spans="1:13">
      <c r="A18" t="s">
        <v>18</v>
      </c>
      <c r="B18" t="s">
        <v>85</v>
      </c>
      <c r="C18" t="s">
        <v>167</v>
      </c>
      <c r="D18">
        <v>1.111866</v>
      </c>
      <c r="E18">
        <v>2.1434000000000002E-2</v>
      </c>
      <c r="F18">
        <v>678064.06</v>
      </c>
      <c r="G18">
        <v>753916.33482789923</v>
      </c>
      <c r="H18">
        <v>180081.35</v>
      </c>
      <c r="I18">
        <v>200226.3198596015</v>
      </c>
      <c r="J18">
        <v>753262.39087409433</v>
      </c>
      <c r="K18">
        <v>753262.39087409491</v>
      </c>
      <c r="L18">
        <v>313116.58177083352</v>
      </c>
      <c r="M18">
        <v>313116.58177083341</v>
      </c>
    </row>
    <row r="19" spans="1:13">
      <c r="A19" t="s">
        <v>19</v>
      </c>
      <c r="B19" t="s">
        <v>86</v>
      </c>
      <c r="C19" t="s">
        <v>168</v>
      </c>
      <c r="D19">
        <v>1.026786</v>
      </c>
      <c r="E19">
        <v>5.3010000000000002E-3</v>
      </c>
      <c r="F19">
        <v>3019.29</v>
      </c>
      <c r="G19">
        <v>3100.163839285718</v>
      </c>
      <c r="H19">
        <v>1211.3800000000001</v>
      </c>
      <c r="I19">
        <v>1243.827678571429</v>
      </c>
      <c r="J19">
        <v>3172.0183035714281</v>
      </c>
      <c r="K19">
        <v>3172.0183035714322</v>
      </c>
      <c r="L19">
        <v>1264.3428571428569</v>
      </c>
      <c r="M19">
        <v>1264.3428571428569</v>
      </c>
    </row>
    <row r="20" spans="1:13">
      <c r="A20" t="s">
        <v>20</v>
      </c>
      <c r="B20" t="s">
        <v>87</v>
      </c>
      <c r="C20" t="s">
        <v>169</v>
      </c>
      <c r="D20">
        <v>1.106943</v>
      </c>
      <c r="E20">
        <v>2.0528000000000001E-2</v>
      </c>
      <c r="F20">
        <v>2313218.21</v>
      </c>
      <c r="G20">
        <v>2560600.428038802</v>
      </c>
      <c r="H20">
        <v>907788.44</v>
      </c>
      <c r="I20">
        <v>1004869.950437003</v>
      </c>
      <c r="J20">
        <v>2548041.397271703</v>
      </c>
      <c r="K20">
        <v>2548041.3972717058</v>
      </c>
      <c r="L20">
        <v>1074640.37199927</v>
      </c>
      <c r="M20">
        <v>1074640.37199927</v>
      </c>
    </row>
    <row r="21" spans="1:13">
      <c r="A21" t="s">
        <v>21</v>
      </c>
      <c r="B21" t="s">
        <v>88</v>
      </c>
      <c r="C21" t="s">
        <v>170</v>
      </c>
      <c r="D21">
        <v>1.2691220000000001</v>
      </c>
      <c r="E21">
        <v>4.8819000000000001E-2</v>
      </c>
      <c r="F21">
        <v>18225816.68</v>
      </c>
      <c r="G21">
        <v>23130788.62435979</v>
      </c>
      <c r="H21">
        <v>6359202.2599999998</v>
      </c>
      <c r="I21">
        <v>8070604.7843125211</v>
      </c>
      <c r="J21">
        <v>23156923.264467269</v>
      </c>
      <c r="K21">
        <v>23156923.264467292</v>
      </c>
      <c r="L21">
        <v>10959771.671488071</v>
      </c>
      <c r="M21">
        <v>10959771.671488071</v>
      </c>
    </row>
    <row r="22" spans="1:13">
      <c r="A22" t="s">
        <v>22</v>
      </c>
      <c r="B22" t="s">
        <v>89</v>
      </c>
      <c r="C22" t="s">
        <v>171</v>
      </c>
      <c r="D22">
        <v>1.254613</v>
      </c>
      <c r="E22">
        <v>4.641E-2</v>
      </c>
      <c r="F22">
        <v>18348125.559999999</v>
      </c>
      <c r="G22">
        <v>23019789.804717209</v>
      </c>
      <c r="H22">
        <v>6355016.8300000001</v>
      </c>
      <c r="I22">
        <v>7973084.2888367614</v>
      </c>
      <c r="J22">
        <v>23096567.718208991</v>
      </c>
      <c r="K22">
        <v>23096567.71820901</v>
      </c>
      <c r="L22">
        <v>10180969.32297248</v>
      </c>
      <c r="M22">
        <v>10180969.32297248</v>
      </c>
    </row>
    <row r="23" spans="1:13">
      <c r="A23" t="s">
        <v>23</v>
      </c>
      <c r="B23" t="s">
        <v>90</v>
      </c>
      <c r="C23" t="s">
        <v>172</v>
      </c>
      <c r="D23">
        <v>1.1133489999999999</v>
      </c>
      <c r="E23">
        <v>2.1707000000000001E-2</v>
      </c>
      <c r="F23">
        <v>38608589.25</v>
      </c>
      <c r="G23">
        <v>42984829.183427729</v>
      </c>
      <c r="H23">
        <v>11037340.939999999</v>
      </c>
      <c r="I23">
        <v>12288411.054676211</v>
      </c>
      <c r="J23">
        <v>43046290.049064212</v>
      </c>
      <c r="K23">
        <v>43046290.049064264</v>
      </c>
      <c r="L23">
        <v>23211309.218127549</v>
      </c>
      <c r="M23">
        <v>23211309.218127549</v>
      </c>
    </row>
    <row r="24" spans="1:13">
      <c r="A24" t="s">
        <v>24</v>
      </c>
      <c r="B24" t="s">
        <v>91</v>
      </c>
      <c r="C24" t="s">
        <v>173</v>
      </c>
      <c r="D24">
        <v>1.0970899999999999</v>
      </c>
      <c r="E24">
        <v>1.8704999999999999E-2</v>
      </c>
      <c r="F24">
        <v>3374272.54</v>
      </c>
      <c r="G24">
        <v>3701881.5425475081</v>
      </c>
      <c r="H24">
        <v>1448232.87</v>
      </c>
      <c r="I24">
        <v>1588842.177746437</v>
      </c>
      <c r="J24">
        <v>3779508.193601544</v>
      </c>
      <c r="K24">
        <v>3779508.1936015449</v>
      </c>
      <c r="L24">
        <v>1870932.4217636569</v>
      </c>
      <c r="M24">
        <v>1870932.4217636569</v>
      </c>
    </row>
    <row r="25" spans="1:13">
      <c r="A25" t="s">
        <v>25</v>
      </c>
      <c r="B25" t="s">
        <v>92</v>
      </c>
      <c r="C25" t="s">
        <v>174</v>
      </c>
      <c r="D25">
        <v>0.97150599999999998</v>
      </c>
      <c r="E25">
        <v>-5.7650000000000002E-3</v>
      </c>
      <c r="F25">
        <v>225398.25</v>
      </c>
      <c r="G25">
        <v>218975.65835579531</v>
      </c>
      <c r="H25">
        <v>56228.66</v>
      </c>
      <c r="I25">
        <v>54626.457135155943</v>
      </c>
      <c r="J25">
        <v>218938.78000385061</v>
      </c>
      <c r="K25">
        <v>218938.7800038507</v>
      </c>
      <c r="L25">
        <v>68812.682830188685</v>
      </c>
      <c r="M25">
        <v>68812.682830188685</v>
      </c>
    </row>
    <row r="26" spans="1:13">
      <c r="A26" t="s">
        <v>26</v>
      </c>
      <c r="B26" t="s">
        <v>93</v>
      </c>
      <c r="C26" t="s">
        <v>175</v>
      </c>
      <c r="D26">
        <v>0.97963299999999998</v>
      </c>
      <c r="E26">
        <v>-4.1070000000000004E-3</v>
      </c>
      <c r="F26">
        <v>1748963.3</v>
      </c>
      <c r="G26">
        <v>1713341.9872254811</v>
      </c>
      <c r="H26">
        <v>651932.91</v>
      </c>
      <c r="I26">
        <v>638654.92635385238</v>
      </c>
      <c r="J26">
        <v>1713662.8365924491</v>
      </c>
      <c r="K26">
        <v>1713662.83659245</v>
      </c>
      <c r="L26">
        <v>454726.90995767148</v>
      </c>
      <c r="M26">
        <v>454726.90995767148</v>
      </c>
    </row>
    <row r="27" spans="1:13">
      <c r="A27" t="s">
        <v>27</v>
      </c>
      <c r="B27" t="s">
        <v>94</v>
      </c>
      <c r="C27" t="s">
        <v>176</v>
      </c>
      <c r="D27">
        <v>1.053391</v>
      </c>
      <c r="E27">
        <v>1.0456999999999999E-2</v>
      </c>
      <c r="F27">
        <v>49471.39</v>
      </c>
      <c r="G27">
        <v>52112.719624819692</v>
      </c>
      <c r="H27">
        <v>18497.71</v>
      </c>
      <c r="I27">
        <v>19485.322222222221</v>
      </c>
      <c r="J27">
        <v>52112.71962481962</v>
      </c>
      <c r="K27">
        <v>52112.719624819692</v>
      </c>
      <c r="L27">
        <v>7008.3792207792176</v>
      </c>
      <c r="M27">
        <v>7008.3792207792167</v>
      </c>
    </row>
    <row r="28" spans="1:13">
      <c r="A28" t="s">
        <v>28</v>
      </c>
      <c r="B28" t="s">
        <v>95</v>
      </c>
      <c r="C28" t="s">
        <v>177</v>
      </c>
      <c r="D28">
        <v>1.0511550000000001</v>
      </c>
      <c r="E28">
        <v>1.0028E-2</v>
      </c>
      <c r="F28">
        <v>1144533.18</v>
      </c>
      <c r="G28">
        <v>1203081.9070297009</v>
      </c>
      <c r="H28">
        <v>92944.639999999999</v>
      </c>
      <c r="I28">
        <v>97699.233795379521</v>
      </c>
      <c r="J28">
        <v>1204465.4479042899</v>
      </c>
      <c r="K28">
        <v>1204465.447904289</v>
      </c>
      <c r="L28">
        <v>419825.02518151788</v>
      </c>
      <c r="M28">
        <v>419825.02518151788</v>
      </c>
    </row>
    <row r="29" spans="1:13">
      <c r="A29" t="s">
        <v>29</v>
      </c>
      <c r="B29" t="s">
        <v>96</v>
      </c>
      <c r="C29" t="s">
        <v>178</v>
      </c>
      <c r="D29">
        <v>1.028046</v>
      </c>
      <c r="E29">
        <v>5.5469999999999998E-3</v>
      </c>
      <c r="F29">
        <v>405991.45</v>
      </c>
      <c r="G29">
        <v>417377.68749184668</v>
      </c>
      <c r="H29">
        <v>172629.07</v>
      </c>
      <c r="I29">
        <v>177470.54040292781</v>
      </c>
      <c r="J29">
        <v>416599.63180810207</v>
      </c>
      <c r="K29">
        <v>416599.63180810161</v>
      </c>
      <c r="L29">
        <v>130983.679436191</v>
      </c>
      <c r="M29">
        <v>130983.6794361911</v>
      </c>
    </row>
    <row r="30" spans="1:13">
      <c r="A30" t="s">
        <v>30</v>
      </c>
      <c r="B30" t="s">
        <v>97</v>
      </c>
      <c r="C30" t="s">
        <v>179</v>
      </c>
      <c r="D30">
        <v>0.97031299999999998</v>
      </c>
      <c r="E30">
        <v>-6.0089999999999996E-3</v>
      </c>
      <c r="F30">
        <v>812597.66</v>
      </c>
      <c r="G30">
        <v>788474.21500743425</v>
      </c>
      <c r="H30">
        <v>314829.90999999997</v>
      </c>
      <c r="I30">
        <v>305483.60937700828</v>
      </c>
      <c r="J30">
        <v>797824.94841302582</v>
      </c>
      <c r="K30">
        <v>797824.94841302629</v>
      </c>
      <c r="L30">
        <v>252407.9250798524</v>
      </c>
      <c r="M30">
        <v>252407.9250798524</v>
      </c>
    </row>
    <row r="31" spans="1:13">
      <c r="A31" t="s">
        <v>31</v>
      </c>
      <c r="B31" t="s">
        <v>98</v>
      </c>
      <c r="C31" t="s">
        <v>180</v>
      </c>
      <c r="D31">
        <v>1.2641979999999999</v>
      </c>
      <c r="E31">
        <v>4.8003999999999998E-2</v>
      </c>
      <c r="F31">
        <v>4821769.91</v>
      </c>
      <c r="G31">
        <v>6095669.9454020392</v>
      </c>
      <c r="H31">
        <v>598093.68000000005</v>
      </c>
      <c r="I31">
        <v>756108.59451211395</v>
      </c>
      <c r="J31">
        <v>6095669.9454020346</v>
      </c>
      <c r="K31">
        <v>6095669.9454020401</v>
      </c>
      <c r="L31">
        <v>5115921.6097663371</v>
      </c>
      <c r="M31">
        <v>5115921.6097663371</v>
      </c>
    </row>
    <row r="32" spans="1:13">
      <c r="A32" t="s">
        <v>32</v>
      </c>
      <c r="B32" t="s">
        <v>99</v>
      </c>
      <c r="C32" t="s">
        <v>181</v>
      </c>
      <c r="D32">
        <v>1.652075</v>
      </c>
      <c r="E32">
        <v>0.10562000000000001</v>
      </c>
      <c r="F32">
        <v>106623.23</v>
      </c>
      <c r="G32">
        <v>176149.57724843669</v>
      </c>
      <c r="H32">
        <v>74942.16</v>
      </c>
      <c r="I32">
        <v>123810.0721773735</v>
      </c>
      <c r="J32">
        <v>176149.5772484366</v>
      </c>
      <c r="K32">
        <v>176149.57724843669</v>
      </c>
      <c r="L32">
        <v>50163.623115406452</v>
      </c>
      <c r="M32">
        <v>50163.623115406459</v>
      </c>
    </row>
    <row r="33" spans="1:13">
      <c r="A33" t="s">
        <v>33</v>
      </c>
      <c r="B33" t="s">
        <v>100</v>
      </c>
      <c r="C33" t="s">
        <v>182</v>
      </c>
      <c r="D33">
        <v>0.99952799999999997</v>
      </c>
      <c r="E33">
        <v>-9.3999999999999994E-5</v>
      </c>
      <c r="F33">
        <v>1049277.45</v>
      </c>
      <c r="G33">
        <v>1048781.832436759</v>
      </c>
      <c r="H33">
        <v>605999.24</v>
      </c>
      <c r="I33">
        <v>605713.00124908157</v>
      </c>
      <c r="J33">
        <v>1048781.832436759</v>
      </c>
      <c r="K33">
        <v>1048781.832436759</v>
      </c>
      <c r="L33">
        <v>357390.13993649621</v>
      </c>
      <c r="M33">
        <v>357390.13993649621</v>
      </c>
    </row>
    <row r="34" spans="1:13">
      <c r="A34" t="s">
        <v>34</v>
      </c>
      <c r="B34" t="s">
        <v>101</v>
      </c>
      <c r="C34" t="s">
        <v>183</v>
      </c>
      <c r="D34">
        <v>1.1771799999999999</v>
      </c>
      <c r="E34">
        <v>3.3161999999999997E-2</v>
      </c>
      <c r="F34">
        <v>144059742.06</v>
      </c>
      <c r="G34">
        <v>169584257.9167487</v>
      </c>
      <c r="H34">
        <v>57092347.009999998</v>
      </c>
      <c r="I34">
        <v>67207973.316958532</v>
      </c>
      <c r="J34">
        <v>169584257.9167496</v>
      </c>
      <c r="K34">
        <v>169584257.9167487</v>
      </c>
      <c r="L34">
        <v>54734639.50910262</v>
      </c>
      <c r="M34">
        <v>54734639.50910262</v>
      </c>
    </row>
    <row r="35" spans="1:13">
      <c r="A35" t="s">
        <v>35</v>
      </c>
      <c r="B35" t="s">
        <v>102</v>
      </c>
      <c r="C35" t="s">
        <v>184</v>
      </c>
      <c r="D35">
        <v>1.165678</v>
      </c>
      <c r="E35">
        <v>3.1134999999999999E-2</v>
      </c>
      <c r="F35">
        <v>13176156.039999999</v>
      </c>
      <c r="G35">
        <v>15359154.10071888</v>
      </c>
      <c r="H35">
        <v>9138494.8000000007</v>
      </c>
      <c r="I35">
        <v>10652541.564908341</v>
      </c>
      <c r="J35">
        <v>15359154.100718871</v>
      </c>
      <c r="K35">
        <v>15359154.10071888</v>
      </c>
      <c r="L35">
        <v>2930004.072800043</v>
      </c>
      <c r="M35">
        <v>2930004.072800043</v>
      </c>
    </row>
    <row r="36" spans="1:13">
      <c r="A36" t="s">
        <v>36</v>
      </c>
      <c r="B36" t="s">
        <v>103</v>
      </c>
      <c r="C36" t="s">
        <v>185</v>
      </c>
      <c r="D36">
        <v>1.5258590000000001</v>
      </c>
      <c r="E36">
        <v>8.8184999999999999E-2</v>
      </c>
      <c r="F36">
        <v>80518588.579999998</v>
      </c>
      <c r="G36">
        <v>122860022.470688</v>
      </c>
      <c r="H36">
        <v>53185969.600000001</v>
      </c>
      <c r="I36">
        <v>81154296.609272853</v>
      </c>
      <c r="J36">
        <v>122860022.470688</v>
      </c>
      <c r="K36">
        <v>122860022.470688</v>
      </c>
      <c r="L36">
        <v>29965714.16508453</v>
      </c>
      <c r="M36">
        <v>29965714.16508453</v>
      </c>
    </row>
    <row r="37" spans="1:13">
      <c r="A37" t="s">
        <v>37</v>
      </c>
      <c r="B37" t="s">
        <v>104</v>
      </c>
      <c r="C37" t="s">
        <v>186</v>
      </c>
      <c r="D37">
        <v>2.157321</v>
      </c>
      <c r="E37">
        <v>0.16622700000000001</v>
      </c>
      <c r="F37">
        <v>1663792.81</v>
      </c>
      <c r="G37">
        <v>3589335.4589810548</v>
      </c>
      <c r="H37">
        <v>694999.63</v>
      </c>
      <c r="I37">
        <v>1499337.418063316</v>
      </c>
      <c r="J37">
        <v>3589335.4589810511</v>
      </c>
      <c r="K37">
        <v>3589335.4589810548</v>
      </c>
      <c r="L37">
        <v>1805420.9292446</v>
      </c>
      <c r="M37">
        <v>1805420.9292446</v>
      </c>
    </row>
    <row r="38" spans="1:13">
      <c r="A38" t="s">
        <v>38</v>
      </c>
      <c r="B38" t="s">
        <v>105</v>
      </c>
      <c r="C38" t="s">
        <v>187</v>
      </c>
      <c r="D38">
        <v>1.1294420000000001</v>
      </c>
      <c r="E38">
        <v>2.4643000000000002E-2</v>
      </c>
      <c r="F38">
        <v>10982096.5</v>
      </c>
      <c r="G38">
        <v>12403638.794696899</v>
      </c>
      <c r="H38">
        <v>5524709.8600000003</v>
      </c>
      <c r="I38">
        <v>6239838.2266027667</v>
      </c>
      <c r="J38">
        <v>12403638.79469689</v>
      </c>
      <c r="K38">
        <v>12403638.794696899</v>
      </c>
      <c r="L38">
        <v>4690563.4773497982</v>
      </c>
      <c r="M38">
        <v>4690563.4773497982</v>
      </c>
    </row>
    <row r="39" spans="1:13">
      <c r="A39" t="s">
        <v>39</v>
      </c>
      <c r="B39" t="s">
        <v>106</v>
      </c>
      <c r="C39" t="s">
        <v>188</v>
      </c>
      <c r="D39">
        <v>1.0549489999999999</v>
      </c>
      <c r="E39">
        <v>1.0756E-2</v>
      </c>
      <c r="F39">
        <v>1354680.42</v>
      </c>
      <c r="G39">
        <v>1429119.268249562</v>
      </c>
      <c r="H39">
        <v>396419.8</v>
      </c>
      <c r="I39">
        <v>418202.82195828721</v>
      </c>
      <c r="J39">
        <v>1429119.268249562</v>
      </c>
      <c r="K39">
        <v>1429119.268249562</v>
      </c>
      <c r="L39">
        <v>801544.92607305117</v>
      </c>
      <c r="M39">
        <v>801544.92607305117</v>
      </c>
    </row>
    <row r="40" spans="1:13">
      <c r="A40" t="s">
        <v>40</v>
      </c>
      <c r="B40" t="s">
        <v>107</v>
      </c>
      <c r="C40" t="s">
        <v>189</v>
      </c>
      <c r="D40">
        <v>1.1704600000000001</v>
      </c>
      <c r="E40">
        <v>3.1980000000000001E-2</v>
      </c>
      <c r="F40">
        <v>1144816.28</v>
      </c>
      <c r="G40">
        <v>1339961.148753488</v>
      </c>
      <c r="H40">
        <v>494481.65</v>
      </c>
      <c r="I40">
        <v>578770.76990162965</v>
      </c>
      <c r="J40">
        <v>1339961.148753487</v>
      </c>
      <c r="K40">
        <v>1339961.148753488</v>
      </c>
      <c r="L40">
        <v>569719.77006019664</v>
      </c>
      <c r="M40">
        <v>569719.77006019664</v>
      </c>
    </row>
    <row r="41" spans="1:13">
      <c r="A41" t="s">
        <v>41</v>
      </c>
      <c r="B41" t="s">
        <v>108</v>
      </c>
      <c r="C41" t="s">
        <v>190</v>
      </c>
      <c r="D41">
        <v>1.559593</v>
      </c>
      <c r="E41">
        <v>9.2954999999999996E-2</v>
      </c>
      <c r="F41">
        <v>6584438.4699999997</v>
      </c>
      <c r="G41">
        <v>10269043.911097011</v>
      </c>
      <c r="H41">
        <v>2484948.6</v>
      </c>
      <c r="I41">
        <v>3875508.3529877728</v>
      </c>
      <c r="J41">
        <v>10269043.911097011</v>
      </c>
      <c r="K41">
        <v>10269043.911097011</v>
      </c>
      <c r="L41">
        <v>4548711.1632134309</v>
      </c>
      <c r="M41">
        <v>4548711.1632134318</v>
      </c>
    </row>
    <row r="42" spans="1:13">
      <c r="A42" t="s">
        <v>42</v>
      </c>
      <c r="B42" t="s">
        <v>109</v>
      </c>
      <c r="C42" t="s">
        <v>191</v>
      </c>
      <c r="D42">
        <v>1.3695189999999999</v>
      </c>
      <c r="E42">
        <v>6.4911999999999997E-2</v>
      </c>
      <c r="F42">
        <v>1853062.49</v>
      </c>
      <c r="G42">
        <v>2537804.7491165521</v>
      </c>
      <c r="H42">
        <v>1068440.24</v>
      </c>
      <c r="I42">
        <v>1463249.4747757949</v>
      </c>
      <c r="J42">
        <v>2537804.7491165502</v>
      </c>
      <c r="K42">
        <v>2537804.7491165521</v>
      </c>
      <c r="L42">
        <v>784188.43371011922</v>
      </c>
      <c r="M42">
        <v>784188.43371011922</v>
      </c>
    </row>
    <row r="43" spans="1:13">
      <c r="A43" t="s">
        <v>43</v>
      </c>
      <c r="B43" t="s">
        <v>110</v>
      </c>
      <c r="C43" t="s">
        <v>192</v>
      </c>
      <c r="D43">
        <v>1.626522</v>
      </c>
      <c r="E43">
        <v>0.10217900000000001</v>
      </c>
      <c r="F43">
        <v>1559930.95</v>
      </c>
      <c r="G43">
        <v>2537261.5215577371</v>
      </c>
      <c r="H43">
        <v>961542.86999999988</v>
      </c>
      <c r="I43">
        <v>1563970.3317503841</v>
      </c>
      <c r="J43">
        <v>2537261.5215577348</v>
      </c>
      <c r="K43">
        <v>2537261.5215577371</v>
      </c>
      <c r="L43">
        <v>787474.66843871865</v>
      </c>
      <c r="M43">
        <v>787474.66843871877</v>
      </c>
    </row>
    <row r="44" spans="1:13">
      <c r="A44" t="s">
        <v>44</v>
      </c>
      <c r="B44" t="s">
        <v>111</v>
      </c>
      <c r="C44" t="s">
        <v>193</v>
      </c>
      <c r="D44">
        <v>1.625111</v>
      </c>
      <c r="E44">
        <v>0.10198699999999999</v>
      </c>
      <c r="F44">
        <v>18656941.07</v>
      </c>
      <c r="G44">
        <v>30319603.769787949</v>
      </c>
      <c r="H44">
        <v>7633169.5600000015</v>
      </c>
      <c r="I44">
        <v>12404749.2940281</v>
      </c>
      <c r="J44">
        <v>30319603.769787911</v>
      </c>
      <c r="K44">
        <v>30319603.769787949</v>
      </c>
      <c r="L44">
        <v>14813130.329272229</v>
      </c>
      <c r="M44">
        <v>14813130.329272229</v>
      </c>
    </row>
    <row r="45" spans="1:13">
      <c r="A45" t="s">
        <v>45</v>
      </c>
      <c r="B45" t="s">
        <v>112</v>
      </c>
      <c r="C45" t="s">
        <v>194</v>
      </c>
      <c r="D45">
        <v>1.4080440000000001</v>
      </c>
      <c r="E45">
        <v>7.0836999999999997E-2</v>
      </c>
      <c r="F45">
        <v>24139728.07</v>
      </c>
      <c r="G45">
        <v>33989791.225843906</v>
      </c>
      <c r="H45">
        <v>14936509.689999999</v>
      </c>
      <c r="I45">
        <v>21031257.872238912</v>
      </c>
      <c r="J45">
        <v>33989791.225843877</v>
      </c>
      <c r="K45">
        <v>33989791.225843906</v>
      </c>
      <c r="L45">
        <v>8764045.488361448</v>
      </c>
      <c r="M45">
        <v>8764045.488361448</v>
      </c>
    </row>
    <row r="46" spans="1:13">
      <c r="A46" t="s">
        <v>46</v>
      </c>
      <c r="B46" t="s">
        <v>113</v>
      </c>
      <c r="C46" t="s">
        <v>195</v>
      </c>
      <c r="D46">
        <v>1.256718</v>
      </c>
      <c r="E46">
        <v>4.6760999999999997E-2</v>
      </c>
      <c r="F46">
        <v>7892463.7199999997</v>
      </c>
      <c r="G46">
        <v>9918604.5009072814</v>
      </c>
      <c r="H46">
        <v>6570831.5300000003</v>
      </c>
      <c r="I46">
        <v>8257684.9891634919</v>
      </c>
      <c r="J46">
        <v>9918604.5009072777</v>
      </c>
      <c r="K46">
        <v>9918604.5009072814</v>
      </c>
      <c r="L46">
        <v>984488.00952999748</v>
      </c>
      <c r="M46">
        <v>984488.00952999771</v>
      </c>
    </row>
    <row r="47" spans="1:13">
      <c r="A47" t="s">
        <v>47</v>
      </c>
      <c r="B47" t="s">
        <v>114</v>
      </c>
      <c r="C47" t="s">
        <v>196</v>
      </c>
      <c r="D47">
        <v>1.081836</v>
      </c>
      <c r="E47">
        <v>1.5855999999999999E-2</v>
      </c>
      <c r="F47">
        <v>4634809.8499999996</v>
      </c>
      <c r="G47">
        <v>5014105.0536787491</v>
      </c>
      <c r="H47">
        <v>3105622.1</v>
      </c>
      <c r="I47">
        <v>3359774.3964461451</v>
      </c>
      <c r="J47">
        <v>5014105.0536787435</v>
      </c>
      <c r="K47">
        <v>5014105.0536787491</v>
      </c>
      <c r="L47">
        <v>1145602.1953333409</v>
      </c>
      <c r="M47">
        <v>1145602.1953333409</v>
      </c>
    </row>
    <row r="48" spans="1:13">
      <c r="A48" t="s">
        <v>48</v>
      </c>
      <c r="B48" t="s">
        <v>115</v>
      </c>
      <c r="C48" t="s">
        <v>197</v>
      </c>
      <c r="D48">
        <v>1.3270230000000001</v>
      </c>
      <c r="E48">
        <v>5.8219E-2</v>
      </c>
      <c r="F48">
        <v>1843139.93</v>
      </c>
      <c r="G48">
        <v>2445888.5294781588</v>
      </c>
      <c r="H48">
        <v>1193768.1599999999</v>
      </c>
      <c r="I48">
        <v>1584157.4488597</v>
      </c>
      <c r="J48">
        <v>2445888.5294781579</v>
      </c>
      <c r="K48">
        <v>2445888.5294781588</v>
      </c>
      <c r="L48">
        <v>577473.25008547225</v>
      </c>
      <c r="M48">
        <v>577473.25008547225</v>
      </c>
    </row>
    <row r="49" spans="1:13">
      <c r="A49" t="s">
        <v>49</v>
      </c>
      <c r="B49" t="s">
        <v>116</v>
      </c>
      <c r="C49" t="s">
        <v>198</v>
      </c>
      <c r="D49">
        <v>1.2085109999999999</v>
      </c>
      <c r="E49">
        <v>3.8603999999999999E-2</v>
      </c>
      <c r="F49">
        <v>12947.25</v>
      </c>
      <c r="G49">
        <v>15646.88936170214</v>
      </c>
      <c r="H49">
        <v>8063.14</v>
      </c>
      <c r="I49">
        <v>9744.3904680851065</v>
      </c>
      <c r="J49">
        <v>15646.889361702129</v>
      </c>
      <c r="K49">
        <v>15646.88936170214</v>
      </c>
      <c r="L49">
        <v>3859.535829787234</v>
      </c>
      <c r="M49">
        <v>3859.535829787234</v>
      </c>
    </row>
    <row r="50" spans="1:13">
      <c r="A50" t="s">
        <v>50</v>
      </c>
      <c r="B50" t="s">
        <v>117</v>
      </c>
      <c r="C50" t="s">
        <v>199</v>
      </c>
      <c r="D50">
        <v>1.3537220000000001</v>
      </c>
      <c r="E50">
        <v>6.2444E-2</v>
      </c>
      <c r="F50">
        <v>18557839.469999999</v>
      </c>
      <c r="G50">
        <v>25122147.848843161</v>
      </c>
      <c r="H50">
        <v>15202630.98</v>
      </c>
      <c r="I50">
        <v>20580129.69604392</v>
      </c>
      <c r="J50">
        <v>25122147.848843131</v>
      </c>
      <c r="K50">
        <v>25122147.848843161</v>
      </c>
      <c r="L50">
        <v>3691875.515275239</v>
      </c>
      <c r="M50">
        <v>3691875.515275239</v>
      </c>
    </row>
    <row r="51" spans="1:13">
      <c r="A51" t="s">
        <v>51</v>
      </c>
      <c r="B51" t="s">
        <v>118</v>
      </c>
      <c r="C51" t="s">
        <v>200</v>
      </c>
      <c r="D51">
        <v>1.178841</v>
      </c>
      <c r="E51">
        <v>3.3453999999999998E-2</v>
      </c>
      <c r="F51">
        <v>1091958.22</v>
      </c>
      <c r="G51">
        <v>1287244.7671351989</v>
      </c>
      <c r="H51">
        <v>616521.12</v>
      </c>
      <c r="I51">
        <v>726780.17438096844</v>
      </c>
      <c r="J51">
        <v>1287244.7671351989</v>
      </c>
      <c r="K51">
        <v>1287244.7671351989</v>
      </c>
      <c r="L51">
        <v>361822.06405260519</v>
      </c>
      <c r="M51">
        <v>361822.06405260519</v>
      </c>
    </row>
    <row r="52" spans="1:13">
      <c r="A52" t="s">
        <v>52</v>
      </c>
      <c r="B52" t="s">
        <v>119</v>
      </c>
      <c r="C52" t="s">
        <v>201</v>
      </c>
      <c r="D52">
        <v>1.2634620000000001</v>
      </c>
      <c r="E52">
        <v>4.7882000000000001E-2</v>
      </c>
      <c r="F52">
        <v>21381628.440000001</v>
      </c>
      <c r="G52">
        <v>27014877.27790346</v>
      </c>
      <c r="H52">
        <v>13198712.26</v>
      </c>
      <c r="I52">
        <v>16676072.77578616</v>
      </c>
      <c r="J52">
        <v>27014877.277903412</v>
      </c>
      <c r="K52">
        <v>27014877.27790346</v>
      </c>
      <c r="L52">
        <v>7687397.953473283</v>
      </c>
      <c r="M52">
        <v>7687397.953473282</v>
      </c>
    </row>
    <row r="53" spans="1:13">
      <c r="A53" t="s">
        <v>53</v>
      </c>
      <c r="B53" t="s">
        <v>120</v>
      </c>
      <c r="C53" t="s">
        <v>202</v>
      </c>
      <c r="D53">
        <v>1.240008</v>
      </c>
      <c r="E53">
        <v>4.3962000000000001E-2</v>
      </c>
      <c r="F53">
        <v>16025158.24</v>
      </c>
      <c r="G53">
        <v>19871323.104005571</v>
      </c>
      <c r="H53">
        <v>10941941.310000001</v>
      </c>
      <c r="I53">
        <v>13568093.86214683</v>
      </c>
      <c r="J53">
        <v>19871323.104005542</v>
      </c>
      <c r="K53">
        <v>19871323.104005571</v>
      </c>
      <c r="L53">
        <v>4399730.1260498101</v>
      </c>
      <c r="M53">
        <v>4399730.1260498101</v>
      </c>
    </row>
    <row r="54" spans="1:13">
      <c r="A54" t="s">
        <v>54</v>
      </c>
      <c r="B54" t="s">
        <v>121</v>
      </c>
      <c r="C54" t="s">
        <v>203</v>
      </c>
      <c r="D54">
        <v>1.2490540000000001</v>
      </c>
      <c r="E54">
        <v>4.5481000000000001E-2</v>
      </c>
      <c r="F54">
        <v>6475853.4699999997</v>
      </c>
      <c r="G54">
        <v>8088689.3663875852</v>
      </c>
      <c r="H54">
        <v>3254868.38</v>
      </c>
      <c r="I54">
        <v>4065505.7092107348</v>
      </c>
      <c r="J54">
        <v>8088689.366387574</v>
      </c>
      <c r="K54">
        <v>8088689.3663875852</v>
      </c>
      <c r="L54">
        <v>3155962.7829650482</v>
      </c>
      <c r="M54">
        <v>3155962.7829650482</v>
      </c>
    </row>
    <row r="55" spans="1:13">
      <c r="A55" t="s">
        <v>55</v>
      </c>
      <c r="B55" t="s">
        <v>122</v>
      </c>
      <c r="C55" t="s">
        <v>204</v>
      </c>
      <c r="D55">
        <v>1.138226</v>
      </c>
      <c r="E55">
        <v>2.6231999999999998E-2</v>
      </c>
      <c r="F55">
        <v>5981671.3200000003</v>
      </c>
      <c r="G55">
        <v>6808496.7775789518</v>
      </c>
      <c r="H55">
        <v>3889292.46</v>
      </c>
      <c r="I55">
        <v>4426895.7226777356</v>
      </c>
      <c r="J55">
        <v>6808496.7775789443</v>
      </c>
      <c r="K55">
        <v>6808496.7775789518</v>
      </c>
      <c r="L55">
        <v>1760285.6674234259</v>
      </c>
      <c r="M55">
        <v>1760285.6674234259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6"/>
  <sheetViews>
    <sheetView topLeftCell="A27" workbookViewId="0">
      <selection activeCell="E57" sqref="E57"/>
    </sheetView>
  </sheetViews>
  <sheetFormatPr defaultRowHeight="14.5"/>
  <cols>
    <col min="3" max="3" width="11" bestFit="1" customWidth="1"/>
    <col min="4" max="4" width="12.1796875" bestFit="1" customWidth="1"/>
  </cols>
  <sheetData>
    <row r="1" spans="1:5" s="1" customFormat="1">
      <c r="A1" s="1" t="s">
        <v>0</v>
      </c>
      <c r="B1" s="1" t="s">
        <v>141</v>
      </c>
      <c r="C1" s="1" t="s">
        <v>205</v>
      </c>
      <c r="D1" s="1" t="s">
        <v>206</v>
      </c>
      <c r="E1" s="1" t="s">
        <v>207</v>
      </c>
    </row>
    <row r="2" spans="1:5">
      <c r="A2" t="s">
        <v>2</v>
      </c>
      <c r="B2" t="s">
        <v>69</v>
      </c>
      <c r="C2">
        <v>18628421.486304712</v>
      </c>
      <c r="D2">
        <v>18628421.48630473</v>
      </c>
      <c r="E2">
        <v>-2.2351741790771481E-8</v>
      </c>
    </row>
    <row r="3" spans="1:5">
      <c r="A3" t="s">
        <v>3</v>
      </c>
      <c r="B3" t="s">
        <v>70</v>
      </c>
      <c r="C3">
        <v>6978109.188948663</v>
      </c>
      <c r="D3">
        <v>6978109.1889486704</v>
      </c>
      <c r="E3">
        <v>-7.4505805969238281E-9</v>
      </c>
    </row>
    <row r="4" spans="1:5">
      <c r="A4" t="s">
        <v>4</v>
      </c>
      <c r="B4" t="s">
        <v>71</v>
      </c>
      <c r="C4">
        <v>12253206.87407265</v>
      </c>
      <c r="D4">
        <v>12253206.874072669</v>
      </c>
      <c r="E4">
        <v>-1.676380634307861E-8</v>
      </c>
    </row>
    <row r="5" spans="1:5">
      <c r="A5" t="s">
        <v>5</v>
      </c>
      <c r="B5" t="s">
        <v>72</v>
      </c>
      <c r="C5">
        <v>23671075.93223853</v>
      </c>
      <c r="D5">
        <v>23671075.93223856</v>
      </c>
      <c r="E5">
        <v>-2.6077032089233398E-8</v>
      </c>
    </row>
    <row r="6" spans="1:5">
      <c r="A6" t="s">
        <v>6</v>
      </c>
      <c r="B6" t="s">
        <v>73</v>
      </c>
      <c r="C6">
        <v>4848450.5025610151</v>
      </c>
      <c r="D6">
        <v>4848450.5025610086</v>
      </c>
      <c r="E6">
        <v>6.5192580223083496E-9</v>
      </c>
    </row>
    <row r="7" spans="1:5">
      <c r="A7" t="s">
        <v>7</v>
      </c>
      <c r="B7" t="s">
        <v>74</v>
      </c>
      <c r="C7">
        <v>13139019.312383</v>
      </c>
      <c r="D7">
        <v>13139019.31238299</v>
      </c>
      <c r="E7">
        <v>9.3132257461547852E-9</v>
      </c>
    </row>
    <row r="8" spans="1:5">
      <c r="A8" t="s">
        <v>8</v>
      </c>
      <c r="B8" t="s">
        <v>75</v>
      </c>
      <c r="C8">
        <v>2080977.348972114</v>
      </c>
      <c r="D8">
        <v>2080977.348972115</v>
      </c>
      <c r="E8">
        <v>-9.3132257461547852E-10</v>
      </c>
    </row>
    <row r="9" spans="1:5">
      <c r="A9" t="s">
        <v>9</v>
      </c>
      <c r="B9" t="s">
        <v>76</v>
      </c>
      <c r="C9">
        <v>9492768.0026131701</v>
      </c>
      <c r="D9">
        <v>9492768.0026131794</v>
      </c>
      <c r="E9">
        <v>-9.3132257461547852E-9</v>
      </c>
    </row>
    <row r="10" spans="1:5">
      <c r="A10" t="s">
        <v>10</v>
      </c>
      <c r="B10" t="s">
        <v>77</v>
      </c>
      <c r="C10">
        <v>17894195.133326489</v>
      </c>
      <c r="D10">
        <v>17894195.133326512</v>
      </c>
      <c r="E10">
        <v>-1.862645149230957E-8</v>
      </c>
    </row>
    <row r="11" spans="1:5">
      <c r="A11" t="s">
        <v>11</v>
      </c>
      <c r="B11" t="s">
        <v>78</v>
      </c>
      <c r="C11">
        <v>41478936.171601951</v>
      </c>
      <c r="D11">
        <v>41478936.171602003</v>
      </c>
      <c r="E11">
        <v>-4.4703483581542969E-8</v>
      </c>
    </row>
    <row r="12" spans="1:5">
      <c r="A12" t="s">
        <v>12</v>
      </c>
      <c r="B12" t="s">
        <v>79</v>
      </c>
      <c r="C12">
        <v>107418717.88712201</v>
      </c>
      <c r="D12">
        <v>107418717.88712209</v>
      </c>
      <c r="E12">
        <v>-1.3411045074462891E-7</v>
      </c>
    </row>
    <row r="13" spans="1:5">
      <c r="A13" t="s">
        <v>13</v>
      </c>
      <c r="B13" t="s">
        <v>80</v>
      </c>
      <c r="C13">
        <v>0</v>
      </c>
      <c r="D13">
        <v>0</v>
      </c>
      <c r="E13">
        <v>0</v>
      </c>
    </row>
    <row r="14" spans="1:5">
      <c r="A14" t="s">
        <v>14</v>
      </c>
      <c r="B14" t="s">
        <v>81</v>
      </c>
      <c r="C14">
        <v>43718756.439386822</v>
      </c>
      <c r="D14">
        <v>43718756.43938686</v>
      </c>
      <c r="E14">
        <v>-3.7252902984619141E-8</v>
      </c>
    </row>
    <row r="15" spans="1:5">
      <c r="A15" t="s">
        <v>15</v>
      </c>
      <c r="B15" t="s">
        <v>82</v>
      </c>
      <c r="C15">
        <v>31753633.941160861</v>
      </c>
      <c r="D15">
        <v>31753633.94116088</v>
      </c>
      <c r="E15">
        <v>-1.490116119384766E-8</v>
      </c>
    </row>
    <row r="16" spans="1:5">
      <c r="A16" t="s">
        <v>16</v>
      </c>
      <c r="B16" t="s">
        <v>83</v>
      </c>
      <c r="C16">
        <v>175150071.29578829</v>
      </c>
      <c r="D16">
        <v>175150071.2957885</v>
      </c>
      <c r="E16">
        <v>-2.0861625671386719E-7</v>
      </c>
    </row>
    <row r="17" spans="1:5">
      <c r="A17" t="s">
        <v>17</v>
      </c>
      <c r="B17" t="s">
        <v>84</v>
      </c>
      <c r="C17">
        <v>1823.563706896552</v>
      </c>
      <c r="D17">
        <v>1823.563706896553</v>
      </c>
      <c r="E17">
        <v>-1.364242052659392E-12</v>
      </c>
    </row>
    <row r="18" spans="1:5">
      <c r="A18" t="s">
        <v>18</v>
      </c>
      <c r="B18" t="s">
        <v>85</v>
      </c>
      <c r="C18">
        <v>753916.33482789865</v>
      </c>
      <c r="D18">
        <v>753916.33482789923</v>
      </c>
      <c r="E18">
        <v>-5.8207660913467407E-10</v>
      </c>
    </row>
    <row r="19" spans="1:5">
      <c r="A19" t="s">
        <v>19</v>
      </c>
      <c r="B19" t="s">
        <v>86</v>
      </c>
      <c r="C19">
        <v>3100.163839285713</v>
      </c>
      <c r="D19">
        <v>3100.163839285718</v>
      </c>
      <c r="E19">
        <v>-4.0927261579781771E-12</v>
      </c>
    </row>
    <row r="20" spans="1:5">
      <c r="A20" t="s">
        <v>20</v>
      </c>
      <c r="B20" t="s">
        <v>87</v>
      </c>
      <c r="C20">
        <v>2560600.4280387992</v>
      </c>
      <c r="D20">
        <v>2560600.428038802</v>
      </c>
      <c r="E20">
        <v>-3.2596290111541748E-9</v>
      </c>
    </row>
    <row r="21" spans="1:5">
      <c r="A21" t="s">
        <v>21</v>
      </c>
      <c r="B21" t="s">
        <v>88</v>
      </c>
      <c r="C21">
        <v>23130788.624359772</v>
      </c>
      <c r="D21">
        <v>23130788.62435979</v>
      </c>
      <c r="E21">
        <v>-2.2351741790771481E-8</v>
      </c>
    </row>
    <row r="22" spans="1:5">
      <c r="A22" t="s">
        <v>22</v>
      </c>
      <c r="B22" t="s">
        <v>89</v>
      </c>
      <c r="C22">
        <v>23019789.804717191</v>
      </c>
      <c r="D22">
        <v>23019789.804717209</v>
      </c>
      <c r="E22">
        <v>-1.862645149230957E-8</v>
      </c>
    </row>
    <row r="23" spans="1:5">
      <c r="A23" t="s">
        <v>23</v>
      </c>
      <c r="B23" t="s">
        <v>90</v>
      </c>
      <c r="C23">
        <v>42984829.183427691</v>
      </c>
      <c r="D23">
        <v>42984829.183427729</v>
      </c>
      <c r="E23">
        <v>-3.7252902984619141E-8</v>
      </c>
    </row>
    <row r="24" spans="1:5">
      <c r="A24" t="s">
        <v>24</v>
      </c>
      <c r="B24" t="s">
        <v>91</v>
      </c>
      <c r="C24">
        <v>3701881.5425475049</v>
      </c>
      <c r="D24">
        <v>3701881.5425475081</v>
      </c>
      <c r="E24">
        <v>-2.793967723846436E-9</v>
      </c>
    </row>
    <row r="25" spans="1:5">
      <c r="A25" t="s">
        <v>25</v>
      </c>
      <c r="B25" t="s">
        <v>92</v>
      </c>
      <c r="C25">
        <v>218975.65835579511</v>
      </c>
      <c r="D25">
        <v>218975.65835579531</v>
      </c>
      <c r="E25">
        <v>-1.164153218269348E-10</v>
      </c>
    </row>
    <row r="26" spans="1:5">
      <c r="A26" t="s">
        <v>26</v>
      </c>
      <c r="B26" t="s">
        <v>93</v>
      </c>
      <c r="C26">
        <v>1713341.9872254811</v>
      </c>
      <c r="D26">
        <v>1713341.9872254811</v>
      </c>
      <c r="E26">
        <v>-4.6566128730773926E-10</v>
      </c>
    </row>
    <row r="27" spans="1:5">
      <c r="A27" t="s">
        <v>27</v>
      </c>
      <c r="B27" t="s">
        <v>94</v>
      </c>
      <c r="C27">
        <v>52112.71962481962</v>
      </c>
      <c r="D27">
        <v>52112.719624819692</v>
      </c>
      <c r="E27">
        <v>-7.2759576141834259E-11</v>
      </c>
    </row>
    <row r="28" spans="1:5">
      <c r="A28" t="s">
        <v>28</v>
      </c>
      <c r="B28" t="s">
        <v>95</v>
      </c>
      <c r="C28">
        <v>1203081.907029703</v>
      </c>
      <c r="D28">
        <v>1203081.9070297009</v>
      </c>
      <c r="E28">
        <v>1.629814505577087E-9</v>
      </c>
    </row>
    <row r="29" spans="1:5">
      <c r="A29" t="s">
        <v>29</v>
      </c>
      <c r="B29" t="s">
        <v>96</v>
      </c>
      <c r="C29">
        <v>417377.68749184732</v>
      </c>
      <c r="D29">
        <v>417377.68749184668</v>
      </c>
      <c r="E29">
        <v>5.8207660913467407E-10</v>
      </c>
    </row>
    <row r="30" spans="1:5">
      <c r="A30" t="s">
        <v>30</v>
      </c>
      <c r="B30" t="s">
        <v>97</v>
      </c>
      <c r="C30">
        <v>788474.21500743378</v>
      </c>
      <c r="D30">
        <v>788474.21500743425</v>
      </c>
      <c r="E30">
        <v>-4.6566128730773926E-10</v>
      </c>
    </row>
    <row r="31" spans="1:5">
      <c r="A31" t="s">
        <v>31</v>
      </c>
      <c r="B31" t="s">
        <v>98</v>
      </c>
      <c r="C31">
        <v>6095669.9454020336</v>
      </c>
      <c r="D31">
        <v>6095669.9454020392</v>
      </c>
      <c r="E31">
        <v>-5.5879354476928711E-9</v>
      </c>
    </row>
    <row r="32" spans="1:5">
      <c r="A32" t="s">
        <v>32</v>
      </c>
      <c r="B32" t="s">
        <v>99</v>
      </c>
      <c r="C32">
        <v>176149.5772484366</v>
      </c>
      <c r="D32">
        <v>176149.57724843669</v>
      </c>
      <c r="E32">
        <v>-1.746229827404022E-10</v>
      </c>
    </row>
    <row r="33" spans="1:5">
      <c r="A33" t="s">
        <v>33</v>
      </c>
      <c r="B33" t="s">
        <v>100</v>
      </c>
      <c r="C33">
        <v>1048781.832436759</v>
      </c>
      <c r="D33">
        <v>1048781.832436759</v>
      </c>
      <c r="E33">
        <v>-9.3132257461547852E-10</v>
      </c>
    </row>
    <row r="34" spans="1:5">
      <c r="A34" t="s">
        <v>34</v>
      </c>
      <c r="B34" t="s">
        <v>101</v>
      </c>
      <c r="C34">
        <v>169584257.9167496</v>
      </c>
      <c r="D34">
        <v>169584257.9167487</v>
      </c>
      <c r="E34">
        <v>9.2387199401855469E-7</v>
      </c>
    </row>
    <row r="35" spans="1:5">
      <c r="A35" t="s">
        <v>35</v>
      </c>
      <c r="B35" t="s">
        <v>102</v>
      </c>
      <c r="C35">
        <v>15359154.100718871</v>
      </c>
      <c r="D35">
        <v>15359154.10071888</v>
      </c>
      <c r="E35">
        <v>-5.5879354476928711E-9</v>
      </c>
    </row>
    <row r="36" spans="1:5">
      <c r="A36" t="s">
        <v>36</v>
      </c>
      <c r="B36" t="s">
        <v>103</v>
      </c>
      <c r="C36">
        <v>122860022.470688</v>
      </c>
      <c r="D36">
        <v>122860022.470688</v>
      </c>
      <c r="E36">
        <v>1.490116119384766E-8</v>
      </c>
    </row>
    <row r="37" spans="1:5">
      <c r="A37" t="s">
        <v>37</v>
      </c>
      <c r="B37" t="s">
        <v>104</v>
      </c>
      <c r="C37">
        <v>3589335.4589810511</v>
      </c>
      <c r="D37">
        <v>3589335.4589810548</v>
      </c>
      <c r="E37">
        <v>-4.1909515857696533E-9</v>
      </c>
    </row>
    <row r="38" spans="1:5">
      <c r="A38" t="s">
        <v>38</v>
      </c>
      <c r="B38" t="s">
        <v>105</v>
      </c>
      <c r="C38">
        <v>12403638.79469689</v>
      </c>
      <c r="D38">
        <v>12403638.794696899</v>
      </c>
      <c r="E38">
        <v>-3.7252902984619141E-9</v>
      </c>
    </row>
    <row r="39" spans="1:5">
      <c r="A39" t="s">
        <v>39</v>
      </c>
      <c r="B39" t="s">
        <v>106</v>
      </c>
      <c r="C39">
        <v>1429119.268249562</v>
      </c>
      <c r="D39">
        <v>1429119.268249562</v>
      </c>
      <c r="E39">
        <v>-2.328306436538696E-10</v>
      </c>
    </row>
    <row r="40" spans="1:5">
      <c r="A40" t="s">
        <v>40</v>
      </c>
      <c r="B40" t="s">
        <v>107</v>
      </c>
      <c r="C40">
        <v>1339961.148753487</v>
      </c>
      <c r="D40">
        <v>1339961.148753488</v>
      </c>
      <c r="E40">
        <v>-6.9849193096160889E-10</v>
      </c>
    </row>
    <row r="41" spans="1:5">
      <c r="A41" t="s">
        <v>41</v>
      </c>
      <c r="B41" t="s">
        <v>108</v>
      </c>
      <c r="C41">
        <v>10269043.911097011</v>
      </c>
      <c r="D41">
        <v>10269043.911097011</v>
      </c>
      <c r="E41">
        <v>-3.7252902984619141E-9</v>
      </c>
    </row>
    <row r="42" spans="1:5">
      <c r="A42" t="s">
        <v>42</v>
      </c>
      <c r="B42" t="s">
        <v>109</v>
      </c>
      <c r="C42">
        <v>2537804.7491165502</v>
      </c>
      <c r="D42">
        <v>2537804.7491165521</v>
      </c>
      <c r="E42">
        <v>-1.862645149230957E-9</v>
      </c>
    </row>
    <row r="43" spans="1:5">
      <c r="A43" t="s">
        <v>43</v>
      </c>
      <c r="B43" t="s">
        <v>110</v>
      </c>
      <c r="C43">
        <v>2537261.5215577348</v>
      </c>
      <c r="D43">
        <v>2537261.5215577371</v>
      </c>
      <c r="E43">
        <v>-1.862645149230957E-9</v>
      </c>
    </row>
    <row r="44" spans="1:5">
      <c r="A44" t="s">
        <v>44</v>
      </c>
      <c r="B44" t="s">
        <v>111</v>
      </c>
      <c r="C44">
        <v>30319603.769787911</v>
      </c>
      <c r="D44">
        <v>30319603.769787949</v>
      </c>
      <c r="E44">
        <v>-4.0978193283081048E-8</v>
      </c>
    </row>
    <row r="45" spans="1:5">
      <c r="A45" t="s">
        <v>45</v>
      </c>
      <c r="B45" t="s">
        <v>112</v>
      </c>
      <c r="C45">
        <v>33989791.225843877</v>
      </c>
      <c r="D45">
        <v>33989791.225843906</v>
      </c>
      <c r="E45">
        <v>-2.9802322387695309E-8</v>
      </c>
    </row>
    <row r="46" spans="1:5">
      <c r="A46" t="s">
        <v>46</v>
      </c>
      <c r="B46" t="s">
        <v>113</v>
      </c>
      <c r="C46">
        <v>9918604.5009072777</v>
      </c>
      <c r="D46">
        <v>9918604.5009072814</v>
      </c>
      <c r="E46">
        <v>-3.7252902984619141E-9</v>
      </c>
    </row>
    <row r="47" spans="1:5">
      <c r="A47" t="s">
        <v>47</v>
      </c>
      <c r="B47" t="s">
        <v>114</v>
      </c>
      <c r="C47">
        <v>5014105.0536787435</v>
      </c>
      <c r="D47">
        <v>5014105.0536787491</v>
      </c>
      <c r="E47">
        <v>-4.6566128730773934E-9</v>
      </c>
    </row>
    <row r="48" spans="1:5">
      <c r="A48" t="s">
        <v>48</v>
      </c>
      <c r="B48" t="s">
        <v>115</v>
      </c>
      <c r="C48">
        <v>2445888.5294781579</v>
      </c>
      <c r="D48">
        <v>2445888.5294781588</v>
      </c>
      <c r="E48">
        <v>-9.3132257461547852E-10</v>
      </c>
    </row>
    <row r="49" spans="1:5">
      <c r="A49" t="s">
        <v>49</v>
      </c>
      <c r="B49" t="s">
        <v>116</v>
      </c>
      <c r="C49">
        <v>15646.889361702129</v>
      </c>
      <c r="D49">
        <v>15646.88936170214</v>
      </c>
      <c r="E49">
        <v>-1.455191522836685E-11</v>
      </c>
    </row>
    <row r="50" spans="1:5">
      <c r="A50" t="s">
        <v>50</v>
      </c>
      <c r="B50" t="s">
        <v>117</v>
      </c>
      <c r="C50">
        <v>25122147.848843131</v>
      </c>
      <c r="D50">
        <v>25122147.848843161</v>
      </c>
      <c r="E50">
        <v>-2.2351741790771481E-8</v>
      </c>
    </row>
    <row r="51" spans="1:5">
      <c r="A51" t="s">
        <v>51</v>
      </c>
      <c r="B51" t="s">
        <v>118</v>
      </c>
      <c r="C51">
        <v>1287244.7671351989</v>
      </c>
      <c r="D51">
        <v>1287244.7671351989</v>
      </c>
      <c r="E51">
        <v>-4.6566128730773926E-10</v>
      </c>
    </row>
    <row r="52" spans="1:5">
      <c r="A52" t="s">
        <v>52</v>
      </c>
      <c r="B52" t="s">
        <v>119</v>
      </c>
      <c r="C52">
        <v>27014877.277903412</v>
      </c>
      <c r="D52">
        <v>27014877.27790346</v>
      </c>
      <c r="E52">
        <v>-4.8428773880004883E-8</v>
      </c>
    </row>
    <row r="53" spans="1:5">
      <c r="A53" t="s">
        <v>53</v>
      </c>
      <c r="B53" t="s">
        <v>120</v>
      </c>
      <c r="C53">
        <v>19871323.104005542</v>
      </c>
      <c r="D53">
        <v>19871323.104005571</v>
      </c>
      <c r="E53">
        <v>-2.9802322387695309E-8</v>
      </c>
    </row>
    <row r="54" spans="1:5">
      <c r="A54" t="s">
        <v>54</v>
      </c>
      <c r="B54" t="s">
        <v>121</v>
      </c>
      <c r="C54">
        <v>8088689.366387574</v>
      </c>
      <c r="D54">
        <v>8088689.3663875852</v>
      </c>
      <c r="E54">
        <v>-1.1175870895385741E-8</v>
      </c>
    </row>
    <row r="55" spans="1:5">
      <c r="A55" t="s">
        <v>55</v>
      </c>
      <c r="B55" t="s">
        <v>122</v>
      </c>
      <c r="C55">
        <v>6808496.7775789443</v>
      </c>
      <c r="D55">
        <v>6808496.7775789518</v>
      </c>
      <c r="E55">
        <v>-7.4505805969238281E-9</v>
      </c>
    </row>
    <row r="56" spans="1:5">
      <c r="C56">
        <f>SUM(C2:C55)</f>
        <v>1128183053.1432879</v>
      </c>
      <c r="D56">
        <f>SUM(D2:D55)</f>
        <v>1128183053.1432879</v>
      </c>
      <c r="E56" t="b">
        <f>C56=D56</f>
        <v>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6"/>
  <sheetViews>
    <sheetView topLeftCell="B29" workbookViewId="0">
      <selection activeCell="C56" sqref="C56:D56"/>
    </sheetView>
  </sheetViews>
  <sheetFormatPr defaultRowHeight="14.5"/>
  <cols>
    <col min="1" max="1" width="8.36328125" bestFit="1" customWidth="1"/>
    <col min="2" max="2" width="87.08984375" bestFit="1" customWidth="1"/>
    <col min="3" max="3" width="11" bestFit="1" customWidth="1"/>
    <col min="4" max="4" width="91.36328125" bestFit="1" customWidth="1"/>
  </cols>
  <sheetData>
    <row r="1" spans="1:4" s="1" customFormat="1">
      <c r="A1" s="1" t="s">
        <v>208</v>
      </c>
      <c r="B1" s="1" t="s">
        <v>209</v>
      </c>
      <c r="C1" s="1" t="s">
        <v>142</v>
      </c>
      <c r="D1" s="1" t="s">
        <v>210</v>
      </c>
    </row>
    <row r="2" spans="1:4">
      <c r="A2" t="s">
        <v>2</v>
      </c>
      <c r="B2" t="s">
        <v>69</v>
      </c>
      <c r="C2" t="s">
        <v>153</v>
      </c>
      <c r="D2" t="s">
        <v>211</v>
      </c>
    </row>
    <row r="3" spans="1:4">
      <c r="A3" t="s">
        <v>3</v>
      </c>
      <c r="B3" t="s">
        <v>70</v>
      </c>
      <c r="C3" t="s">
        <v>154</v>
      </c>
      <c r="D3" t="s">
        <v>212</v>
      </c>
    </row>
    <row r="4" spans="1:4">
      <c r="A4" t="s">
        <v>4</v>
      </c>
      <c r="B4" t="s">
        <v>71</v>
      </c>
      <c r="C4" t="s">
        <v>155</v>
      </c>
      <c r="D4" t="s">
        <v>213</v>
      </c>
    </row>
    <row r="5" spans="1:4">
      <c r="A5" t="s">
        <v>5</v>
      </c>
      <c r="B5" t="s">
        <v>72</v>
      </c>
      <c r="C5" t="s">
        <v>155</v>
      </c>
      <c r="D5" t="s">
        <v>213</v>
      </c>
    </row>
    <row r="6" spans="1:4">
      <c r="A6" t="s">
        <v>6</v>
      </c>
      <c r="B6" t="s">
        <v>73</v>
      </c>
      <c r="C6" t="s">
        <v>155</v>
      </c>
      <c r="D6" t="s">
        <v>213</v>
      </c>
    </row>
    <row r="7" spans="1:4">
      <c r="A7" t="s">
        <v>7</v>
      </c>
      <c r="B7" t="s">
        <v>74</v>
      </c>
      <c r="C7" t="s">
        <v>156</v>
      </c>
      <c r="D7" t="s">
        <v>214</v>
      </c>
    </row>
    <row r="8" spans="1:4">
      <c r="A8" t="s">
        <v>8</v>
      </c>
      <c r="B8" t="s">
        <v>75</v>
      </c>
      <c r="C8" t="s">
        <v>157</v>
      </c>
      <c r="D8" t="s">
        <v>215</v>
      </c>
    </row>
    <row r="9" spans="1:4">
      <c r="A9" t="s">
        <v>9</v>
      </c>
      <c r="B9" t="s">
        <v>76</v>
      </c>
      <c r="C9" t="s">
        <v>158</v>
      </c>
      <c r="D9" t="s">
        <v>216</v>
      </c>
    </row>
    <row r="10" spans="1:4">
      <c r="A10" t="s">
        <v>10</v>
      </c>
      <c r="B10" t="s">
        <v>77</v>
      </c>
      <c r="C10" t="s">
        <v>159</v>
      </c>
      <c r="D10" t="s">
        <v>217</v>
      </c>
    </row>
    <row r="11" spans="1:4">
      <c r="A11" t="s">
        <v>11</v>
      </c>
      <c r="B11" t="s">
        <v>78</v>
      </c>
      <c r="C11" t="s">
        <v>160</v>
      </c>
      <c r="D11" t="s">
        <v>218</v>
      </c>
    </row>
    <row r="12" spans="1:4">
      <c r="A12" t="s">
        <v>12</v>
      </c>
      <c r="B12" t="s">
        <v>79</v>
      </c>
      <c r="C12" t="s">
        <v>161</v>
      </c>
      <c r="D12" t="s">
        <v>219</v>
      </c>
    </row>
    <row r="13" spans="1:4">
      <c r="A13" t="s">
        <v>13</v>
      </c>
      <c r="B13" t="s">
        <v>80</v>
      </c>
      <c r="C13" t="s">
        <v>162</v>
      </c>
      <c r="D13" t="s">
        <v>220</v>
      </c>
    </row>
    <row r="14" spans="1:4">
      <c r="A14" t="s">
        <v>14</v>
      </c>
      <c r="B14" t="s">
        <v>81</v>
      </c>
      <c r="C14" t="s">
        <v>163</v>
      </c>
      <c r="D14" t="s">
        <v>221</v>
      </c>
    </row>
    <row r="15" spans="1:4">
      <c r="A15" t="s">
        <v>15</v>
      </c>
      <c r="B15" t="s">
        <v>82</v>
      </c>
      <c r="C15" t="s">
        <v>164</v>
      </c>
      <c r="D15" t="s">
        <v>222</v>
      </c>
    </row>
    <row r="16" spans="1:4">
      <c r="A16" t="s">
        <v>16</v>
      </c>
      <c r="B16" t="s">
        <v>83</v>
      </c>
      <c r="C16" t="s">
        <v>165</v>
      </c>
      <c r="D16" t="s">
        <v>223</v>
      </c>
    </row>
    <row r="17" spans="1:4">
      <c r="A17" t="s">
        <v>17</v>
      </c>
      <c r="B17" t="s">
        <v>84</v>
      </c>
      <c r="C17" t="s">
        <v>166</v>
      </c>
      <c r="D17" t="s">
        <v>224</v>
      </c>
    </row>
    <row r="18" spans="1:4">
      <c r="A18" t="s">
        <v>18</v>
      </c>
      <c r="B18" t="s">
        <v>85</v>
      </c>
      <c r="C18" t="s">
        <v>167</v>
      </c>
      <c r="D18" t="s">
        <v>225</v>
      </c>
    </row>
    <row r="19" spans="1:4">
      <c r="A19" t="s">
        <v>19</v>
      </c>
      <c r="B19" t="s">
        <v>86</v>
      </c>
      <c r="C19" t="s">
        <v>168</v>
      </c>
      <c r="D19" t="s">
        <v>226</v>
      </c>
    </row>
    <row r="20" spans="1:4">
      <c r="A20" t="s">
        <v>20</v>
      </c>
      <c r="B20" t="s">
        <v>87</v>
      </c>
      <c r="C20" t="s">
        <v>169</v>
      </c>
      <c r="D20" t="s">
        <v>227</v>
      </c>
    </row>
    <row r="21" spans="1:4">
      <c r="A21" t="s">
        <v>21</v>
      </c>
      <c r="B21" t="s">
        <v>88</v>
      </c>
      <c r="C21" t="s">
        <v>170</v>
      </c>
      <c r="D21" t="s">
        <v>228</v>
      </c>
    </row>
    <row r="22" spans="1:4">
      <c r="A22" t="s">
        <v>22</v>
      </c>
      <c r="B22" t="s">
        <v>89</v>
      </c>
      <c r="C22" t="s">
        <v>171</v>
      </c>
      <c r="D22" t="s">
        <v>229</v>
      </c>
    </row>
    <row r="23" spans="1:4">
      <c r="A23" t="s">
        <v>23</v>
      </c>
      <c r="B23" t="s">
        <v>90</v>
      </c>
      <c r="C23" t="s">
        <v>172</v>
      </c>
      <c r="D23" t="s">
        <v>230</v>
      </c>
    </row>
    <row r="24" spans="1:4">
      <c r="A24" t="s">
        <v>24</v>
      </c>
      <c r="B24" t="s">
        <v>91</v>
      </c>
      <c r="C24" t="s">
        <v>173</v>
      </c>
      <c r="D24" t="s">
        <v>231</v>
      </c>
    </row>
    <row r="25" spans="1:4">
      <c r="A25" t="s">
        <v>25</v>
      </c>
      <c r="B25" t="s">
        <v>92</v>
      </c>
      <c r="C25" t="s">
        <v>174</v>
      </c>
      <c r="D25" t="s">
        <v>232</v>
      </c>
    </row>
    <row r="26" spans="1:4">
      <c r="A26" t="s">
        <v>26</v>
      </c>
      <c r="B26" t="s">
        <v>93</v>
      </c>
      <c r="C26" t="s">
        <v>175</v>
      </c>
      <c r="D26" t="s">
        <v>233</v>
      </c>
    </row>
    <row r="27" spans="1:4">
      <c r="A27" t="s">
        <v>27</v>
      </c>
      <c r="B27" t="s">
        <v>94</v>
      </c>
      <c r="C27" t="s">
        <v>176</v>
      </c>
      <c r="D27" t="s">
        <v>234</v>
      </c>
    </row>
    <row r="28" spans="1:4">
      <c r="A28" t="s">
        <v>28</v>
      </c>
      <c r="B28" t="s">
        <v>95</v>
      </c>
      <c r="C28" t="s">
        <v>177</v>
      </c>
      <c r="D28" t="s">
        <v>235</v>
      </c>
    </row>
    <row r="29" spans="1:4">
      <c r="A29" t="s">
        <v>29</v>
      </c>
      <c r="B29" t="s">
        <v>96</v>
      </c>
      <c r="C29" t="s">
        <v>178</v>
      </c>
      <c r="D29" t="s">
        <v>236</v>
      </c>
    </row>
    <row r="30" spans="1:4">
      <c r="A30" t="s">
        <v>30</v>
      </c>
      <c r="B30" t="s">
        <v>97</v>
      </c>
      <c r="C30" t="s">
        <v>179</v>
      </c>
      <c r="D30" t="s">
        <v>237</v>
      </c>
    </row>
    <row r="31" spans="1:4">
      <c r="A31" t="s">
        <v>31</v>
      </c>
      <c r="B31" t="s">
        <v>98</v>
      </c>
      <c r="C31" t="s">
        <v>180</v>
      </c>
      <c r="D31" t="s">
        <v>238</v>
      </c>
    </row>
    <row r="32" spans="1:4">
      <c r="A32" t="s">
        <v>32</v>
      </c>
      <c r="B32" t="s">
        <v>99</v>
      </c>
      <c r="C32" t="s">
        <v>181</v>
      </c>
      <c r="D32" t="s">
        <v>239</v>
      </c>
    </row>
    <row r="33" spans="1:4">
      <c r="A33" t="s">
        <v>33</v>
      </c>
      <c r="B33" t="s">
        <v>100</v>
      </c>
      <c r="C33" t="s">
        <v>182</v>
      </c>
      <c r="D33" t="s">
        <v>240</v>
      </c>
    </row>
    <row r="34" spans="1:4">
      <c r="A34" t="s">
        <v>34</v>
      </c>
      <c r="B34" t="s">
        <v>101</v>
      </c>
      <c r="C34" t="s">
        <v>183</v>
      </c>
      <c r="D34" t="s">
        <v>241</v>
      </c>
    </row>
    <row r="35" spans="1:4">
      <c r="A35" t="s">
        <v>35</v>
      </c>
      <c r="B35" t="s">
        <v>102</v>
      </c>
      <c r="C35" t="s">
        <v>184</v>
      </c>
      <c r="D35" t="s">
        <v>242</v>
      </c>
    </row>
    <row r="36" spans="1:4">
      <c r="A36" t="s">
        <v>36</v>
      </c>
      <c r="B36" t="s">
        <v>103</v>
      </c>
      <c r="C36" t="s">
        <v>185</v>
      </c>
      <c r="D36" t="s">
        <v>243</v>
      </c>
    </row>
    <row r="37" spans="1:4">
      <c r="A37" t="s">
        <v>37</v>
      </c>
      <c r="B37" t="s">
        <v>104</v>
      </c>
      <c r="C37" t="s">
        <v>186</v>
      </c>
      <c r="D37" t="s">
        <v>244</v>
      </c>
    </row>
    <row r="38" spans="1:4">
      <c r="A38" t="s">
        <v>38</v>
      </c>
      <c r="B38" t="s">
        <v>105</v>
      </c>
      <c r="C38" t="s">
        <v>187</v>
      </c>
      <c r="D38" t="s">
        <v>245</v>
      </c>
    </row>
    <row r="39" spans="1:4">
      <c r="A39" t="s">
        <v>39</v>
      </c>
      <c r="B39" t="s">
        <v>106</v>
      </c>
      <c r="C39" t="s">
        <v>188</v>
      </c>
      <c r="D39" t="s">
        <v>246</v>
      </c>
    </row>
    <row r="40" spans="1:4">
      <c r="A40" t="s">
        <v>40</v>
      </c>
      <c r="B40" t="s">
        <v>107</v>
      </c>
      <c r="C40" t="s">
        <v>189</v>
      </c>
      <c r="D40" t="s">
        <v>247</v>
      </c>
    </row>
    <row r="41" spans="1:4">
      <c r="A41" t="s">
        <v>41</v>
      </c>
      <c r="B41" t="s">
        <v>108</v>
      </c>
      <c r="C41" t="s">
        <v>190</v>
      </c>
      <c r="D41" t="s">
        <v>248</v>
      </c>
    </row>
    <row r="42" spans="1:4">
      <c r="A42" t="s">
        <v>42</v>
      </c>
      <c r="B42" t="s">
        <v>109</v>
      </c>
      <c r="C42" t="s">
        <v>191</v>
      </c>
      <c r="D42" t="s">
        <v>249</v>
      </c>
    </row>
    <row r="43" spans="1:4">
      <c r="A43" t="s">
        <v>43</v>
      </c>
      <c r="B43" t="s">
        <v>110</v>
      </c>
      <c r="C43" t="s">
        <v>192</v>
      </c>
      <c r="D43" t="s">
        <v>250</v>
      </c>
    </row>
    <row r="44" spans="1:4">
      <c r="A44" t="s">
        <v>44</v>
      </c>
      <c r="B44" t="s">
        <v>111</v>
      </c>
      <c r="C44" t="s">
        <v>193</v>
      </c>
      <c r="D44" t="s">
        <v>251</v>
      </c>
    </row>
    <row r="45" spans="1:4">
      <c r="A45" t="s">
        <v>45</v>
      </c>
      <c r="B45" t="s">
        <v>112</v>
      </c>
      <c r="C45" t="s">
        <v>194</v>
      </c>
      <c r="D45" t="s">
        <v>252</v>
      </c>
    </row>
    <row r="46" spans="1:4">
      <c r="A46" t="s">
        <v>46</v>
      </c>
      <c r="B46" t="s">
        <v>113</v>
      </c>
      <c r="C46" t="s">
        <v>195</v>
      </c>
      <c r="D46" t="s">
        <v>253</v>
      </c>
    </row>
    <row r="47" spans="1:4">
      <c r="A47" t="s">
        <v>47</v>
      </c>
      <c r="B47" t="s">
        <v>114</v>
      </c>
      <c r="C47" t="s">
        <v>196</v>
      </c>
      <c r="D47" t="s">
        <v>254</v>
      </c>
    </row>
    <row r="48" spans="1:4">
      <c r="A48" t="s">
        <v>48</v>
      </c>
      <c r="B48" t="s">
        <v>115</v>
      </c>
      <c r="C48" t="s">
        <v>197</v>
      </c>
      <c r="D48" t="s">
        <v>255</v>
      </c>
    </row>
    <row r="49" spans="1:4">
      <c r="A49" t="s">
        <v>49</v>
      </c>
      <c r="B49" t="s">
        <v>116</v>
      </c>
      <c r="C49" t="s">
        <v>198</v>
      </c>
      <c r="D49" t="s">
        <v>256</v>
      </c>
    </row>
    <row r="50" spans="1:4">
      <c r="A50" t="s">
        <v>50</v>
      </c>
      <c r="B50" t="s">
        <v>117</v>
      </c>
      <c r="C50" t="s">
        <v>199</v>
      </c>
      <c r="D50" t="s">
        <v>257</v>
      </c>
    </row>
    <row r="51" spans="1:4">
      <c r="A51" t="s">
        <v>51</v>
      </c>
      <c r="B51" t="s">
        <v>118</v>
      </c>
      <c r="C51" t="s">
        <v>200</v>
      </c>
      <c r="D51" t="s">
        <v>258</v>
      </c>
    </row>
    <row r="52" spans="1:4">
      <c r="A52" t="s">
        <v>52</v>
      </c>
      <c r="B52" t="s">
        <v>119</v>
      </c>
      <c r="C52" t="s">
        <v>201</v>
      </c>
      <c r="D52" t="s">
        <v>259</v>
      </c>
    </row>
    <row r="53" spans="1:4">
      <c r="A53" t="s">
        <v>53</v>
      </c>
      <c r="B53" t="s">
        <v>120</v>
      </c>
      <c r="C53" t="s">
        <v>202</v>
      </c>
      <c r="D53" t="s">
        <v>260</v>
      </c>
    </row>
    <row r="54" spans="1:4">
      <c r="A54" t="s">
        <v>54</v>
      </c>
      <c r="B54" t="s">
        <v>121</v>
      </c>
      <c r="C54" t="s">
        <v>203</v>
      </c>
      <c r="D54" t="s">
        <v>261</v>
      </c>
    </row>
    <row r="55" spans="1:4">
      <c r="A55" t="s">
        <v>55</v>
      </c>
      <c r="B55" t="s">
        <v>122</v>
      </c>
      <c r="C55" t="s">
        <v>204</v>
      </c>
      <c r="D55" t="s">
        <v>262</v>
      </c>
    </row>
    <row r="56" spans="1:4">
      <c r="A56" t="s">
        <v>56</v>
      </c>
      <c r="B56" t="s">
        <v>123</v>
      </c>
      <c r="C56" t="s">
        <v>204</v>
      </c>
      <c r="D56" t="s">
        <v>262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35B88-9AE2-4105-B20E-CD1011224290}">
  <dimension ref="A1:N62"/>
  <sheetViews>
    <sheetView topLeftCell="A16" workbookViewId="0">
      <selection activeCell="M8" sqref="M8"/>
    </sheetView>
  </sheetViews>
  <sheetFormatPr defaultRowHeight="14.5"/>
  <cols>
    <col min="1" max="1" width="91.36328125" customWidth="1"/>
    <col min="2" max="7" width="13.453125" customWidth="1"/>
    <col min="8" max="12" width="11.6328125" customWidth="1"/>
    <col min="13" max="13" width="16.08984375" customWidth="1"/>
    <col min="14" max="14" width="19.54296875" bestFit="1" customWidth="1"/>
  </cols>
  <sheetData>
    <row r="1" spans="1:14">
      <c r="A1" t="s">
        <v>318</v>
      </c>
      <c r="B1">
        <v>2020</v>
      </c>
      <c r="C1">
        <v>2021</v>
      </c>
      <c r="D1">
        <v>2022</v>
      </c>
      <c r="E1">
        <v>2023</v>
      </c>
      <c r="F1">
        <v>2024</v>
      </c>
      <c r="G1">
        <v>2025</v>
      </c>
      <c r="H1" t="s">
        <v>319</v>
      </c>
      <c r="I1" t="s">
        <v>320</v>
      </c>
      <c r="J1" t="s">
        <v>321</v>
      </c>
      <c r="K1" t="s">
        <v>322</v>
      </c>
      <c r="L1" t="s">
        <v>323</v>
      </c>
      <c r="M1" t="s">
        <v>324</v>
      </c>
      <c r="N1" t="s">
        <v>325</v>
      </c>
    </row>
    <row r="2" spans="1:14">
      <c r="A2" t="s">
        <v>326</v>
      </c>
      <c r="B2" s="2">
        <v>53281530000</v>
      </c>
      <c r="C2" s="2">
        <v>54834530000</v>
      </c>
      <c r="D2" s="2">
        <v>56926730000</v>
      </c>
      <c r="E2" s="2">
        <v>58154460000</v>
      </c>
      <c r="F2" s="2">
        <v>59555280000</v>
      </c>
      <c r="G2" s="2">
        <v>63001260000</v>
      </c>
      <c r="H2" s="3">
        <f>IF(B2=0, 0, (C2/B2)-1)</f>
        <v>2.9147060904594957E-2</v>
      </c>
      <c r="I2" s="3">
        <f t="shared" ref="H2:L33" si="0">IF(C2=0, 0, (D2/C2)-1)</f>
        <v>3.8154790421291107E-2</v>
      </c>
      <c r="J2" s="3">
        <f t="shared" si="0"/>
        <v>2.1566845662837064E-2</v>
      </c>
      <c r="K2" s="3">
        <f t="shared" si="0"/>
        <v>2.408792034179319E-2</v>
      </c>
      <c r="L2" s="3">
        <f t="shared" si="0"/>
        <v>5.7861872196722119E-2</v>
      </c>
      <c r="M2" s="3">
        <f>AVERAGE(H2:L2)</f>
        <v>3.4163697905447689E-2</v>
      </c>
      <c r="N2" s="3">
        <f>IF(B2=0, 0, (G2/B2)^(1/5)-1)</f>
        <v>3.4080883413524665E-2</v>
      </c>
    </row>
    <row r="3" spans="1:14">
      <c r="A3" t="s">
        <v>327</v>
      </c>
      <c r="B3" s="2">
        <v>38528310000</v>
      </c>
      <c r="C3" s="2">
        <v>39746860000</v>
      </c>
      <c r="D3" s="2">
        <v>41737040000</v>
      </c>
      <c r="E3" s="2">
        <v>42923600000</v>
      </c>
      <c r="F3" s="2">
        <v>44181180000</v>
      </c>
      <c r="G3" s="2">
        <v>47555570000</v>
      </c>
      <c r="H3" s="3">
        <f>IF(B3=0, 0, (C3/B3)-1)</f>
        <v>3.1627392948198274E-2</v>
      </c>
      <c r="I3" s="3">
        <f t="shared" si="0"/>
        <v>5.0071376707493398E-2</v>
      </c>
      <c r="J3" s="3">
        <f t="shared" si="0"/>
        <v>2.8429423840310664E-2</v>
      </c>
      <c r="K3" s="3">
        <f t="shared" si="0"/>
        <v>2.9298101743562954E-2</v>
      </c>
      <c r="L3" s="3">
        <f t="shared" si="0"/>
        <v>7.6376185516095374E-2</v>
      </c>
      <c r="M3" s="3">
        <f t="shared" ref="M3:M62" si="1">AVERAGE(H3:L3)</f>
        <v>4.3160496151132134E-2</v>
      </c>
      <c r="N3" s="3">
        <f t="shared" ref="N3:N62" si="2">IF(B3=0, 0, (G3/B3)^(1/5)-1)</f>
        <v>4.2999947044876308E-2</v>
      </c>
    </row>
    <row r="4" spans="1:14">
      <c r="A4" t="s">
        <v>211</v>
      </c>
      <c r="B4" s="2">
        <v>8672690000</v>
      </c>
      <c r="C4" s="2">
        <v>8823530000</v>
      </c>
      <c r="D4" s="2">
        <v>8936280000</v>
      </c>
      <c r="E4" s="2">
        <v>8889850000</v>
      </c>
      <c r="F4" s="2">
        <v>8902880000</v>
      </c>
      <c r="G4" s="2">
        <v>10605840000</v>
      </c>
      <c r="H4" s="3">
        <f t="shared" si="0"/>
        <v>1.7392527577948735E-2</v>
      </c>
      <c r="I4" s="3">
        <f t="shared" si="0"/>
        <v>1.2778332481444554E-2</v>
      </c>
      <c r="J4" s="3">
        <f t="shared" si="0"/>
        <v>-5.195674262668537E-3</v>
      </c>
      <c r="K4" s="3">
        <f t="shared" si="0"/>
        <v>1.4657165194014166E-3</v>
      </c>
      <c r="L4" s="3">
        <f t="shared" si="0"/>
        <v>0.19128192225437157</v>
      </c>
      <c r="M4" s="3">
        <f t="shared" si="1"/>
        <v>4.3544564914099547E-2</v>
      </c>
      <c r="N4" s="3">
        <f t="shared" si="2"/>
        <v>4.106596748763347E-2</v>
      </c>
    </row>
    <row r="5" spans="1:14">
      <c r="A5" t="s">
        <v>212</v>
      </c>
      <c r="B5" s="2">
        <v>3483380000</v>
      </c>
      <c r="C5" s="2">
        <v>3723280000</v>
      </c>
      <c r="D5" s="2">
        <v>3841050000</v>
      </c>
      <c r="E5" s="2">
        <v>3861830000</v>
      </c>
      <c r="F5" s="2">
        <v>3795870000</v>
      </c>
      <c r="G5" s="2">
        <v>3831960000</v>
      </c>
      <c r="H5" s="3">
        <f t="shared" si="0"/>
        <v>6.886989073830585E-2</v>
      </c>
      <c r="I5" s="3">
        <f t="shared" si="0"/>
        <v>3.16307127049269E-2</v>
      </c>
      <c r="J5" s="3">
        <f t="shared" si="0"/>
        <v>5.4099790421890948E-3</v>
      </c>
      <c r="K5" s="3">
        <f t="shared" si="0"/>
        <v>-1.707998539552491E-2</v>
      </c>
      <c r="L5" s="3">
        <f t="shared" si="0"/>
        <v>9.5077017916840312E-3</v>
      </c>
      <c r="M5" s="3">
        <f t="shared" si="1"/>
        <v>1.9667659776316192E-2</v>
      </c>
      <c r="N5" s="3">
        <f t="shared" si="2"/>
        <v>1.9257750665865547E-2</v>
      </c>
    </row>
    <row r="6" spans="1:14">
      <c r="A6" t="s">
        <v>213</v>
      </c>
      <c r="B6" s="2">
        <v>20437060000</v>
      </c>
      <c r="C6" s="2">
        <v>21026190000</v>
      </c>
      <c r="D6" s="2">
        <v>22680220000</v>
      </c>
      <c r="E6" s="2">
        <v>23822170000</v>
      </c>
      <c r="F6" s="2">
        <v>24924260000</v>
      </c>
      <c r="G6" s="2">
        <v>26159080000</v>
      </c>
      <c r="H6" s="3">
        <f t="shared" si="0"/>
        <v>2.8826553330077775E-2</v>
      </c>
      <c r="I6" s="3">
        <f t="shared" si="0"/>
        <v>7.8665226557926182E-2</v>
      </c>
      <c r="J6" s="3">
        <f t="shared" si="0"/>
        <v>5.0350040696254261E-2</v>
      </c>
      <c r="K6" s="3">
        <f t="shared" si="0"/>
        <v>4.6263207759830394E-2</v>
      </c>
      <c r="L6" s="3">
        <f t="shared" si="0"/>
        <v>4.954289515516197E-2</v>
      </c>
      <c r="M6" s="3">
        <f t="shared" si="1"/>
        <v>5.0729584699850117E-2</v>
      </c>
      <c r="N6" s="3">
        <f t="shared" si="2"/>
        <v>5.0608255796950719E-2</v>
      </c>
    </row>
    <row r="7" spans="1:14">
      <c r="A7" t="s">
        <v>214</v>
      </c>
      <c r="B7" s="2">
        <v>5048020000</v>
      </c>
      <c r="C7" s="2">
        <v>5262190000</v>
      </c>
      <c r="D7" s="2">
        <v>5367120000</v>
      </c>
      <c r="E7" s="2">
        <v>5435780000</v>
      </c>
      <c r="F7" s="2">
        <v>5673810000</v>
      </c>
      <c r="G7" s="2">
        <v>6062230000</v>
      </c>
      <c r="H7" s="3">
        <f t="shared" si="0"/>
        <v>4.2426535552553268E-2</v>
      </c>
      <c r="I7" s="3">
        <f t="shared" si="0"/>
        <v>1.9940367033497441E-2</v>
      </c>
      <c r="J7" s="3">
        <f t="shared" si="0"/>
        <v>1.2792708193593683E-2</v>
      </c>
      <c r="K7" s="3">
        <f t="shared" si="0"/>
        <v>4.3789483753941427E-2</v>
      </c>
      <c r="L7" s="3">
        <f t="shared" si="0"/>
        <v>6.8458408018597705E-2</v>
      </c>
      <c r="M7" s="3">
        <f t="shared" si="1"/>
        <v>3.7481500510436708E-2</v>
      </c>
      <c r="N7" s="3">
        <f t="shared" si="2"/>
        <v>3.7294961786997316E-2</v>
      </c>
    </row>
    <row r="8" spans="1:14">
      <c r="A8" t="s">
        <v>215</v>
      </c>
      <c r="B8" s="2">
        <v>887160000</v>
      </c>
      <c r="C8" s="2">
        <v>911680000</v>
      </c>
      <c r="D8" s="2">
        <v>912360000</v>
      </c>
      <c r="E8" s="2">
        <v>913970000</v>
      </c>
      <c r="F8" s="2">
        <v>884360000</v>
      </c>
      <c r="G8" s="2">
        <v>896470000</v>
      </c>
      <c r="H8" s="3">
        <f t="shared" si="0"/>
        <v>2.7638757383110057E-2</v>
      </c>
      <c r="I8" s="3">
        <f t="shared" si="0"/>
        <v>7.4587574587581251E-4</v>
      </c>
      <c r="J8" s="3">
        <f t="shared" si="0"/>
        <v>1.7646543031260009E-3</v>
      </c>
      <c r="K8" s="3">
        <f t="shared" si="0"/>
        <v>-3.2397124632099539E-2</v>
      </c>
      <c r="L8" s="3">
        <f t="shared" si="0"/>
        <v>1.3693518476638467E-2</v>
      </c>
      <c r="M8" s="3">
        <f t="shared" si="1"/>
        <v>2.2891362553301596E-3</v>
      </c>
      <c r="N8" s="3">
        <f t="shared" si="2"/>
        <v>2.0900771043108612E-3</v>
      </c>
    </row>
    <row r="9" spans="1:14">
      <c r="A9" t="s">
        <v>216</v>
      </c>
      <c r="B9" s="2">
        <v>5612680000</v>
      </c>
      <c r="C9" s="2">
        <v>5613870000</v>
      </c>
      <c r="D9" s="2">
        <v>5730890000</v>
      </c>
      <c r="E9" s="2">
        <v>5766940000</v>
      </c>
      <c r="F9" s="2">
        <v>5770230000</v>
      </c>
      <c r="G9" s="2">
        <v>5898190000</v>
      </c>
      <c r="H9" s="3">
        <f t="shared" si="0"/>
        <v>2.1201992630981437E-4</v>
      </c>
      <c r="I9" s="3">
        <f t="shared" si="0"/>
        <v>2.0844800467413771E-2</v>
      </c>
      <c r="J9" s="3">
        <f t="shared" si="0"/>
        <v>6.2904714625477975E-3</v>
      </c>
      <c r="K9" s="3">
        <f t="shared" si="0"/>
        <v>5.7049319049617964E-4</v>
      </c>
      <c r="L9" s="3">
        <f t="shared" si="0"/>
        <v>2.2175892468757841E-2</v>
      </c>
      <c r="M9" s="3">
        <f t="shared" si="1"/>
        <v>1.0018735503105081E-2</v>
      </c>
      <c r="N9" s="3">
        <f t="shared" si="2"/>
        <v>9.9728406763031074E-3</v>
      </c>
    </row>
    <row r="10" spans="1:14">
      <c r="A10" t="s">
        <v>217</v>
      </c>
      <c r="B10" s="2">
        <v>9140530000</v>
      </c>
      <c r="C10" s="2">
        <v>9473800000</v>
      </c>
      <c r="D10" s="2">
        <v>9458800000</v>
      </c>
      <c r="E10" s="2">
        <v>9463930000</v>
      </c>
      <c r="F10" s="2">
        <v>9603870000</v>
      </c>
      <c r="G10" s="2">
        <v>9547510000</v>
      </c>
      <c r="H10" s="3">
        <f t="shared" si="0"/>
        <v>3.6460686634144812E-2</v>
      </c>
      <c r="I10" s="3">
        <f t="shared" si="0"/>
        <v>-1.5833139817179598E-3</v>
      </c>
      <c r="J10" s="3">
        <f t="shared" si="0"/>
        <v>5.4235209540332008E-4</v>
      </c>
      <c r="K10" s="3">
        <f t="shared" si="0"/>
        <v>1.4786668963105098E-2</v>
      </c>
      <c r="L10" s="3">
        <f t="shared" si="0"/>
        <v>-5.8684676073291753E-3</v>
      </c>
      <c r="M10" s="3">
        <f t="shared" si="1"/>
        <v>8.8675852207212198E-3</v>
      </c>
      <c r="N10" s="3">
        <f t="shared" si="2"/>
        <v>8.7504668184783529E-3</v>
      </c>
    </row>
    <row r="11" spans="1:14">
      <c r="A11" t="s">
        <v>328</v>
      </c>
      <c r="B11" s="2">
        <v>68330870000</v>
      </c>
      <c r="C11" s="2">
        <v>72071690000</v>
      </c>
      <c r="D11" s="2">
        <v>76596700000</v>
      </c>
      <c r="E11" s="2">
        <v>82688480000</v>
      </c>
      <c r="F11" s="2">
        <v>85424440000</v>
      </c>
      <c r="G11" s="2">
        <v>88347300000</v>
      </c>
      <c r="H11" s="3">
        <f t="shared" si="0"/>
        <v>5.4745680832104071E-2</v>
      </c>
      <c r="I11" s="3">
        <f t="shared" si="0"/>
        <v>6.2784846588167964E-2</v>
      </c>
      <c r="J11" s="3">
        <f t="shared" si="0"/>
        <v>7.9530580299151277E-2</v>
      </c>
      <c r="K11" s="3">
        <f t="shared" si="0"/>
        <v>3.3087559476241424E-2</v>
      </c>
      <c r="L11" s="3">
        <f t="shared" si="0"/>
        <v>3.4215734981698498E-2</v>
      </c>
      <c r="M11" s="3">
        <f t="shared" si="1"/>
        <v>5.2872880435472648E-2</v>
      </c>
      <c r="N11" s="3">
        <f t="shared" si="2"/>
        <v>5.2725798963738635E-2</v>
      </c>
    </row>
    <row r="12" spans="1:14">
      <c r="A12" t="s">
        <v>218</v>
      </c>
      <c r="B12" s="2">
        <v>29904310000</v>
      </c>
      <c r="C12" s="2">
        <v>29775780000</v>
      </c>
      <c r="D12" s="2">
        <v>28703740000</v>
      </c>
      <c r="E12" s="2">
        <v>28700470000</v>
      </c>
      <c r="F12" s="2">
        <v>28475630000</v>
      </c>
      <c r="G12" s="2">
        <v>28175930000</v>
      </c>
      <c r="H12" s="3">
        <f t="shared" si="0"/>
        <v>-4.2980426567273966E-3</v>
      </c>
      <c r="I12" s="3">
        <f t="shared" si="0"/>
        <v>-3.600375875963624E-2</v>
      </c>
      <c r="J12" s="3">
        <f t="shared" si="0"/>
        <v>-1.1392243658836509E-4</v>
      </c>
      <c r="K12" s="3">
        <f t="shared" si="0"/>
        <v>-7.8340180491818234E-3</v>
      </c>
      <c r="L12" s="3">
        <f t="shared" si="0"/>
        <v>-1.0524789091584608E-2</v>
      </c>
      <c r="M12" s="3">
        <f t="shared" si="1"/>
        <v>-1.1754906198743687E-2</v>
      </c>
      <c r="N12" s="3">
        <f t="shared" si="2"/>
        <v>-1.1836303221219868E-2</v>
      </c>
    </row>
    <row r="13" spans="1:14">
      <c r="A13" t="s">
        <v>219</v>
      </c>
      <c r="B13" s="2">
        <v>22300150000</v>
      </c>
      <c r="C13" s="2">
        <v>25808120000</v>
      </c>
      <c r="D13" s="2">
        <v>30834600000</v>
      </c>
      <c r="E13" s="2">
        <v>36834140000</v>
      </c>
      <c r="F13" s="2">
        <v>39114130000</v>
      </c>
      <c r="G13" s="2">
        <v>41894820000</v>
      </c>
      <c r="H13" s="3">
        <f t="shared" si="0"/>
        <v>0.15730701362995325</v>
      </c>
      <c r="I13" s="3">
        <f t="shared" si="0"/>
        <v>0.19476350853917301</v>
      </c>
      <c r="J13" s="3">
        <f t="shared" si="0"/>
        <v>0.19457168246061252</v>
      </c>
      <c r="K13" s="3">
        <f t="shared" si="0"/>
        <v>6.1898825383190692E-2</v>
      </c>
      <c r="L13" s="3">
        <f t="shared" si="0"/>
        <v>7.1091700109397804E-2</v>
      </c>
      <c r="M13" s="3">
        <f t="shared" si="1"/>
        <v>0.13592654602446547</v>
      </c>
      <c r="N13" s="3">
        <f t="shared" si="2"/>
        <v>0.13441120854473998</v>
      </c>
    </row>
    <row r="14" spans="1:14">
      <c r="A14" t="s">
        <v>220</v>
      </c>
      <c r="B14">
        <v>0</v>
      </c>
      <c r="C14">
        <v>0</v>
      </c>
      <c r="D14">
        <v>0</v>
      </c>
      <c r="E14">
        <v>0</v>
      </c>
      <c r="F14">
        <v>0</v>
      </c>
      <c r="G14">
        <v>0</v>
      </c>
      <c r="H14" s="3">
        <f t="shared" si="0"/>
        <v>0</v>
      </c>
      <c r="I14" s="3">
        <f t="shared" si="0"/>
        <v>0</v>
      </c>
      <c r="J14" s="3">
        <f t="shared" si="0"/>
        <v>0</v>
      </c>
      <c r="K14" s="3">
        <f t="shared" si="0"/>
        <v>0</v>
      </c>
      <c r="L14" s="3">
        <f t="shared" si="0"/>
        <v>0</v>
      </c>
      <c r="M14" s="3">
        <f t="shared" si="1"/>
        <v>0</v>
      </c>
      <c r="N14" s="3">
        <f t="shared" si="2"/>
        <v>0</v>
      </c>
    </row>
    <row r="15" spans="1:14">
      <c r="A15" t="s">
        <v>221</v>
      </c>
      <c r="B15" s="2">
        <v>16126410000</v>
      </c>
      <c r="C15" s="2">
        <v>16487790000</v>
      </c>
      <c r="D15" s="2">
        <v>17058350000</v>
      </c>
      <c r="E15" s="2">
        <v>17153870000</v>
      </c>
      <c r="F15" s="2">
        <v>17834680000</v>
      </c>
      <c r="G15" s="2">
        <v>18276550000</v>
      </c>
      <c r="H15" s="3">
        <f t="shared" si="0"/>
        <v>2.2409203288270563E-2</v>
      </c>
      <c r="I15" s="3">
        <f t="shared" si="0"/>
        <v>3.4605001640608091E-2</v>
      </c>
      <c r="J15" s="3">
        <f t="shared" si="0"/>
        <v>5.5996037131376131E-3</v>
      </c>
      <c r="K15" s="3">
        <f t="shared" si="0"/>
        <v>3.9688420164079696E-2</v>
      </c>
      <c r="L15" s="3">
        <f t="shared" si="0"/>
        <v>2.4775886082621046E-2</v>
      </c>
      <c r="M15" s="3">
        <f t="shared" si="1"/>
        <v>2.5415622977743402E-2</v>
      </c>
      <c r="N15" s="3">
        <f t="shared" si="2"/>
        <v>2.5348037080659136E-2</v>
      </c>
    </row>
    <row r="16" spans="1:14">
      <c r="A16" t="s">
        <v>329</v>
      </c>
      <c r="B16" s="2">
        <v>59276640000</v>
      </c>
      <c r="C16" s="2">
        <v>60571420000</v>
      </c>
      <c r="D16" s="2">
        <v>63307610000</v>
      </c>
      <c r="E16" s="2">
        <v>65761470000</v>
      </c>
      <c r="F16" s="2">
        <v>68741770000</v>
      </c>
      <c r="G16" s="2">
        <v>71873300000</v>
      </c>
      <c r="H16" s="3">
        <f t="shared" si="0"/>
        <v>2.1843005946355909E-2</v>
      </c>
      <c r="I16" s="3">
        <f t="shared" si="0"/>
        <v>4.5172954505606766E-2</v>
      </c>
      <c r="J16" s="3">
        <f t="shared" si="0"/>
        <v>3.8760900940661092E-2</v>
      </c>
      <c r="K16" s="3">
        <f t="shared" si="0"/>
        <v>4.5319850666355244E-2</v>
      </c>
      <c r="L16" s="3">
        <f t="shared" si="0"/>
        <v>4.5554980618043528E-2</v>
      </c>
      <c r="M16" s="3">
        <f t="shared" si="1"/>
        <v>3.9330338535404505E-2</v>
      </c>
      <c r="N16" s="3">
        <f t="shared" si="2"/>
        <v>3.92901265686878E-2</v>
      </c>
    </row>
    <row r="17" spans="1:14">
      <c r="A17" t="s">
        <v>222</v>
      </c>
      <c r="B17" s="2">
        <v>13841970000</v>
      </c>
      <c r="C17" s="2">
        <v>14118320000</v>
      </c>
      <c r="D17" s="2">
        <v>14775400000</v>
      </c>
      <c r="E17" s="2">
        <v>15308240000</v>
      </c>
      <c r="F17" s="2">
        <v>15606870000</v>
      </c>
      <c r="G17" s="2">
        <v>15820610000</v>
      </c>
      <c r="H17" s="3">
        <f t="shared" si="0"/>
        <v>1.9964643760967515E-2</v>
      </c>
      <c r="I17" s="3">
        <f t="shared" si="0"/>
        <v>4.6540948214801814E-2</v>
      </c>
      <c r="J17" s="3">
        <f t="shared" si="0"/>
        <v>3.6062644666134291E-2</v>
      </c>
      <c r="K17" s="3">
        <f t="shared" si="0"/>
        <v>1.9507794494990849E-2</v>
      </c>
      <c r="L17" s="3">
        <f t="shared" si="0"/>
        <v>1.3695250873493547E-2</v>
      </c>
      <c r="M17" s="3">
        <f t="shared" si="1"/>
        <v>2.7154256402077602E-2</v>
      </c>
      <c r="N17" s="3">
        <f t="shared" si="2"/>
        <v>2.708187252982186E-2</v>
      </c>
    </row>
    <row r="18" spans="1:14">
      <c r="A18" t="s">
        <v>223</v>
      </c>
      <c r="B18" s="2">
        <v>23726230000</v>
      </c>
      <c r="C18" s="2">
        <v>24141880000</v>
      </c>
      <c r="D18" s="2">
        <v>25267060000</v>
      </c>
      <c r="E18" s="2">
        <v>26891650000</v>
      </c>
      <c r="F18" s="2">
        <v>28311610000</v>
      </c>
      <c r="G18" s="2">
        <v>30648220000</v>
      </c>
      <c r="H18" s="3">
        <f t="shared" si="0"/>
        <v>1.7518585970042411E-2</v>
      </c>
      <c r="I18" s="3">
        <f t="shared" si="0"/>
        <v>4.6606975098873793E-2</v>
      </c>
      <c r="J18" s="3">
        <f t="shared" si="0"/>
        <v>6.4296756330178395E-2</v>
      </c>
      <c r="K18" s="3">
        <f t="shared" si="0"/>
        <v>5.2803007625043419E-2</v>
      </c>
      <c r="L18" s="3">
        <f t="shared" si="0"/>
        <v>8.2531865902363055E-2</v>
      </c>
      <c r="M18" s="3">
        <f t="shared" si="1"/>
        <v>5.2751438185300217E-2</v>
      </c>
      <c r="N18" s="3">
        <f t="shared" si="2"/>
        <v>5.2531989241665356E-2</v>
      </c>
    </row>
    <row r="19" spans="1:14">
      <c r="A19" t="s">
        <v>224</v>
      </c>
      <c r="B19" s="2">
        <v>1160000</v>
      </c>
      <c r="C19" s="2">
        <v>1150000</v>
      </c>
      <c r="D19" s="2">
        <v>1130000</v>
      </c>
      <c r="E19" s="2">
        <v>1070000</v>
      </c>
      <c r="F19" s="2">
        <v>990000</v>
      </c>
      <c r="G19" s="2">
        <v>1010000</v>
      </c>
      <c r="H19" s="3">
        <f t="shared" si="0"/>
        <v>-8.6206896551723755E-3</v>
      </c>
      <c r="I19" s="3">
        <f t="shared" si="0"/>
        <v>-1.7391304347826098E-2</v>
      </c>
      <c r="J19" s="3">
        <f t="shared" si="0"/>
        <v>-5.3097345132743334E-2</v>
      </c>
      <c r="K19" s="3">
        <f t="shared" si="0"/>
        <v>-7.4766355140186924E-2</v>
      </c>
      <c r="L19" s="3">
        <f t="shared" si="0"/>
        <v>2.020202020202011E-2</v>
      </c>
      <c r="M19" s="3">
        <f t="shared" si="1"/>
        <v>-2.6734734814781724E-2</v>
      </c>
      <c r="N19" s="3">
        <f t="shared" si="2"/>
        <v>-2.7313973461035368E-2</v>
      </c>
    </row>
    <row r="20" spans="1:14">
      <c r="A20" t="s">
        <v>225</v>
      </c>
      <c r="B20" s="2">
        <v>110400000</v>
      </c>
      <c r="C20" s="2">
        <v>113400000</v>
      </c>
      <c r="D20" s="2">
        <v>119790000</v>
      </c>
      <c r="E20" s="2">
        <v>115590000</v>
      </c>
      <c r="F20" s="2">
        <v>117160000</v>
      </c>
      <c r="G20" s="2">
        <v>122750000</v>
      </c>
      <c r="H20" s="3">
        <f t="shared" si="0"/>
        <v>2.7173913043478271E-2</v>
      </c>
      <c r="I20" s="3">
        <f t="shared" si="0"/>
        <v>5.6349206349206371E-2</v>
      </c>
      <c r="J20" s="3">
        <f t="shared" si="0"/>
        <v>-3.5061357375406943E-2</v>
      </c>
      <c r="K20" s="3">
        <f t="shared" si="0"/>
        <v>1.3582489834760736E-2</v>
      </c>
      <c r="L20" s="3">
        <f t="shared" si="0"/>
        <v>4.7712529873676912E-2</v>
      </c>
      <c r="M20" s="3">
        <f t="shared" si="1"/>
        <v>2.1951356345143069E-2</v>
      </c>
      <c r="N20" s="3">
        <f t="shared" si="2"/>
        <v>2.1434412909193012E-2</v>
      </c>
    </row>
    <row r="21" spans="1:14">
      <c r="A21" t="s">
        <v>226</v>
      </c>
      <c r="B21" s="2">
        <v>1120000</v>
      </c>
      <c r="C21" s="2">
        <v>1170000</v>
      </c>
      <c r="D21" s="2">
        <v>1140000</v>
      </c>
      <c r="E21" s="2">
        <v>1140000</v>
      </c>
      <c r="F21" s="2">
        <v>1140000</v>
      </c>
      <c r="G21" s="2">
        <v>1150000</v>
      </c>
      <c r="H21" s="3">
        <f t="shared" si="0"/>
        <v>4.4642857142857206E-2</v>
      </c>
      <c r="I21" s="3">
        <f t="shared" si="0"/>
        <v>-2.5641025641025661E-2</v>
      </c>
      <c r="J21" s="3">
        <f t="shared" si="0"/>
        <v>0</v>
      </c>
      <c r="K21" s="3">
        <f t="shared" si="0"/>
        <v>0</v>
      </c>
      <c r="L21" s="3">
        <f t="shared" si="0"/>
        <v>8.7719298245614308E-3</v>
      </c>
      <c r="M21" s="3">
        <f t="shared" si="1"/>
        <v>5.5547522652785956E-3</v>
      </c>
      <c r="N21" s="3">
        <f t="shared" si="2"/>
        <v>5.3006504136214883E-3</v>
      </c>
    </row>
    <row r="22" spans="1:14">
      <c r="A22" t="s">
        <v>227</v>
      </c>
      <c r="B22" s="2">
        <v>630430000</v>
      </c>
      <c r="C22" s="2">
        <v>641930000</v>
      </c>
      <c r="D22" s="2">
        <v>658920000</v>
      </c>
      <c r="E22" s="2">
        <v>666190000</v>
      </c>
      <c r="F22" s="2">
        <v>679890000</v>
      </c>
      <c r="G22" s="2">
        <v>697850000</v>
      </c>
      <c r="H22" s="3">
        <f t="shared" si="0"/>
        <v>1.8241517694272069E-2</v>
      </c>
      <c r="I22" s="3">
        <f t="shared" si="0"/>
        <v>2.6467060271369247E-2</v>
      </c>
      <c r="J22" s="3">
        <f t="shared" si="0"/>
        <v>1.1033205852000183E-2</v>
      </c>
      <c r="K22" s="3">
        <f t="shared" si="0"/>
        <v>2.0564703763190639E-2</v>
      </c>
      <c r="L22" s="3">
        <f t="shared" si="0"/>
        <v>2.6416037888481902E-2</v>
      </c>
      <c r="M22" s="3">
        <f t="shared" si="1"/>
        <v>2.0544505093862808E-2</v>
      </c>
      <c r="N22" s="3">
        <f t="shared" si="2"/>
        <v>2.0528275869349244E-2</v>
      </c>
    </row>
    <row r="23" spans="1:14">
      <c r="A23" t="s">
        <v>228</v>
      </c>
      <c r="B23" s="2">
        <v>4063470000</v>
      </c>
      <c r="C23" s="2">
        <v>4216600000</v>
      </c>
      <c r="D23" s="2">
        <v>4419810000</v>
      </c>
      <c r="E23" s="2">
        <v>4618640000</v>
      </c>
      <c r="F23" s="2">
        <v>4984630000</v>
      </c>
      <c r="G23" s="2">
        <v>5157040000</v>
      </c>
      <c r="H23" s="3">
        <f t="shared" si="0"/>
        <v>3.7684540552778811E-2</v>
      </c>
      <c r="I23" s="3">
        <f t="shared" si="0"/>
        <v>4.8192856804060158E-2</v>
      </c>
      <c r="J23" s="3">
        <f t="shared" si="0"/>
        <v>4.4986096687414268E-2</v>
      </c>
      <c r="K23" s="3">
        <f t="shared" si="0"/>
        <v>7.9241941350700618E-2</v>
      </c>
      <c r="L23" s="3">
        <f t="shared" si="0"/>
        <v>3.4588324509542412E-2</v>
      </c>
      <c r="M23" s="3">
        <f t="shared" si="1"/>
        <v>4.8938751980899253E-2</v>
      </c>
      <c r="N23" s="3">
        <f t="shared" si="2"/>
        <v>4.8819343356976574E-2</v>
      </c>
    </row>
    <row r="24" spans="1:14">
      <c r="A24" t="s">
        <v>229</v>
      </c>
      <c r="B24" s="2">
        <v>5292550000</v>
      </c>
      <c r="C24" s="2">
        <v>5517430000</v>
      </c>
      <c r="D24" s="2">
        <v>6081480000</v>
      </c>
      <c r="E24" s="2">
        <v>6056920000</v>
      </c>
      <c r="F24" s="2">
        <v>6396870000</v>
      </c>
      <c r="G24" s="2">
        <v>6640100000</v>
      </c>
      <c r="H24" s="3">
        <f t="shared" si="0"/>
        <v>4.2489915069295447E-2</v>
      </c>
      <c r="I24" s="3">
        <f t="shared" si="0"/>
        <v>0.10223056749247394</v>
      </c>
      <c r="J24" s="3">
        <f t="shared" si="0"/>
        <v>-4.0384906305701573E-3</v>
      </c>
      <c r="K24" s="3">
        <f t="shared" si="0"/>
        <v>5.6125885763721461E-2</v>
      </c>
      <c r="L24" s="3">
        <f t="shared" si="0"/>
        <v>3.8023283261970242E-2</v>
      </c>
      <c r="M24" s="3">
        <f t="shared" si="1"/>
        <v>4.6966232191378188E-2</v>
      </c>
      <c r="N24" s="3">
        <f t="shared" si="2"/>
        <v>4.6410117418139496E-2</v>
      </c>
    </row>
    <row r="25" spans="1:14">
      <c r="A25" t="s">
        <v>230</v>
      </c>
      <c r="B25" s="2">
        <v>9620740000</v>
      </c>
      <c r="C25" s="2">
        <v>9819760000</v>
      </c>
      <c r="D25" s="2">
        <v>9974910000</v>
      </c>
      <c r="E25" s="2">
        <v>10059660000</v>
      </c>
      <c r="F25" s="2">
        <v>10598880000</v>
      </c>
      <c r="G25" s="2">
        <v>10711240000</v>
      </c>
      <c r="H25" s="3">
        <f t="shared" si="0"/>
        <v>2.0686558414425571E-2</v>
      </c>
      <c r="I25" s="3">
        <f t="shared" si="0"/>
        <v>1.5799775147254058E-2</v>
      </c>
      <c r="J25" s="3">
        <f t="shared" si="0"/>
        <v>8.4963172600054371E-3</v>
      </c>
      <c r="K25" s="3">
        <f t="shared" si="0"/>
        <v>5.360220921979475E-2</v>
      </c>
      <c r="L25" s="3">
        <f t="shared" si="0"/>
        <v>1.0601120118352236E-2</v>
      </c>
      <c r="M25" s="3">
        <f t="shared" si="1"/>
        <v>2.1837196031966412E-2</v>
      </c>
      <c r="N25" s="3">
        <f t="shared" si="2"/>
        <v>2.1706730885851622E-2</v>
      </c>
    </row>
    <row r="26" spans="1:14">
      <c r="A26" t="s">
        <v>231</v>
      </c>
      <c r="B26" s="2">
        <v>976720000</v>
      </c>
      <c r="C26" s="2">
        <v>986700000</v>
      </c>
      <c r="D26" s="2">
        <v>1005820000</v>
      </c>
      <c r="E26" s="2">
        <v>1042890000</v>
      </c>
      <c r="F26" s="2">
        <v>1042270000</v>
      </c>
      <c r="G26" s="2">
        <v>1071550000</v>
      </c>
      <c r="H26" s="3">
        <f t="shared" si="0"/>
        <v>1.0217872061593969E-2</v>
      </c>
      <c r="I26" s="3">
        <f t="shared" si="0"/>
        <v>1.9377723725549911E-2</v>
      </c>
      <c r="J26" s="3">
        <f t="shared" si="0"/>
        <v>3.6855500984271483E-2</v>
      </c>
      <c r="K26" s="3">
        <f t="shared" si="0"/>
        <v>-5.9450181706599547E-4</v>
      </c>
      <c r="L26" s="3">
        <f t="shared" si="0"/>
        <v>2.8092528807314832E-2</v>
      </c>
      <c r="M26" s="3">
        <f t="shared" si="1"/>
        <v>1.8789824752332838E-2</v>
      </c>
      <c r="N26" s="3">
        <f t="shared" si="2"/>
        <v>1.8705080259516338E-2</v>
      </c>
    </row>
    <row r="27" spans="1:14">
      <c r="A27" t="s">
        <v>232</v>
      </c>
      <c r="B27" s="2">
        <v>51940000</v>
      </c>
      <c r="C27" s="2">
        <v>51040000</v>
      </c>
      <c r="D27" s="2">
        <v>51120000</v>
      </c>
      <c r="E27" s="2">
        <v>50510000</v>
      </c>
      <c r="F27" s="2">
        <v>50720000</v>
      </c>
      <c r="G27" s="2">
        <v>50460000</v>
      </c>
      <c r="H27" s="3">
        <f t="shared" si="0"/>
        <v>-1.732768579129762E-2</v>
      </c>
      <c r="I27" s="3">
        <f t="shared" si="0"/>
        <v>1.5673981191222097E-3</v>
      </c>
      <c r="J27" s="3">
        <f t="shared" si="0"/>
        <v>-1.1932707355242544E-2</v>
      </c>
      <c r="K27" s="3">
        <f t="shared" si="0"/>
        <v>4.1575925559296234E-3</v>
      </c>
      <c r="L27" s="3">
        <f t="shared" si="0"/>
        <v>-5.1261829652996527E-3</v>
      </c>
      <c r="M27" s="3">
        <f t="shared" si="1"/>
        <v>-5.7323170873575966E-3</v>
      </c>
      <c r="N27" s="3">
        <f t="shared" si="2"/>
        <v>-5.7649710154537015E-3</v>
      </c>
    </row>
    <row r="28" spans="1:14">
      <c r="A28" t="s">
        <v>233</v>
      </c>
      <c r="B28" s="2">
        <v>526830000</v>
      </c>
      <c r="C28" s="2">
        <v>528110000</v>
      </c>
      <c r="D28" s="2">
        <v>512730000</v>
      </c>
      <c r="E28" s="2">
        <v>512320000</v>
      </c>
      <c r="F28" s="2">
        <v>514670000</v>
      </c>
      <c r="G28" s="2">
        <v>516100000</v>
      </c>
      <c r="H28" s="3">
        <f t="shared" si="0"/>
        <v>2.4296262551486425E-3</v>
      </c>
      <c r="I28" s="3">
        <f t="shared" si="0"/>
        <v>-2.9122720645320066E-2</v>
      </c>
      <c r="J28" s="3">
        <f t="shared" si="0"/>
        <v>-7.9964113666064485E-4</v>
      </c>
      <c r="K28" s="3">
        <f t="shared" si="0"/>
        <v>4.5869768894442053E-3</v>
      </c>
      <c r="L28" s="3">
        <f t="shared" si="0"/>
        <v>2.77847941399334E-3</v>
      </c>
      <c r="M28" s="3">
        <f t="shared" si="1"/>
        <v>-4.0254558446789048E-3</v>
      </c>
      <c r="N28" s="3">
        <f t="shared" si="2"/>
        <v>-4.1070171819808099E-3</v>
      </c>
    </row>
    <row r="29" spans="1:14">
      <c r="A29" t="s">
        <v>234</v>
      </c>
      <c r="B29" s="2">
        <v>13860000</v>
      </c>
      <c r="C29" s="2">
        <v>13940000</v>
      </c>
      <c r="D29" s="2">
        <v>14340000</v>
      </c>
      <c r="E29" s="2">
        <v>14690000</v>
      </c>
      <c r="F29" s="2">
        <v>14340000</v>
      </c>
      <c r="G29" s="2">
        <v>14600000</v>
      </c>
      <c r="H29" s="3">
        <f t="shared" si="0"/>
        <v>5.7720057720058726E-3</v>
      </c>
      <c r="I29" s="3">
        <f t="shared" si="0"/>
        <v>2.8694404591104838E-2</v>
      </c>
      <c r="J29" s="3">
        <f t="shared" si="0"/>
        <v>2.440725244072528E-2</v>
      </c>
      <c r="K29" s="3">
        <f t="shared" si="0"/>
        <v>-2.3825731790333537E-2</v>
      </c>
      <c r="L29" s="3">
        <f t="shared" si="0"/>
        <v>1.8131101813110284E-2</v>
      </c>
      <c r="M29" s="3">
        <f t="shared" si="1"/>
        <v>1.0635806565322547E-2</v>
      </c>
      <c r="N29" s="3">
        <f t="shared" si="2"/>
        <v>1.0457205351023902E-2</v>
      </c>
    </row>
    <row r="30" spans="1:14">
      <c r="A30" t="s">
        <v>235</v>
      </c>
      <c r="B30" s="2">
        <v>72720000</v>
      </c>
      <c r="C30" s="2">
        <v>73400000</v>
      </c>
      <c r="D30" s="2">
        <v>74950000</v>
      </c>
      <c r="E30" s="2">
        <v>74930000</v>
      </c>
      <c r="F30" s="2">
        <v>77150000</v>
      </c>
      <c r="G30" s="2">
        <v>76440000</v>
      </c>
      <c r="H30" s="3">
        <f t="shared" si="0"/>
        <v>9.3509350935092606E-3</v>
      </c>
      <c r="I30" s="3">
        <f t="shared" si="0"/>
        <v>2.1117166212534011E-2</v>
      </c>
      <c r="J30" s="3">
        <f t="shared" si="0"/>
        <v>-2.6684456304204573E-4</v>
      </c>
      <c r="K30" s="3">
        <f t="shared" si="0"/>
        <v>2.9627652475644028E-2</v>
      </c>
      <c r="L30" s="3">
        <f t="shared" si="0"/>
        <v>-9.2028515878159745E-3</v>
      </c>
      <c r="M30" s="3">
        <f t="shared" si="1"/>
        <v>1.0125211526165856E-2</v>
      </c>
      <c r="N30" s="3">
        <f t="shared" si="2"/>
        <v>1.0027879462652933E-2</v>
      </c>
    </row>
    <row r="31" spans="1:14">
      <c r="A31" t="s">
        <v>236</v>
      </c>
      <c r="B31" s="2">
        <v>137990000</v>
      </c>
      <c r="C31" s="2">
        <v>138520000</v>
      </c>
      <c r="D31" s="2">
        <v>139420000</v>
      </c>
      <c r="E31" s="2">
        <v>139310000</v>
      </c>
      <c r="F31" s="2">
        <v>136930000</v>
      </c>
      <c r="G31" s="2">
        <v>141860000</v>
      </c>
      <c r="H31" s="3">
        <f t="shared" si="0"/>
        <v>3.840858033190786E-3</v>
      </c>
      <c r="I31" s="3">
        <f t="shared" si="0"/>
        <v>6.4972567138319448E-3</v>
      </c>
      <c r="J31" s="3">
        <f t="shared" si="0"/>
        <v>-7.8898292927842562E-4</v>
      </c>
      <c r="K31" s="3">
        <f t="shared" si="0"/>
        <v>-1.7084200703467056E-2</v>
      </c>
      <c r="L31" s="3">
        <f t="shared" si="0"/>
        <v>3.6003797560797413E-2</v>
      </c>
      <c r="M31" s="3">
        <f t="shared" si="1"/>
        <v>5.6937457350149327E-3</v>
      </c>
      <c r="N31" s="3">
        <f t="shared" si="2"/>
        <v>5.5472165445382693E-3</v>
      </c>
    </row>
    <row r="32" spans="1:14">
      <c r="A32" t="s">
        <v>237</v>
      </c>
      <c r="B32" s="2">
        <v>208510000</v>
      </c>
      <c r="C32" s="2">
        <v>208070000</v>
      </c>
      <c r="D32" s="2">
        <v>209590000</v>
      </c>
      <c r="E32" s="2">
        <v>207740000</v>
      </c>
      <c r="F32" s="2">
        <v>207650000</v>
      </c>
      <c r="G32" s="2">
        <v>202320000</v>
      </c>
      <c r="H32" s="3">
        <f t="shared" si="0"/>
        <v>-2.1102105414608774E-3</v>
      </c>
      <c r="I32" s="3">
        <f t="shared" si="0"/>
        <v>7.305233815542822E-3</v>
      </c>
      <c r="J32" s="3">
        <f t="shared" si="0"/>
        <v>-8.826757001765384E-3</v>
      </c>
      <c r="K32" s="3">
        <f t="shared" si="0"/>
        <v>-4.3323385000482162E-4</v>
      </c>
      <c r="L32" s="3">
        <f t="shared" si="0"/>
        <v>-2.566819166867329E-2</v>
      </c>
      <c r="M32" s="3">
        <f t="shared" si="1"/>
        <v>-5.9466318492723104E-3</v>
      </c>
      <c r="N32" s="3">
        <f t="shared" si="2"/>
        <v>-6.0091522585700163E-3</v>
      </c>
    </row>
    <row r="33" spans="1:14">
      <c r="A33" t="s">
        <v>330</v>
      </c>
      <c r="B33" s="2">
        <v>395090000</v>
      </c>
      <c r="C33" s="2">
        <v>417840000</v>
      </c>
      <c r="D33" s="2">
        <v>423940000</v>
      </c>
      <c r="E33" s="2">
        <v>442180000</v>
      </c>
      <c r="F33" s="2">
        <v>480120000</v>
      </c>
      <c r="G33" s="2">
        <v>513140000</v>
      </c>
      <c r="H33" s="3">
        <f t="shared" si="0"/>
        <v>5.7581816801235197E-2</v>
      </c>
      <c r="I33" s="3">
        <f t="shared" si="0"/>
        <v>1.4598889527091652E-2</v>
      </c>
      <c r="J33" s="3">
        <f t="shared" si="0"/>
        <v>4.30249563617493E-2</v>
      </c>
      <c r="K33" s="3">
        <f t="shared" si="0"/>
        <v>8.5802162015468753E-2</v>
      </c>
      <c r="L33" s="3">
        <f t="shared" si="0"/>
        <v>6.8774473048404561E-2</v>
      </c>
      <c r="M33" s="3">
        <f t="shared" si="1"/>
        <v>5.3956459550789891E-2</v>
      </c>
      <c r="N33" s="3">
        <f t="shared" si="2"/>
        <v>5.36781311590524E-2</v>
      </c>
    </row>
    <row r="34" spans="1:14">
      <c r="A34" t="s">
        <v>238</v>
      </c>
      <c r="B34" s="2">
        <v>359920000</v>
      </c>
      <c r="C34" s="2">
        <v>383140000</v>
      </c>
      <c r="D34" s="2">
        <v>388140000</v>
      </c>
      <c r="E34" s="2">
        <v>397520000</v>
      </c>
      <c r="F34" s="2">
        <v>428610000</v>
      </c>
      <c r="G34" s="2">
        <v>455010000</v>
      </c>
      <c r="H34" s="3">
        <f t="shared" ref="H34:L62" si="3">IF(B34=0, 0, (C34/B34)-1)</f>
        <v>6.4514336519226445E-2</v>
      </c>
      <c r="I34" s="3">
        <f t="shared" si="3"/>
        <v>1.3050060030276089E-2</v>
      </c>
      <c r="J34" s="3">
        <f t="shared" si="3"/>
        <v>2.416653784716849E-2</v>
      </c>
      <c r="K34" s="3">
        <f t="shared" si="3"/>
        <v>7.8209901388609282E-2</v>
      </c>
      <c r="L34" s="3">
        <f t="shared" si="3"/>
        <v>6.159445649891504E-2</v>
      </c>
      <c r="M34" s="3">
        <f t="shared" si="1"/>
        <v>4.8307058456839067E-2</v>
      </c>
      <c r="N34" s="3">
        <f t="shared" si="2"/>
        <v>4.8004125502930206E-2</v>
      </c>
    </row>
    <row r="35" spans="1:14">
      <c r="A35" t="s">
        <v>239</v>
      </c>
      <c r="B35" s="2">
        <v>35180000</v>
      </c>
      <c r="C35" s="2">
        <v>34700000</v>
      </c>
      <c r="D35" s="2">
        <v>35800000</v>
      </c>
      <c r="E35" s="2">
        <v>44670000</v>
      </c>
      <c r="F35" s="2">
        <v>51510000</v>
      </c>
      <c r="G35" s="2">
        <v>58120000</v>
      </c>
      <c r="H35" s="3">
        <f t="shared" si="3"/>
        <v>-1.3644115974985827E-2</v>
      </c>
      <c r="I35" s="3">
        <f t="shared" si="3"/>
        <v>3.170028818443793E-2</v>
      </c>
      <c r="J35" s="3">
        <f t="shared" si="3"/>
        <v>0.24776536312849151</v>
      </c>
      <c r="K35" s="3">
        <f t="shared" si="3"/>
        <v>0.15312290127602424</v>
      </c>
      <c r="L35" s="3">
        <f t="shared" si="3"/>
        <v>0.12832459716559885</v>
      </c>
      <c r="M35" s="3">
        <f t="shared" si="1"/>
        <v>0.10945380675591335</v>
      </c>
      <c r="N35" s="3">
        <f t="shared" si="2"/>
        <v>0.10562017279277125</v>
      </c>
    </row>
    <row r="36" spans="1:14">
      <c r="A36" t="s">
        <v>240</v>
      </c>
      <c r="B36" s="2">
        <v>381080000</v>
      </c>
      <c r="C36" s="2">
        <v>363220000</v>
      </c>
      <c r="D36" s="2">
        <v>365630000</v>
      </c>
      <c r="E36" s="2">
        <v>366020000</v>
      </c>
      <c r="F36" s="2">
        <v>376570000</v>
      </c>
      <c r="G36" s="2">
        <v>380900000</v>
      </c>
      <c r="H36" s="3">
        <f t="shared" si="3"/>
        <v>-4.6866799622126587E-2</v>
      </c>
      <c r="I36" s="3">
        <f t="shared" si="3"/>
        <v>6.6350971862783048E-3</v>
      </c>
      <c r="J36" s="3">
        <f t="shared" si="3"/>
        <v>1.0666520799715862E-3</v>
      </c>
      <c r="K36" s="3">
        <f t="shared" si="3"/>
        <v>2.8823561554013333E-2</v>
      </c>
      <c r="L36" s="3">
        <f t="shared" si="3"/>
        <v>1.149852617043301E-2</v>
      </c>
      <c r="M36" s="3">
        <f t="shared" si="1"/>
        <v>2.3140747371392935E-4</v>
      </c>
      <c r="N36" s="3">
        <f t="shared" si="2"/>
        <v>-9.4486206701271946E-5</v>
      </c>
    </row>
    <row r="37" spans="1:14">
      <c r="A37" t="s">
        <v>241</v>
      </c>
      <c r="B37" s="2">
        <v>36678560000</v>
      </c>
      <c r="C37" s="2">
        <v>36671660000</v>
      </c>
      <c r="D37" s="2">
        <v>37136080000</v>
      </c>
      <c r="E37" s="2">
        <v>38455690000</v>
      </c>
      <c r="F37" s="2">
        <v>40721530000</v>
      </c>
      <c r="G37" s="2">
        <v>43177270000</v>
      </c>
      <c r="H37" s="3">
        <f t="shared" si="3"/>
        <v>-1.881207986355049E-4</v>
      </c>
      <c r="I37" s="3">
        <f t="shared" si="3"/>
        <v>1.2664275355956045E-2</v>
      </c>
      <c r="J37" s="3">
        <f t="shared" si="3"/>
        <v>3.5534445208002641E-2</v>
      </c>
      <c r="K37" s="3">
        <f t="shared" si="3"/>
        <v>5.8920799496771536E-2</v>
      </c>
      <c r="L37" s="3">
        <f t="shared" si="3"/>
        <v>6.0305690871634843E-2</v>
      </c>
      <c r="M37" s="3">
        <f t="shared" si="1"/>
        <v>3.3447418026745911E-2</v>
      </c>
      <c r="N37" s="3">
        <f t="shared" si="2"/>
        <v>3.3162371543155489E-2</v>
      </c>
    </row>
    <row r="38" spans="1:14">
      <c r="A38" t="s">
        <v>331</v>
      </c>
      <c r="B38" s="2">
        <v>33117580000</v>
      </c>
      <c r="C38" s="2">
        <v>35035240000</v>
      </c>
      <c r="D38" s="2">
        <v>38634850000</v>
      </c>
      <c r="E38" s="2">
        <v>41413670000</v>
      </c>
      <c r="F38" s="2">
        <v>44514930000</v>
      </c>
      <c r="G38" s="2">
        <v>48291850000</v>
      </c>
      <c r="H38" s="3">
        <f t="shared" si="3"/>
        <v>5.7904593270402094E-2</v>
      </c>
      <c r="I38" s="3">
        <f t="shared" si="3"/>
        <v>0.10274255292671031</v>
      </c>
      <c r="J38" s="3">
        <f t="shared" si="3"/>
        <v>7.1925217776178663E-2</v>
      </c>
      <c r="K38" s="3">
        <f t="shared" si="3"/>
        <v>7.4884935336568814E-2</v>
      </c>
      <c r="L38" s="3">
        <f t="shared" si="3"/>
        <v>8.4846140384810198E-2</v>
      </c>
      <c r="M38" s="3">
        <f t="shared" si="1"/>
        <v>7.8460687938934015E-2</v>
      </c>
      <c r="N38" s="3">
        <f t="shared" si="2"/>
        <v>7.8358211573104519E-2</v>
      </c>
    </row>
    <row r="39" spans="1:14">
      <c r="A39" t="s">
        <v>242</v>
      </c>
      <c r="B39" s="2">
        <v>6221650000</v>
      </c>
      <c r="C39" s="2">
        <v>6616690000</v>
      </c>
      <c r="D39" s="2">
        <v>6822800000</v>
      </c>
      <c r="E39" s="2">
        <v>7000160000</v>
      </c>
      <c r="F39" s="2">
        <v>7169340000</v>
      </c>
      <c r="G39" s="2">
        <v>7252440000</v>
      </c>
      <c r="H39" s="3">
        <f t="shared" si="3"/>
        <v>6.3494410646693478E-2</v>
      </c>
      <c r="I39" s="3">
        <f t="shared" si="3"/>
        <v>3.1150016095661037E-2</v>
      </c>
      <c r="J39" s="3">
        <f t="shared" si="3"/>
        <v>2.599519258955274E-2</v>
      </c>
      <c r="K39" s="3">
        <f t="shared" si="3"/>
        <v>2.4168019016708175E-2</v>
      </c>
      <c r="L39" s="3">
        <f t="shared" si="3"/>
        <v>1.1591025115282649E-2</v>
      </c>
      <c r="M39" s="3">
        <f t="shared" si="1"/>
        <v>3.1279732692779616E-2</v>
      </c>
      <c r="N39" s="3">
        <f t="shared" si="2"/>
        <v>3.1135439799967912E-2</v>
      </c>
    </row>
    <row r="40" spans="1:14">
      <c r="A40" t="s">
        <v>243</v>
      </c>
      <c r="B40" s="2">
        <v>26895930000</v>
      </c>
      <c r="C40" s="2">
        <v>28418540000</v>
      </c>
      <c r="D40" s="2">
        <v>31812050000</v>
      </c>
      <c r="E40" s="2">
        <v>34413510000</v>
      </c>
      <c r="F40" s="2">
        <v>37345590000</v>
      </c>
      <c r="G40" s="2">
        <v>41039400000</v>
      </c>
      <c r="H40" s="3">
        <f t="shared" si="3"/>
        <v>5.6611167563270781E-2</v>
      </c>
      <c r="I40" s="3">
        <f t="shared" si="3"/>
        <v>0.11941183466849448</v>
      </c>
      <c r="J40" s="3">
        <f t="shared" si="3"/>
        <v>8.1775930818667852E-2</v>
      </c>
      <c r="K40" s="3">
        <f t="shared" si="3"/>
        <v>8.5201422348374134E-2</v>
      </c>
      <c r="L40" s="3">
        <f t="shared" si="3"/>
        <v>9.8908867151382474E-2</v>
      </c>
      <c r="M40" s="3">
        <f t="shared" si="1"/>
        <v>8.8381844510037944E-2</v>
      </c>
      <c r="N40" s="3">
        <f t="shared" si="2"/>
        <v>8.8185381541231678E-2</v>
      </c>
    </row>
    <row r="41" spans="1:14">
      <c r="A41" t="s">
        <v>332</v>
      </c>
      <c r="B41" s="2">
        <v>6106400000</v>
      </c>
      <c r="C41" s="2">
        <v>5972040000</v>
      </c>
      <c r="D41" s="2">
        <v>6666770000</v>
      </c>
      <c r="E41" s="2">
        <v>7166940000</v>
      </c>
      <c r="F41" s="2">
        <v>7412990000</v>
      </c>
      <c r="G41" s="2">
        <v>7785810000</v>
      </c>
      <c r="H41" s="3">
        <f t="shared" si="3"/>
        <v>-2.2003144242106587E-2</v>
      </c>
      <c r="I41" s="3">
        <f t="shared" si="3"/>
        <v>0.1163304331518209</v>
      </c>
      <c r="J41" s="3">
        <f t="shared" si="3"/>
        <v>7.5024337122774565E-2</v>
      </c>
      <c r="K41" s="3">
        <f t="shared" si="3"/>
        <v>3.4331248761675148E-2</v>
      </c>
      <c r="L41" s="3">
        <f t="shared" si="3"/>
        <v>5.0292796833666387E-2</v>
      </c>
      <c r="M41" s="3">
        <f t="shared" si="1"/>
        <v>5.079513432556608E-2</v>
      </c>
      <c r="N41" s="3">
        <f t="shared" si="2"/>
        <v>4.9793091380027077E-2</v>
      </c>
    </row>
    <row r="42" spans="1:14">
      <c r="A42" t="s">
        <v>244</v>
      </c>
      <c r="B42" s="2">
        <v>309240000</v>
      </c>
      <c r="C42" s="2">
        <v>341260000</v>
      </c>
      <c r="D42" s="2">
        <v>443080000</v>
      </c>
      <c r="E42" s="2">
        <v>533270000</v>
      </c>
      <c r="F42" s="2">
        <v>620090000</v>
      </c>
      <c r="G42" s="2">
        <v>667130000</v>
      </c>
      <c r="H42" s="3">
        <f t="shared" si="3"/>
        <v>0.10354417281076178</v>
      </c>
      <c r="I42" s="3">
        <f t="shared" si="3"/>
        <v>0.29836488308034936</v>
      </c>
      <c r="J42" s="3">
        <f t="shared" si="3"/>
        <v>0.20355240588607026</v>
      </c>
      <c r="K42" s="3">
        <f t="shared" si="3"/>
        <v>0.16280683331145585</v>
      </c>
      <c r="L42" s="3">
        <f t="shared" si="3"/>
        <v>7.5859955812865865E-2</v>
      </c>
      <c r="M42" s="3">
        <f t="shared" si="1"/>
        <v>0.16882565018030063</v>
      </c>
      <c r="N42" s="3">
        <f t="shared" si="2"/>
        <v>0.16622664937192932</v>
      </c>
    </row>
    <row r="43" spans="1:14">
      <c r="A43" t="s">
        <v>245</v>
      </c>
      <c r="B43" s="2">
        <v>3549240000</v>
      </c>
      <c r="C43" s="2">
        <v>3451920000</v>
      </c>
      <c r="D43" s="2">
        <v>3722140000</v>
      </c>
      <c r="E43" s="2">
        <v>3863810000</v>
      </c>
      <c r="F43" s="2">
        <v>3862720000</v>
      </c>
      <c r="G43" s="2">
        <v>4008660000</v>
      </c>
      <c r="H43" s="3">
        <f t="shared" si="3"/>
        <v>-2.7419954694526183E-2</v>
      </c>
      <c r="I43" s="3">
        <f t="shared" si="3"/>
        <v>7.8281072562516041E-2</v>
      </c>
      <c r="J43" s="3">
        <f t="shared" si="3"/>
        <v>3.806143777504345E-2</v>
      </c>
      <c r="K43" s="3">
        <f t="shared" si="3"/>
        <v>-2.8210496892966397E-4</v>
      </c>
      <c r="L43" s="3">
        <f t="shared" si="3"/>
        <v>3.7781666804738601E-2</v>
      </c>
      <c r="M43" s="3">
        <f t="shared" si="1"/>
        <v>2.5284423495768447E-2</v>
      </c>
      <c r="N43" s="3">
        <f t="shared" si="2"/>
        <v>2.4643456709368072E-2</v>
      </c>
    </row>
    <row r="44" spans="1:14">
      <c r="A44" t="s">
        <v>246</v>
      </c>
      <c r="B44" s="2">
        <v>279530000</v>
      </c>
      <c r="C44" s="2">
        <v>283360000</v>
      </c>
      <c r="D44" s="2">
        <v>290780000</v>
      </c>
      <c r="E44" s="2">
        <v>284120000</v>
      </c>
      <c r="F44" s="2">
        <v>282060000</v>
      </c>
      <c r="G44" s="2">
        <v>294890000</v>
      </c>
      <c r="H44" s="3">
        <f t="shared" si="3"/>
        <v>1.3701570493328097E-2</v>
      </c>
      <c r="I44" s="3">
        <f t="shared" si="3"/>
        <v>2.6185770750988047E-2</v>
      </c>
      <c r="J44" s="3">
        <f t="shared" si="3"/>
        <v>-2.2903913611665216E-2</v>
      </c>
      <c r="K44" s="3">
        <f t="shared" si="3"/>
        <v>-7.250457553146572E-3</v>
      </c>
      <c r="L44" s="3">
        <f t="shared" si="3"/>
        <v>4.5486775863291529E-2</v>
      </c>
      <c r="M44" s="3">
        <f t="shared" si="1"/>
        <v>1.1043949188559176E-2</v>
      </c>
      <c r="N44" s="3">
        <f t="shared" si="2"/>
        <v>1.0755991014292254E-2</v>
      </c>
    </row>
    <row r="45" spans="1:14">
      <c r="A45" t="s">
        <v>247</v>
      </c>
      <c r="B45" s="2">
        <v>340550000</v>
      </c>
      <c r="C45" s="2">
        <v>317560000</v>
      </c>
      <c r="D45" s="2">
        <v>366840000</v>
      </c>
      <c r="E45" s="2">
        <v>375180000</v>
      </c>
      <c r="F45" s="2">
        <v>377310000</v>
      </c>
      <c r="G45" s="2">
        <v>398600000</v>
      </c>
      <c r="H45" s="3">
        <f t="shared" si="3"/>
        <v>-6.7508442225811205E-2</v>
      </c>
      <c r="I45" s="3">
        <f t="shared" si="3"/>
        <v>0.15518327245245001</v>
      </c>
      <c r="J45" s="3">
        <f t="shared" si="3"/>
        <v>2.2734707229309814E-2</v>
      </c>
      <c r="K45" s="3">
        <f t="shared" si="3"/>
        <v>5.6772749080440388E-3</v>
      </c>
      <c r="L45" s="3">
        <f t="shared" si="3"/>
        <v>5.6425750708966049E-2</v>
      </c>
      <c r="M45" s="3">
        <f t="shared" si="1"/>
        <v>3.4502512614591738E-2</v>
      </c>
      <c r="N45" s="3">
        <f t="shared" si="2"/>
        <v>3.198000308732829E-2</v>
      </c>
    </row>
    <row r="46" spans="1:14">
      <c r="A46" t="s">
        <v>248</v>
      </c>
      <c r="B46" s="2">
        <v>984680000</v>
      </c>
      <c r="C46" s="2">
        <v>914470000</v>
      </c>
      <c r="D46" s="2">
        <v>1141040000</v>
      </c>
      <c r="E46" s="2">
        <v>1360860000</v>
      </c>
      <c r="F46" s="2">
        <v>1456690000</v>
      </c>
      <c r="G46" s="2">
        <v>1535700000</v>
      </c>
      <c r="H46" s="3">
        <f t="shared" si="3"/>
        <v>-7.1302352033147831E-2</v>
      </c>
      <c r="I46" s="3">
        <f t="shared" si="3"/>
        <v>0.24776099817380559</v>
      </c>
      <c r="J46" s="3">
        <f t="shared" si="3"/>
        <v>0.19264881161046055</v>
      </c>
      <c r="K46" s="3">
        <f t="shared" si="3"/>
        <v>7.0418705818379612E-2</v>
      </c>
      <c r="L46" s="3">
        <f t="shared" si="3"/>
        <v>5.4239405776108862E-2</v>
      </c>
      <c r="M46" s="3">
        <f t="shared" si="1"/>
        <v>9.8753113869121362E-2</v>
      </c>
      <c r="N46" s="3">
        <f t="shared" si="2"/>
        <v>9.2954930170711547E-2</v>
      </c>
    </row>
    <row r="47" spans="1:14">
      <c r="A47" t="s">
        <v>249</v>
      </c>
      <c r="B47" s="2">
        <v>643160000</v>
      </c>
      <c r="C47" s="2">
        <v>663480000</v>
      </c>
      <c r="D47" s="2">
        <v>702880000</v>
      </c>
      <c r="E47" s="2">
        <v>749700000</v>
      </c>
      <c r="F47" s="2">
        <v>814130000</v>
      </c>
      <c r="G47" s="2">
        <v>880820000</v>
      </c>
      <c r="H47" s="3">
        <f t="shared" si="3"/>
        <v>3.1594004602276238E-2</v>
      </c>
      <c r="I47" s="3">
        <f t="shared" si="3"/>
        <v>5.9383854826068561E-2</v>
      </c>
      <c r="J47" s="3">
        <f t="shared" si="3"/>
        <v>6.6611654905531559E-2</v>
      </c>
      <c r="K47" s="3">
        <f t="shared" si="3"/>
        <v>8.594104308390027E-2</v>
      </c>
      <c r="L47" s="3">
        <f t="shared" si="3"/>
        <v>8.191566457445365E-2</v>
      </c>
      <c r="M47" s="3">
        <f t="shared" si="1"/>
        <v>6.5089244398446058E-2</v>
      </c>
      <c r="N47" s="3">
        <f t="shared" si="2"/>
        <v>6.4911772472551865E-2</v>
      </c>
    </row>
    <row r="48" spans="1:14">
      <c r="A48" t="s">
        <v>333</v>
      </c>
      <c r="B48" s="2">
        <v>4363550000</v>
      </c>
      <c r="C48" s="2">
        <v>4556740000</v>
      </c>
      <c r="D48" s="2">
        <v>5225370000</v>
      </c>
      <c r="E48" s="2">
        <v>5912060000</v>
      </c>
      <c r="F48" s="2">
        <v>6467360000</v>
      </c>
      <c r="G48" s="2">
        <v>7091970000</v>
      </c>
      <c r="H48" s="3">
        <f t="shared" si="3"/>
        <v>4.4273584581361547E-2</v>
      </c>
      <c r="I48" s="3">
        <f t="shared" si="3"/>
        <v>0.14673428810948175</v>
      </c>
      <c r="J48" s="3">
        <f t="shared" si="3"/>
        <v>0.13141461752947636</v>
      </c>
      <c r="K48" s="3">
        <f t="shared" si="3"/>
        <v>9.3926651623968738E-2</v>
      </c>
      <c r="L48" s="3">
        <f t="shared" si="3"/>
        <v>9.6578820415130773E-2</v>
      </c>
      <c r="M48" s="3">
        <f t="shared" si="1"/>
        <v>0.10258559245188384</v>
      </c>
      <c r="N48" s="3">
        <f t="shared" si="2"/>
        <v>0.10200962230575428</v>
      </c>
    </row>
    <row r="49" spans="1:14">
      <c r="A49" t="s">
        <v>250</v>
      </c>
      <c r="B49" s="2">
        <v>507660000</v>
      </c>
      <c r="C49" s="2">
        <v>527700000</v>
      </c>
      <c r="D49" s="2">
        <v>614480000</v>
      </c>
      <c r="E49" s="2">
        <v>708600000</v>
      </c>
      <c r="F49" s="2">
        <v>799230000</v>
      </c>
      <c r="G49" s="2">
        <v>825720000</v>
      </c>
      <c r="H49" s="3">
        <f t="shared" si="3"/>
        <v>3.9475239333412127E-2</v>
      </c>
      <c r="I49" s="3">
        <f t="shared" si="3"/>
        <v>0.16444949782073137</v>
      </c>
      <c r="J49" s="3">
        <f t="shared" si="3"/>
        <v>0.15317016013539897</v>
      </c>
      <c r="K49" s="3">
        <f t="shared" si="3"/>
        <v>0.12790008467400504</v>
      </c>
      <c r="L49" s="3">
        <f t="shared" si="3"/>
        <v>3.3144401486430608E-2</v>
      </c>
      <c r="M49" s="3">
        <f t="shared" si="1"/>
        <v>0.10362787668999562</v>
      </c>
      <c r="N49" s="3">
        <f t="shared" si="2"/>
        <v>0.10217859294947473</v>
      </c>
    </row>
    <row r="50" spans="1:14">
      <c r="A50" t="s">
        <v>251</v>
      </c>
      <c r="B50" s="2">
        <v>3855890000</v>
      </c>
      <c r="C50" s="2">
        <v>4029030000</v>
      </c>
      <c r="D50" s="2">
        <v>4610880000</v>
      </c>
      <c r="E50" s="2">
        <v>5203450000</v>
      </c>
      <c r="F50" s="2">
        <v>5668130000</v>
      </c>
      <c r="G50" s="2">
        <v>6266250000</v>
      </c>
      <c r="H50" s="3">
        <f t="shared" si="3"/>
        <v>4.4902733221124036E-2</v>
      </c>
      <c r="I50" s="3">
        <f t="shared" si="3"/>
        <v>0.1444144124019926</v>
      </c>
      <c r="J50" s="3">
        <f t="shared" si="3"/>
        <v>0.1285155978902075</v>
      </c>
      <c r="K50" s="3">
        <f t="shared" si="3"/>
        <v>8.9302289826941772E-2</v>
      </c>
      <c r="L50" s="3">
        <f t="shared" si="3"/>
        <v>0.10552333838497008</v>
      </c>
      <c r="M50" s="3">
        <f t="shared" si="1"/>
        <v>0.1025316743450472</v>
      </c>
      <c r="N50" s="3">
        <f t="shared" si="2"/>
        <v>0.10198736819276033</v>
      </c>
    </row>
    <row r="51" spans="1:14">
      <c r="A51" t="s">
        <v>252</v>
      </c>
      <c r="B51" s="2">
        <v>12214330000</v>
      </c>
      <c r="C51" s="2">
        <v>12951750000</v>
      </c>
      <c r="D51" s="2">
        <v>14003880000</v>
      </c>
      <c r="E51" s="2">
        <v>14892480000</v>
      </c>
      <c r="F51" s="2">
        <v>16209520000</v>
      </c>
      <c r="G51" s="2">
        <v>17198310000</v>
      </c>
      <c r="H51" s="3">
        <f t="shared" si="3"/>
        <v>6.0373348353941703E-2</v>
      </c>
      <c r="I51" s="3">
        <f t="shared" si="3"/>
        <v>8.1234582199316785E-2</v>
      </c>
      <c r="J51" s="3">
        <f t="shared" si="3"/>
        <v>6.3453842792140502E-2</v>
      </c>
      <c r="K51" s="3">
        <f t="shared" si="3"/>
        <v>8.8436580072627224E-2</v>
      </c>
      <c r="L51" s="3">
        <f t="shared" si="3"/>
        <v>6.1000572503072226E-2</v>
      </c>
      <c r="M51" s="3">
        <f t="shared" si="1"/>
        <v>7.0899785184219688E-2</v>
      </c>
      <c r="N51" s="3">
        <f t="shared" si="2"/>
        <v>7.0836644954802352E-2</v>
      </c>
    </row>
    <row r="52" spans="1:14">
      <c r="A52" t="s">
        <v>334</v>
      </c>
      <c r="B52" s="2">
        <v>7477610000</v>
      </c>
      <c r="C52" s="2">
        <v>7790890000</v>
      </c>
      <c r="D52" s="2">
        <v>7744090000</v>
      </c>
      <c r="E52" s="2">
        <v>8100350000</v>
      </c>
      <c r="F52" s="2">
        <v>8672330000</v>
      </c>
      <c r="G52" s="2">
        <v>9060050000</v>
      </c>
      <c r="H52" s="3">
        <f t="shared" si="3"/>
        <v>4.1895739414064215E-2</v>
      </c>
      <c r="I52" s="3">
        <f t="shared" si="3"/>
        <v>-6.0070158865033196E-3</v>
      </c>
      <c r="J52" s="3">
        <f t="shared" si="3"/>
        <v>4.6004114105078875E-2</v>
      </c>
      <c r="K52" s="3">
        <f t="shared" si="3"/>
        <v>7.0611763689223395E-2</v>
      </c>
      <c r="L52" s="3">
        <f t="shared" si="3"/>
        <v>4.4707708309070338E-2</v>
      </c>
      <c r="M52" s="3">
        <f t="shared" si="1"/>
        <v>3.9442461926186702E-2</v>
      </c>
      <c r="N52" s="3">
        <f t="shared" si="2"/>
        <v>3.9138789746826275E-2</v>
      </c>
    </row>
    <row r="53" spans="1:14">
      <c r="A53" t="s">
        <v>253</v>
      </c>
      <c r="B53" s="2">
        <v>4363380000</v>
      </c>
      <c r="C53" s="2">
        <v>4646540000</v>
      </c>
      <c r="D53" s="2">
        <v>4587360000</v>
      </c>
      <c r="E53" s="2">
        <v>4823530000</v>
      </c>
      <c r="F53" s="2">
        <v>5258130000</v>
      </c>
      <c r="G53" s="2">
        <v>5483540000</v>
      </c>
      <c r="H53" s="3">
        <f t="shared" si="3"/>
        <v>6.4894645893779579E-2</v>
      </c>
      <c r="I53" s="3">
        <f t="shared" si="3"/>
        <v>-1.2736358666879055E-2</v>
      </c>
      <c r="J53" s="3">
        <f t="shared" si="3"/>
        <v>5.1482770046388238E-2</v>
      </c>
      <c r="K53" s="3">
        <f t="shared" si="3"/>
        <v>9.0099989012196513E-2</v>
      </c>
      <c r="L53" s="3">
        <f t="shared" si="3"/>
        <v>4.286885261490303E-2</v>
      </c>
      <c r="M53" s="3">
        <f t="shared" si="1"/>
        <v>4.7321979780077662E-2</v>
      </c>
      <c r="N53" s="3">
        <f t="shared" si="2"/>
        <v>4.6761150424206699E-2</v>
      </c>
    </row>
    <row r="54" spans="1:14">
      <c r="A54" t="s">
        <v>254</v>
      </c>
      <c r="B54" s="2">
        <v>2265990000</v>
      </c>
      <c r="C54" s="2">
        <v>2277300000</v>
      </c>
      <c r="D54" s="2">
        <v>2247140000</v>
      </c>
      <c r="E54" s="2">
        <v>2293440000</v>
      </c>
      <c r="F54" s="2">
        <v>2362170000</v>
      </c>
      <c r="G54" s="2">
        <v>2451430000</v>
      </c>
      <c r="H54" s="3">
        <f t="shared" si="3"/>
        <v>4.9911959011292861E-3</v>
      </c>
      <c r="I54" s="3">
        <f t="shared" si="3"/>
        <v>-1.3243753567821592E-2</v>
      </c>
      <c r="J54" s="3">
        <f t="shared" si="3"/>
        <v>2.0603967710067117E-2</v>
      </c>
      <c r="K54" s="3">
        <f t="shared" si="3"/>
        <v>2.9968082879866076E-2</v>
      </c>
      <c r="L54" s="3">
        <f t="shared" si="3"/>
        <v>3.7787288806478747E-2</v>
      </c>
      <c r="M54" s="3">
        <f t="shared" si="1"/>
        <v>1.6021356345943927E-2</v>
      </c>
      <c r="N54" s="3">
        <f t="shared" si="2"/>
        <v>1.5856354347339785E-2</v>
      </c>
    </row>
    <row r="55" spans="1:14">
      <c r="A55" t="s">
        <v>255</v>
      </c>
      <c r="B55" s="2">
        <v>843550000</v>
      </c>
      <c r="C55" s="2">
        <v>862140000</v>
      </c>
      <c r="D55" s="2">
        <v>904440000</v>
      </c>
      <c r="E55" s="2">
        <v>978190000</v>
      </c>
      <c r="F55" s="2">
        <v>1046420000</v>
      </c>
      <c r="G55" s="2">
        <v>1119410000</v>
      </c>
      <c r="H55" s="3">
        <f t="shared" si="3"/>
        <v>2.2037816371287988E-2</v>
      </c>
      <c r="I55" s="3">
        <f t="shared" si="3"/>
        <v>4.9063957129932501E-2</v>
      </c>
      <c r="J55" s="3">
        <f t="shared" si="3"/>
        <v>8.1542169740391746E-2</v>
      </c>
      <c r="K55" s="3">
        <f t="shared" si="3"/>
        <v>6.9751275314611672E-2</v>
      </c>
      <c r="L55" s="3">
        <f t="shared" si="3"/>
        <v>6.975210718449576E-2</v>
      </c>
      <c r="M55" s="3">
        <f t="shared" si="1"/>
        <v>5.8429465148143934E-2</v>
      </c>
      <c r="N55" s="3">
        <f t="shared" si="2"/>
        <v>5.821928169777224E-2</v>
      </c>
    </row>
    <row r="56" spans="1:14">
      <c r="A56" t="s">
        <v>256</v>
      </c>
      <c r="B56" s="2">
        <v>4700000</v>
      </c>
      <c r="C56" s="2">
        <v>4910000</v>
      </c>
      <c r="D56" s="2">
        <v>5160000</v>
      </c>
      <c r="E56" s="2">
        <v>5190000</v>
      </c>
      <c r="F56" s="2">
        <v>5610000</v>
      </c>
      <c r="G56" s="2">
        <v>5680000</v>
      </c>
      <c r="H56" s="3">
        <f t="shared" si="3"/>
        <v>4.4680851063829685E-2</v>
      </c>
      <c r="I56" s="3">
        <f t="shared" si="3"/>
        <v>5.0916496945010215E-2</v>
      </c>
      <c r="J56" s="3">
        <f t="shared" si="3"/>
        <v>5.8139534883721034E-3</v>
      </c>
      <c r="K56" s="3">
        <f t="shared" si="3"/>
        <v>8.092485549132955E-2</v>
      </c>
      <c r="L56" s="3">
        <f t="shared" si="3"/>
        <v>1.2477718360071277E-2</v>
      </c>
      <c r="M56" s="3">
        <f t="shared" si="1"/>
        <v>3.8962775069722566E-2</v>
      </c>
      <c r="N56" s="3">
        <f t="shared" si="2"/>
        <v>3.8604250349712599E-2</v>
      </c>
    </row>
    <row r="57" spans="1:14">
      <c r="A57" t="s">
        <v>257</v>
      </c>
      <c r="B57" s="2">
        <v>10214870000</v>
      </c>
      <c r="C57" s="2">
        <v>10807860000</v>
      </c>
      <c r="D57" s="2">
        <v>11373070000</v>
      </c>
      <c r="E57" s="2">
        <v>11860290000</v>
      </c>
      <c r="F57" s="2">
        <v>12829260000</v>
      </c>
      <c r="G57" s="2">
        <v>13828090000</v>
      </c>
      <c r="H57" s="3">
        <f t="shared" si="3"/>
        <v>5.8051644318527718E-2</v>
      </c>
      <c r="I57" s="3">
        <f t="shared" si="3"/>
        <v>5.2296199247584552E-2</v>
      </c>
      <c r="J57" s="3">
        <f t="shared" si="3"/>
        <v>4.283979611485722E-2</v>
      </c>
      <c r="K57" s="3">
        <f t="shared" si="3"/>
        <v>8.169867684516996E-2</v>
      </c>
      <c r="L57" s="3">
        <f t="shared" si="3"/>
        <v>7.7855620667131253E-2</v>
      </c>
      <c r="M57" s="3">
        <f t="shared" si="1"/>
        <v>6.2548387438654138E-2</v>
      </c>
      <c r="N57" s="3">
        <f t="shared" si="2"/>
        <v>6.2443565681562729E-2</v>
      </c>
    </row>
    <row r="58" spans="1:14">
      <c r="A58" t="s">
        <v>258</v>
      </c>
      <c r="B58" s="2">
        <v>358140000</v>
      </c>
      <c r="C58" s="2">
        <v>360300000</v>
      </c>
      <c r="D58" s="2">
        <v>370750000</v>
      </c>
      <c r="E58" s="2">
        <v>378280000</v>
      </c>
      <c r="F58" s="2">
        <v>397880000</v>
      </c>
      <c r="G58" s="2">
        <v>422190000</v>
      </c>
      <c r="H58" s="3">
        <f t="shared" si="3"/>
        <v>6.0311609984922132E-3</v>
      </c>
      <c r="I58" s="3">
        <f t="shared" si="3"/>
        <v>2.9003608104357426E-2</v>
      </c>
      <c r="J58" s="3">
        <f t="shared" si="3"/>
        <v>2.0310182063385085E-2</v>
      </c>
      <c r="K58" s="3">
        <f t="shared" si="3"/>
        <v>5.1813471502590636E-2</v>
      </c>
      <c r="L58" s="3">
        <f t="shared" si="3"/>
        <v>6.1098823765959542E-2</v>
      </c>
      <c r="M58" s="3">
        <f t="shared" si="1"/>
        <v>3.3651449286956979E-2</v>
      </c>
      <c r="N58" s="3">
        <f t="shared" si="2"/>
        <v>3.3453695600954791E-2</v>
      </c>
    </row>
    <row r="59" spans="1:14">
      <c r="A59" t="s">
        <v>259</v>
      </c>
      <c r="B59" s="2">
        <v>9877170000</v>
      </c>
      <c r="C59" s="2">
        <v>10260460000</v>
      </c>
      <c r="D59" s="2">
        <v>10639940000</v>
      </c>
      <c r="E59" s="2">
        <v>11036990000</v>
      </c>
      <c r="F59" s="2">
        <v>12068770000</v>
      </c>
      <c r="G59" s="2">
        <v>12479430000</v>
      </c>
      <c r="H59" s="3">
        <f t="shared" si="3"/>
        <v>3.8805649796449737E-2</v>
      </c>
      <c r="I59" s="3">
        <f t="shared" si="3"/>
        <v>3.6984696592550437E-2</v>
      </c>
      <c r="J59" s="3">
        <f t="shared" si="3"/>
        <v>3.7316939757179091E-2</v>
      </c>
      <c r="K59" s="3">
        <f t="shared" si="3"/>
        <v>9.3483821222996477E-2</v>
      </c>
      <c r="L59" s="3">
        <f t="shared" si="3"/>
        <v>3.4026665517695731E-2</v>
      </c>
      <c r="M59" s="3">
        <f t="shared" si="1"/>
        <v>4.8123554577374293E-2</v>
      </c>
      <c r="N59" s="3">
        <f t="shared" si="2"/>
        <v>4.7882153963462626E-2</v>
      </c>
    </row>
    <row r="60" spans="1:14">
      <c r="A60" t="s">
        <v>260</v>
      </c>
      <c r="B60" s="2">
        <v>8082900000</v>
      </c>
      <c r="C60" s="2">
        <v>8613700000</v>
      </c>
      <c r="D60" s="2">
        <v>8806970000</v>
      </c>
      <c r="E60" s="2">
        <v>9003080000</v>
      </c>
      <c r="F60" s="2">
        <v>9611460000</v>
      </c>
      <c r="G60" s="2">
        <v>10022860000</v>
      </c>
      <c r="H60" s="3">
        <f t="shared" si="3"/>
        <v>6.5669499808237219E-2</v>
      </c>
      <c r="I60" s="3">
        <f t="shared" si="3"/>
        <v>2.2437512335001131E-2</v>
      </c>
      <c r="J60" s="3">
        <f t="shared" si="3"/>
        <v>2.2267590329023479E-2</v>
      </c>
      <c r="K60" s="3">
        <f t="shared" si="3"/>
        <v>6.7574652230125709E-2</v>
      </c>
      <c r="L60" s="3">
        <f t="shared" si="3"/>
        <v>4.2803070501255869E-2</v>
      </c>
      <c r="M60" s="3">
        <f t="shared" si="1"/>
        <v>4.4150465040728684E-2</v>
      </c>
      <c r="N60" s="3">
        <f t="shared" si="2"/>
        <v>4.3962483017825793E-2</v>
      </c>
    </row>
    <row r="61" spans="1:14">
      <c r="A61" t="s">
        <v>261</v>
      </c>
      <c r="B61" s="2">
        <v>2272240000</v>
      </c>
      <c r="C61" s="2">
        <v>2400140000</v>
      </c>
      <c r="D61" s="2">
        <v>2499670000</v>
      </c>
      <c r="E61" s="2">
        <v>2499190000</v>
      </c>
      <c r="F61" s="2">
        <v>2682720000</v>
      </c>
      <c r="G61" s="2">
        <v>2838150000</v>
      </c>
      <c r="H61" s="3">
        <f t="shared" si="3"/>
        <v>5.6288068161813865E-2</v>
      </c>
      <c r="I61" s="3">
        <f t="shared" si="3"/>
        <v>4.1468414342496596E-2</v>
      </c>
      <c r="J61" s="3">
        <f t="shared" si="3"/>
        <v>-1.9202534734585885E-4</v>
      </c>
      <c r="K61" s="3">
        <f t="shared" si="3"/>
        <v>7.343579319699578E-2</v>
      </c>
      <c r="L61" s="3">
        <f t="shared" si="3"/>
        <v>5.7937466451959185E-2</v>
      </c>
      <c r="M61" s="3">
        <f t="shared" si="1"/>
        <v>4.5787543361183916E-2</v>
      </c>
      <c r="N61" s="3">
        <f t="shared" si="2"/>
        <v>4.5481202695434986E-2</v>
      </c>
    </row>
    <row r="62" spans="1:14">
      <c r="A62" t="s">
        <v>262</v>
      </c>
      <c r="B62" s="2">
        <v>2700640000</v>
      </c>
      <c r="C62" s="2">
        <v>2725730000</v>
      </c>
      <c r="D62" s="2">
        <v>2781580000</v>
      </c>
      <c r="E62" s="2">
        <v>2835790000</v>
      </c>
      <c r="F62" s="2">
        <v>2952690000</v>
      </c>
      <c r="G62" s="2">
        <v>3073940000</v>
      </c>
      <c r="H62" s="3">
        <f t="shared" si="3"/>
        <v>9.2903904259731274E-3</v>
      </c>
      <c r="I62" s="3">
        <f t="shared" si="3"/>
        <v>2.0489923800229626E-2</v>
      </c>
      <c r="J62" s="3">
        <f t="shared" si="3"/>
        <v>1.9488923561429061E-2</v>
      </c>
      <c r="K62" s="3">
        <f t="shared" si="3"/>
        <v>4.1223080693563396E-2</v>
      </c>
      <c r="L62" s="3">
        <f t="shared" si="3"/>
        <v>4.1064249887390769E-2</v>
      </c>
      <c r="M62" s="3">
        <f t="shared" si="1"/>
        <v>2.6311313673717196E-2</v>
      </c>
      <c r="N62" s="3">
        <f t="shared" si="2"/>
        <v>2.6232438037118389E-2</v>
      </c>
    </row>
  </sheetData>
  <pageMargins left="0.7" right="0.7" top="0.75" bottom="0.75" header="0.3" footer="0.3"/>
</worksheet>
</file>

<file path=docMetadata/LabelInfo.xml><?xml version="1.0" encoding="utf-8"?>
<clbl:labelList xmlns:clbl="http://schemas.microsoft.com/office/2020/mipLabelMetadata">
  <clbl:label id="{747e98d3-0e70-4db5-a56b-cae542e688be}" enabled="0" method="" siteId="{747e98d3-0e70-4db5-a56b-cae542e688b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IO_Table_2025(RAW)</vt:lpstr>
      <vt:lpstr>IO_Table_2025(CEK)</vt:lpstr>
      <vt:lpstr>DeskripsiSektor</vt:lpstr>
      <vt:lpstr>LDC Draft</vt:lpstr>
      <vt:lpstr>BAU_Lahan</vt:lpstr>
      <vt:lpstr>LAS_Lahan</vt:lpstr>
      <vt:lpstr>Populasi</vt:lpstr>
      <vt:lpstr>LDM</vt:lpstr>
      <vt:lpstr>Linkage</vt:lpstr>
      <vt:lpstr>Stype1</vt:lpstr>
      <vt:lpstr>Stype2</vt:lpstr>
      <vt:lpstr>populasiPenduduk</vt:lpstr>
      <vt:lpstr>Stype3</vt:lpstr>
      <vt:lpstr>Technical_Coeffs_A_2025</vt:lpstr>
      <vt:lpstr>Technical_Coeffs_A_2020</vt:lpstr>
      <vt:lpstr>Leontief_Inverse_L_2025</vt:lpstr>
      <vt:lpstr>Margins_Check</vt:lpstr>
      <vt:lpstr>Balance_Check</vt:lpstr>
      <vt:lpstr>Concordance</vt:lpstr>
      <vt:lpstr>growth pdrb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Naufal, Muhammad</cp:lastModifiedBy>
  <dcterms:created xsi:type="dcterms:W3CDTF">2026-10-12T05:05:01Z</dcterms:created>
  <dcterms:modified xsi:type="dcterms:W3CDTF">2026-10-14T07:21:10Z</dcterms:modified>
</cp:coreProperties>
</file>