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https://icrafcifor-my.sharepoint.com/personal/d_bodro_landscapealliance_org/Documents/Documents/GitHub/Regional-Economy-GGP-Sumsel-2026/"/>
    </mc:Choice>
  </mc:AlternateContent>
  <xr:revisionPtr revIDLastSave="836" documentId="8_{7502310D-9C21-47FE-9F85-D887AF9F69FA}" xr6:coauthVersionLast="47" xr6:coauthVersionMax="47" xr10:uidLastSave="{C1B3A5A7-36BD-4C0B-B571-D7151A12F8A4}"/>
  <bookViews>
    <workbookView xWindow="-110" yWindow="-110" windowWidth="19420" windowHeight="10300" tabRatio="599" firstSheet="8" activeTab="10" xr2:uid="{00000000-000D-0000-FFFF-FFFF00000000}"/>
  </bookViews>
  <sheets>
    <sheet name="IO_Table_2025(RAW)" sheetId="1" r:id="rId1"/>
    <sheet name="IO_Table_2025(CEK)" sheetId="13" r:id="rId2"/>
    <sheet name="DeskripsiSektor" sheetId="8" r:id="rId3"/>
    <sheet name="LDC Draft" sheetId="12" r:id="rId4"/>
    <sheet name="BAU_Lahan" sheetId="10" r:id="rId5"/>
    <sheet name="LAS_Lahan" sheetId="11" r:id="rId6"/>
    <sheet name="Populasi" sheetId="20" r:id="rId7"/>
    <sheet name="Linkage" sheetId="19" r:id="rId8"/>
    <sheet name="LDM" sheetId="14" r:id="rId9"/>
    <sheet name="Stype1" sheetId="18" r:id="rId10"/>
    <sheet name="Stype2" sheetId="16" r:id="rId11"/>
    <sheet name="populasiPenduduk" sheetId="21" r:id="rId12"/>
    <sheet name="Stype3" sheetId="17" r:id="rId13"/>
    <sheet name="Technical_Coeffs_A_2025" sheetId="2" r:id="rId14"/>
    <sheet name="Technical_Coeffs_A_2020" sheetId="3" r:id="rId15"/>
    <sheet name="Leontief_Inverse_L_2025" sheetId="4" r:id="rId16"/>
    <sheet name="Margins_Check" sheetId="5" r:id="rId17"/>
    <sheet name="Balance_Check" sheetId="6" r:id="rId18"/>
    <sheet name="Concordance" sheetId="7" r:id="rId19"/>
    <sheet name="growth pdrb" sheetId="9" r:id="rId20"/>
  </sheet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74" i="16" l="1" a="1"/>
  <c r="AK74" i="16" s="1"/>
  <c r="AL74" i="16" a="1"/>
  <c r="AL74" i="16" s="1"/>
  <c r="AJ74" i="16" a="1"/>
  <c r="AJ74" i="16" s="1"/>
  <c r="AI74" i="16" a="1"/>
  <c r="AI74" i="16" s="1"/>
  <c r="E74" i="16"/>
  <c r="F74" i="16"/>
  <c r="G74" i="16"/>
  <c r="H74" i="16"/>
  <c r="I74" i="16"/>
  <c r="J74" i="16"/>
  <c r="K74" i="16"/>
  <c r="L74" i="16"/>
  <c r="M74" i="16"/>
  <c r="N74" i="16"/>
  <c r="O74" i="16"/>
  <c r="P74" i="16"/>
  <c r="Q74" i="16"/>
  <c r="R74" i="16"/>
  <c r="S74" i="16"/>
  <c r="T74" i="16"/>
  <c r="U74" i="16"/>
  <c r="V74" i="16"/>
  <c r="W74" i="16"/>
  <c r="X74" i="16"/>
  <c r="Y74" i="16"/>
  <c r="Z74" i="16"/>
  <c r="AA74" i="16"/>
  <c r="AB74" i="16"/>
  <c r="AC74" i="16"/>
  <c r="AD74" i="16"/>
  <c r="AE74" i="16"/>
  <c r="AF74" i="16"/>
  <c r="AG74" i="16"/>
  <c r="AJ62" i="16" l="1" a="1"/>
  <c r="AJ62" i="16" s="1"/>
  <c r="D92" i="16" l="1"/>
  <c r="D86" i="16"/>
  <c r="AI98" i="16" l="1" a="1"/>
  <c r="AI98" i="16" s="1"/>
  <c r="AL98" i="16" a="1"/>
  <c r="AL98" i="16" s="1"/>
  <c r="AK98" i="16" a="1"/>
  <c r="AK98" i="16" s="1"/>
  <c r="AJ98" i="16" a="1"/>
  <c r="AJ98" i="16" s="1"/>
  <c r="AI80" i="16" a="1"/>
  <c r="AI80" i="16" s="1"/>
  <c r="AL80" i="16" a="1"/>
  <c r="AL80" i="16" s="1"/>
  <c r="AK80" i="16" a="1"/>
  <c r="AK80" i="16" s="1"/>
  <c r="AJ80" i="16" a="1"/>
  <c r="AJ80" i="16" s="1"/>
  <c r="AL62" i="16" l="1" a="1"/>
  <c r="AL62" i="16" s="1"/>
  <c r="AK62" i="16" a="1"/>
  <c r="AK62" i="16" s="1"/>
  <c r="AI62" i="16" a="1"/>
  <c r="AI62" i="16" s="1"/>
  <c r="T101" i="16" l="1"/>
  <c r="U101" i="16" s="1"/>
  <c r="V101" i="16" s="1"/>
  <c r="W101" i="16" s="1"/>
  <c r="P101" i="16"/>
  <c r="Q101" i="16" s="1"/>
  <c r="R101" i="16" s="1"/>
  <c r="S101" i="16" s="1"/>
  <c r="L101" i="16"/>
  <c r="M101" i="16" s="1"/>
  <c r="N101" i="16" s="1"/>
  <c r="O101" i="16" s="1"/>
  <c r="H101" i="16"/>
  <c r="I101" i="16" s="1"/>
  <c r="J101" i="16" s="1"/>
  <c r="K101" i="16" s="1"/>
  <c r="T95" i="16"/>
  <c r="U95" i="16" s="1"/>
  <c r="V95" i="16" s="1"/>
  <c r="W95" i="16" s="1"/>
  <c r="P95" i="16"/>
  <c r="Q95" i="16" s="1"/>
  <c r="R95" i="16" s="1"/>
  <c r="S95" i="16" s="1"/>
  <c r="L95" i="16"/>
  <c r="M95" i="16" s="1"/>
  <c r="N95" i="16" s="1"/>
  <c r="O95" i="16" s="1"/>
  <c r="H95" i="16"/>
  <c r="I95" i="16" s="1"/>
  <c r="J95" i="16" s="1"/>
  <c r="K95" i="16" s="1"/>
  <c r="U89" i="16"/>
  <c r="V89" i="16" s="1"/>
  <c r="W89" i="16" s="1"/>
  <c r="T89" i="16"/>
  <c r="Q89" i="16"/>
  <c r="R89" i="16" s="1"/>
  <c r="S89" i="16" s="1"/>
  <c r="P89" i="16"/>
  <c r="L89" i="16"/>
  <c r="M89" i="16" s="1"/>
  <c r="N89" i="16" s="1"/>
  <c r="O89" i="16" s="1"/>
  <c r="I89" i="16"/>
  <c r="J89" i="16" s="1"/>
  <c r="K89" i="16" s="1"/>
  <c r="H89" i="16"/>
  <c r="T83" i="16"/>
  <c r="U83" i="16" s="1"/>
  <c r="V83" i="16" s="1"/>
  <c r="W83" i="16" s="1"/>
  <c r="P83" i="16"/>
  <c r="Q83" i="16" s="1"/>
  <c r="R83" i="16" s="1"/>
  <c r="S83" i="16" s="1"/>
  <c r="L83" i="16"/>
  <c r="M83" i="16" s="1"/>
  <c r="N83" i="16" s="1"/>
  <c r="O83" i="16" s="1"/>
  <c r="H83" i="16"/>
  <c r="I83" i="16" s="1"/>
  <c r="J83" i="16" s="1"/>
  <c r="K83" i="16" s="1"/>
  <c r="T77" i="16"/>
  <c r="U77" i="16" s="1"/>
  <c r="V77" i="16" s="1"/>
  <c r="W77" i="16" s="1"/>
  <c r="P77" i="16"/>
  <c r="Q77" i="16" s="1"/>
  <c r="R77" i="16" s="1"/>
  <c r="S77" i="16" s="1"/>
  <c r="L77" i="16"/>
  <c r="M77" i="16" s="1"/>
  <c r="N77" i="16" s="1"/>
  <c r="O77" i="16" s="1"/>
  <c r="H77" i="16"/>
  <c r="I77" i="16" s="1"/>
  <c r="J77" i="16" s="1"/>
  <c r="K77" i="16" s="1"/>
  <c r="T71" i="16"/>
  <c r="U71" i="16" s="1"/>
  <c r="V71" i="16" s="1"/>
  <c r="W71" i="16" s="1"/>
  <c r="P71" i="16"/>
  <c r="Q71" i="16" s="1"/>
  <c r="R71" i="16" s="1"/>
  <c r="S71" i="16" s="1"/>
  <c r="L71" i="16"/>
  <c r="M71" i="16" s="1"/>
  <c r="N71" i="16" s="1"/>
  <c r="O71" i="16" s="1"/>
  <c r="H71" i="16"/>
  <c r="I71" i="16" s="1"/>
  <c r="J71" i="16" s="1"/>
  <c r="K71" i="16" s="1"/>
  <c r="T65" i="16"/>
  <c r="U65" i="16" s="1"/>
  <c r="V65" i="16" s="1"/>
  <c r="W65" i="16" s="1"/>
  <c r="P65" i="16"/>
  <c r="Q65" i="16" s="1"/>
  <c r="R65" i="16" s="1"/>
  <c r="S65" i="16" s="1"/>
  <c r="L65" i="16"/>
  <c r="M65" i="16" s="1"/>
  <c r="N65" i="16" s="1"/>
  <c r="O65" i="16" s="1"/>
  <c r="H65" i="16"/>
  <c r="I65" i="16" s="1"/>
  <c r="J65" i="16" s="1"/>
  <c r="K65" i="16" s="1"/>
  <c r="E98" i="16"/>
  <c r="F98" i="16"/>
  <c r="G98" i="16"/>
  <c r="H98" i="16"/>
  <c r="I98" i="16"/>
  <c r="J98" i="16"/>
  <c r="K98" i="16"/>
  <c r="L98" i="16"/>
  <c r="M98" i="16"/>
  <c r="D98" i="16"/>
  <c r="E80" i="16"/>
  <c r="F80" i="16"/>
  <c r="G80" i="16"/>
  <c r="H80" i="16"/>
  <c r="I80" i="16"/>
  <c r="J80" i="16"/>
  <c r="K80" i="16"/>
  <c r="L80" i="16"/>
  <c r="M80" i="16"/>
  <c r="N80" i="16"/>
  <c r="O80" i="16"/>
  <c r="P80" i="16"/>
  <c r="Q80" i="16"/>
  <c r="R80" i="16"/>
  <c r="S80" i="16"/>
  <c r="T80" i="16"/>
  <c r="U80" i="16"/>
  <c r="V80" i="16"/>
  <c r="W80" i="16"/>
  <c r="X80" i="16"/>
  <c r="Y80" i="16"/>
  <c r="Z80" i="16"/>
  <c r="AA80" i="16"/>
  <c r="AB80" i="16"/>
  <c r="D80" i="16"/>
  <c r="D74" i="16"/>
  <c r="E68" i="16"/>
  <c r="F68" i="16"/>
  <c r="G68" i="16"/>
  <c r="H68" i="16"/>
  <c r="I68" i="16"/>
  <c r="J68" i="16"/>
  <c r="K68" i="16"/>
  <c r="L68" i="16"/>
  <c r="M68" i="16"/>
  <c r="N68" i="16"/>
  <c r="O68" i="16"/>
  <c r="P68" i="16"/>
  <c r="Q68" i="16"/>
  <c r="R68" i="16"/>
  <c r="S68" i="16"/>
  <c r="T68" i="16"/>
  <c r="U68" i="16"/>
  <c r="V68" i="16"/>
  <c r="W68" i="16"/>
  <c r="X68" i="16"/>
  <c r="Y68" i="16"/>
  <c r="Z68" i="16"/>
  <c r="AA68" i="16"/>
  <c r="AB68" i="16"/>
  <c r="AC68" i="16"/>
  <c r="AD68" i="16"/>
  <c r="AE68" i="16"/>
  <c r="AF68" i="16"/>
  <c r="AG68" i="16"/>
  <c r="D68" i="16"/>
  <c r="D62" i="16"/>
  <c r="E62" i="16"/>
  <c r="F62" i="16"/>
  <c r="G62" i="16"/>
  <c r="H62" i="16"/>
  <c r="I62" i="16"/>
  <c r="J62" i="16"/>
  <c r="K62" i="16"/>
  <c r="L62" i="16"/>
  <c r="M62" i="16"/>
  <c r="N62" i="16"/>
  <c r="O62" i="16"/>
  <c r="P62" i="16"/>
  <c r="Q62" i="16"/>
  <c r="R62" i="16"/>
  <c r="S62" i="16"/>
  <c r="T62" i="16"/>
  <c r="U62" i="16"/>
  <c r="V62" i="16"/>
  <c r="W62" i="16"/>
  <c r="X62" i="16"/>
  <c r="Y62" i="16"/>
  <c r="Z62" i="16"/>
  <c r="AA62" i="16"/>
  <c r="AB62" i="16"/>
  <c r="AC62" i="16"/>
  <c r="AD62" i="16"/>
  <c r="AE62" i="16"/>
  <c r="AF62" i="16"/>
  <c r="AG62" i="16"/>
  <c r="AL68" i="16" l="1" a="1"/>
  <c r="AL68" i="16" s="1"/>
  <c r="AK68" i="16" a="1"/>
  <c r="AK68" i="16" s="1"/>
  <c r="AJ68" i="16" a="1"/>
  <c r="AJ68" i="16" s="1"/>
  <c r="AI68" i="16" a="1"/>
  <c r="AI68" i="16" s="1"/>
  <c r="BW3" i="13" l="1"/>
  <c r="BW4" i="13"/>
  <c r="BW5" i="13"/>
  <c r="BW6" i="13"/>
  <c r="BW7" i="13"/>
  <c r="BW8" i="13"/>
  <c r="BW9" i="13"/>
  <c r="BW10" i="13"/>
  <c r="BW11" i="13"/>
  <c r="BW12" i="13"/>
  <c r="BW13" i="13"/>
  <c r="BW14" i="13"/>
  <c r="BW15" i="13"/>
  <c r="BW16" i="13"/>
  <c r="BW17" i="13"/>
  <c r="BW18" i="13"/>
  <c r="BW19" i="13"/>
  <c r="BW20" i="13"/>
  <c r="BW21" i="13"/>
  <c r="BW22" i="13"/>
  <c r="BW23" i="13"/>
  <c r="BW24" i="13"/>
  <c r="BW25" i="13"/>
  <c r="BW26" i="13"/>
  <c r="BW27" i="13"/>
  <c r="BW28" i="13"/>
  <c r="BW29" i="13"/>
  <c r="BW30" i="13"/>
  <c r="BW31" i="13"/>
  <c r="BW32" i="13"/>
  <c r="BW33" i="13"/>
  <c r="BW34" i="13"/>
  <c r="BW35" i="13"/>
  <c r="BW36" i="13"/>
  <c r="BW37" i="13"/>
  <c r="BW38" i="13"/>
  <c r="BW39" i="13"/>
  <c r="BW40" i="13"/>
  <c r="BW41" i="13"/>
  <c r="BW42" i="13"/>
  <c r="BW43" i="13"/>
  <c r="BW44" i="13"/>
  <c r="BW45" i="13"/>
  <c r="BW46" i="13"/>
  <c r="BW47" i="13"/>
  <c r="BW48" i="13"/>
  <c r="BW49" i="13"/>
  <c r="BW50" i="13"/>
  <c r="BW51" i="13"/>
  <c r="BW52" i="13"/>
  <c r="BW53" i="13"/>
  <c r="BW54" i="13"/>
  <c r="BW55" i="13"/>
  <c r="BW56" i="13"/>
  <c r="BV3" i="13"/>
  <c r="BV4" i="13"/>
  <c r="BV5" i="13"/>
  <c r="BV6" i="13"/>
  <c r="BV7" i="13"/>
  <c r="BV8" i="13"/>
  <c r="BV9" i="13"/>
  <c r="BV10" i="13"/>
  <c r="BV11" i="13"/>
  <c r="BV12" i="13"/>
  <c r="BV13" i="13"/>
  <c r="BV14" i="13"/>
  <c r="BV15" i="13"/>
  <c r="BV16" i="13"/>
  <c r="BV17" i="13"/>
  <c r="BV18" i="13"/>
  <c r="BV19" i="13"/>
  <c r="BV20" i="13"/>
  <c r="BV21" i="13"/>
  <c r="BV22" i="13"/>
  <c r="BV23" i="13"/>
  <c r="BV24" i="13"/>
  <c r="BV25" i="13"/>
  <c r="BV26" i="13"/>
  <c r="BV27" i="13"/>
  <c r="BV28" i="13"/>
  <c r="BV29" i="13"/>
  <c r="BV30" i="13"/>
  <c r="BV31" i="13"/>
  <c r="BV32" i="13"/>
  <c r="BV33" i="13"/>
  <c r="BV34" i="13"/>
  <c r="BV35" i="13"/>
  <c r="BV36" i="13"/>
  <c r="BV37" i="13"/>
  <c r="BV38" i="13"/>
  <c r="BV39" i="13"/>
  <c r="BV40" i="13"/>
  <c r="BV41" i="13"/>
  <c r="BV42" i="13"/>
  <c r="BV43" i="13"/>
  <c r="BV44" i="13"/>
  <c r="BV45" i="13"/>
  <c r="BV46" i="13"/>
  <c r="BV47" i="13"/>
  <c r="BV48" i="13"/>
  <c r="BV49" i="13"/>
  <c r="BV50" i="13"/>
  <c r="BV51" i="13"/>
  <c r="BV52" i="13"/>
  <c r="BV53" i="13"/>
  <c r="BV54" i="13"/>
  <c r="BV55" i="13"/>
  <c r="BV56" i="13"/>
  <c r="BU3" i="13"/>
  <c r="BU4" i="13"/>
  <c r="BU5" i="13"/>
  <c r="BU6" i="13"/>
  <c r="BU7" i="13"/>
  <c r="BU8" i="13"/>
  <c r="BU9" i="13"/>
  <c r="BU10" i="13"/>
  <c r="BU11" i="13"/>
  <c r="BU12" i="13"/>
  <c r="BU13" i="13"/>
  <c r="BU14" i="13"/>
  <c r="BU15" i="13"/>
  <c r="BU16" i="13"/>
  <c r="BU17" i="13"/>
  <c r="BU18" i="13"/>
  <c r="BU19" i="13"/>
  <c r="BU20" i="13"/>
  <c r="BU21" i="13"/>
  <c r="BU22" i="13"/>
  <c r="BU23" i="13"/>
  <c r="BU24" i="13"/>
  <c r="BU25" i="13"/>
  <c r="BU26" i="13"/>
  <c r="BU27" i="13"/>
  <c r="BU28" i="13"/>
  <c r="BU29" i="13"/>
  <c r="BU30" i="13"/>
  <c r="BU31" i="13"/>
  <c r="BU32" i="13"/>
  <c r="BU33" i="13"/>
  <c r="BU34" i="13"/>
  <c r="BU35" i="13"/>
  <c r="BU36" i="13"/>
  <c r="BU37" i="13"/>
  <c r="BU38" i="13"/>
  <c r="BU39" i="13"/>
  <c r="BU40" i="13"/>
  <c r="BU41" i="13"/>
  <c r="BU42" i="13"/>
  <c r="BU43" i="13"/>
  <c r="BU44" i="13"/>
  <c r="BU45" i="13"/>
  <c r="BU46" i="13"/>
  <c r="BU47" i="13"/>
  <c r="BU48" i="13"/>
  <c r="BU49" i="13"/>
  <c r="BU50" i="13"/>
  <c r="BU51" i="13"/>
  <c r="BU52" i="13"/>
  <c r="BU53" i="13"/>
  <c r="BU54" i="13"/>
  <c r="BU55" i="13"/>
  <c r="BU56" i="13"/>
  <c r="BW2" i="13"/>
  <c r="BV2" i="13"/>
  <c r="BU2" i="13"/>
  <c r="BT3" i="13"/>
  <c r="BT4" i="13"/>
  <c r="BT5" i="13"/>
  <c r="BT6" i="13"/>
  <c r="BT7" i="13"/>
  <c r="BT8" i="13"/>
  <c r="BT9" i="13"/>
  <c r="BT10" i="13"/>
  <c r="BT11" i="13"/>
  <c r="BT12" i="13"/>
  <c r="BT13" i="13"/>
  <c r="BT14" i="13"/>
  <c r="BT15" i="13"/>
  <c r="BT16" i="13"/>
  <c r="BT17" i="13"/>
  <c r="BT18" i="13"/>
  <c r="BT19" i="13"/>
  <c r="BT20" i="13"/>
  <c r="BT21" i="13"/>
  <c r="BT22" i="13"/>
  <c r="BT23" i="13"/>
  <c r="BT24" i="13"/>
  <c r="BT25" i="13"/>
  <c r="BT26" i="13"/>
  <c r="BT27" i="13"/>
  <c r="BT28" i="13"/>
  <c r="BT29" i="13"/>
  <c r="BT30" i="13"/>
  <c r="BT31" i="13"/>
  <c r="BT32" i="13"/>
  <c r="BT33" i="13"/>
  <c r="BT34" i="13"/>
  <c r="BT35" i="13"/>
  <c r="BT36" i="13"/>
  <c r="BT37" i="13"/>
  <c r="BT38" i="13"/>
  <c r="BT39" i="13"/>
  <c r="BT40" i="13"/>
  <c r="BT41" i="13"/>
  <c r="BT42" i="13"/>
  <c r="BT43" i="13"/>
  <c r="BT44" i="13"/>
  <c r="BT45" i="13"/>
  <c r="BT46" i="13"/>
  <c r="BT47" i="13"/>
  <c r="BT48" i="13"/>
  <c r="BT49" i="13"/>
  <c r="BT50" i="13"/>
  <c r="BT51" i="13"/>
  <c r="BT52" i="13"/>
  <c r="BT53" i="13"/>
  <c r="BT54" i="13"/>
  <c r="BT55" i="13"/>
  <c r="BT56" i="13"/>
  <c r="BT2" i="13"/>
  <c r="G11" i="18"/>
  <c r="G10" i="18"/>
  <c r="BX2" i="13"/>
  <c r="BX3" i="13"/>
  <c r="BX4" i="13"/>
  <c r="BX5" i="13"/>
  <c r="BX6" i="13"/>
  <c r="BX7" i="13"/>
  <c r="BX8" i="13"/>
  <c r="BX9" i="13"/>
  <c r="BX10" i="13"/>
  <c r="BX11" i="13"/>
  <c r="BX12" i="13"/>
  <c r="BX13" i="13"/>
  <c r="BX14" i="13"/>
  <c r="BX15" i="13"/>
  <c r="BX16" i="13"/>
  <c r="BX17" i="13"/>
  <c r="BX18" i="13"/>
  <c r="BX19" i="13"/>
  <c r="BX20" i="13"/>
  <c r="BX21" i="13"/>
  <c r="BX22" i="13"/>
  <c r="BX23" i="13"/>
  <c r="BX24" i="13"/>
  <c r="BX25" i="13"/>
  <c r="BX26" i="13"/>
  <c r="BX27" i="13"/>
  <c r="BX28" i="13"/>
  <c r="BX29" i="13"/>
  <c r="BX30" i="13"/>
  <c r="BX31" i="13"/>
  <c r="BX32" i="13"/>
  <c r="BX33" i="13"/>
  <c r="BX34" i="13"/>
  <c r="BX35" i="13"/>
  <c r="BX36" i="13"/>
  <c r="BX37" i="13"/>
  <c r="BX38" i="13"/>
  <c r="BX39" i="13"/>
  <c r="BX40" i="13"/>
  <c r="BX41" i="13"/>
  <c r="BX42" i="13"/>
  <c r="BX43" i="13"/>
  <c r="BX44" i="13"/>
  <c r="BX45" i="13"/>
  <c r="BX46" i="13"/>
  <c r="BX47" i="13"/>
  <c r="BX48" i="13"/>
  <c r="BX49" i="13"/>
  <c r="BX50" i="13"/>
  <c r="BX51" i="13"/>
  <c r="BX52" i="13"/>
  <c r="BX53" i="13"/>
  <c r="BX54" i="13"/>
  <c r="BX55" i="13"/>
  <c r="BX56" i="13"/>
  <c r="G7" i="18"/>
  <c r="G5" i="18"/>
  <c r="BS3" i="13"/>
  <c r="BS4" i="13"/>
  <c r="BS5" i="13"/>
  <c r="BS6" i="13"/>
  <c r="BS7" i="13"/>
  <c r="BS8" i="13"/>
  <c r="BS9" i="13"/>
  <c r="BS10" i="13"/>
  <c r="BS11" i="13"/>
  <c r="BS12" i="13"/>
  <c r="BS13" i="13"/>
  <c r="BS14" i="13"/>
  <c r="BS15" i="13"/>
  <c r="BS16" i="13"/>
  <c r="BS17" i="13"/>
  <c r="BS18" i="13"/>
  <c r="BS19" i="13"/>
  <c r="BS20" i="13"/>
  <c r="BS21" i="13"/>
  <c r="BS22" i="13"/>
  <c r="BS23" i="13"/>
  <c r="BS24" i="13"/>
  <c r="BS25" i="13"/>
  <c r="BS26" i="13"/>
  <c r="BS27" i="13"/>
  <c r="BS28" i="13"/>
  <c r="BS29" i="13"/>
  <c r="BS30" i="13"/>
  <c r="BS31" i="13"/>
  <c r="BS32" i="13"/>
  <c r="BS33" i="13"/>
  <c r="BS34" i="13"/>
  <c r="BS35" i="13"/>
  <c r="BS36" i="13"/>
  <c r="BS37" i="13"/>
  <c r="BS38" i="13"/>
  <c r="BS39" i="13"/>
  <c r="BS40" i="13"/>
  <c r="BS41" i="13"/>
  <c r="BS42" i="13"/>
  <c r="BS43" i="13"/>
  <c r="BS44" i="13"/>
  <c r="BS45" i="13"/>
  <c r="BS46" i="13"/>
  <c r="BS47" i="13"/>
  <c r="BS48" i="13"/>
  <c r="BS49" i="13"/>
  <c r="BS50" i="13"/>
  <c r="BS51" i="13"/>
  <c r="BS52" i="13"/>
  <c r="BS53" i="13"/>
  <c r="BS54" i="13"/>
  <c r="BS55" i="13"/>
  <c r="BS56" i="13"/>
  <c r="BS2" i="13"/>
  <c r="A2" i="21"/>
  <c r="B2" i="21"/>
  <c r="A3" i="21"/>
  <c r="B3" i="21"/>
  <c r="A4" i="21"/>
  <c r="B4" i="21"/>
  <c r="A5" i="21"/>
  <c r="B5" i="21"/>
  <c r="A6" i="21"/>
  <c r="B6" i="21"/>
  <c r="A7" i="21"/>
  <c r="B7" i="21"/>
  <c r="A8" i="21"/>
  <c r="B8" i="21"/>
  <c r="A9" i="21"/>
  <c r="B9" i="21"/>
  <c r="A10" i="21"/>
  <c r="B10" i="21"/>
  <c r="A11" i="21"/>
  <c r="B11" i="21"/>
  <c r="A12" i="21"/>
  <c r="B12" i="21"/>
  <c r="A13" i="21"/>
  <c r="B13" i="21"/>
  <c r="A14" i="21"/>
  <c r="B14" i="21"/>
  <c r="A15" i="21"/>
  <c r="B15" i="21"/>
  <c r="A16" i="21"/>
  <c r="B16" i="21"/>
  <c r="A17" i="21"/>
  <c r="B17" i="21"/>
  <c r="A18" i="21"/>
  <c r="B18" i="21"/>
  <c r="A19" i="21"/>
  <c r="B19" i="21"/>
  <c r="A20" i="21"/>
  <c r="B20" i="21"/>
  <c r="A21" i="21"/>
  <c r="B21" i="21"/>
  <c r="A22" i="21"/>
  <c r="B22" i="21"/>
  <c r="B1" i="21"/>
  <c r="A1" i="21"/>
  <c r="B11" i="20" a="1"/>
  <c r="A11" i="20" a="1"/>
  <c r="BY2" i="13" a="1"/>
  <c r="J10" i="18"/>
  <c r="I11" i="18"/>
  <c r="H11" i="18"/>
  <c r="X8" i="18"/>
  <c r="E10" i="18"/>
  <c r="D10" i="18"/>
  <c r="D62" i="18" s="1"/>
  <c r="D57" i="18" s="1"/>
  <c r="D59" i="18" s="1"/>
  <c r="C7" i="18"/>
  <c r="AC62" i="18"/>
  <c r="AB62" i="18"/>
  <c r="AA62" i="18"/>
  <c r="Z62" i="18"/>
  <c r="Y62" i="18"/>
  <c r="X62" i="18"/>
  <c r="X57" i="18" s="1"/>
  <c r="X59" i="18" s="1"/>
  <c r="W62" i="18"/>
  <c r="V62" i="18"/>
  <c r="U62" i="18"/>
  <c r="T62" i="18"/>
  <c r="S62" i="18"/>
  <c r="R62" i="18"/>
  <c r="Q62" i="18"/>
  <c r="P62" i="18"/>
  <c r="O62" i="18"/>
  <c r="N62" i="18"/>
  <c r="M62" i="18"/>
  <c r="L62" i="18"/>
  <c r="K62" i="18"/>
  <c r="J62" i="18"/>
  <c r="I62" i="18"/>
  <c r="I57" i="18" s="1"/>
  <c r="I59" i="18" s="1"/>
  <c r="H62" i="18"/>
  <c r="H57" i="18" s="1"/>
  <c r="H59" i="18" s="1"/>
  <c r="G62" i="18"/>
  <c r="F62" i="18"/>
  <c r="E62" i="18"/>
  <c r="C62" i="18"/>
  <c r="C57" i="18" s="1"/>
  <c r="C59" i="18" s="1"/>
  <c r="AC57" i="18"/>
  <c r="AC59" i="18" s="1"/>
  <c r="AB57" i="18"/>
  <c r="AB59" i="18" s="1"/>
  <c r="AA57" i="18"/>
  <c r="AA59" i="18" s="1"/>
  <c r="Z57" i="18"/>
  <c r="Z59" i="18" s="1"/>
  <c r="Y57" i="18"/>
  <c r="Y59" i="18" s="1"/>
  <c r="W57" i="18"/>
  <c r="W59" i="18" s="1"/>
  <c r="V57" i="18"/>
  <c r="V59" i="18" s="1"/>
  <c r="U57" i="18"/>
  <c r="U59" i="18" s="1"/>
  <c r="T57" i="18"/>
  <c r="T59" i="18" s="1"/>
  <c r="S57" i="18"/>
  <c r="S59" i="18" s="1"/>
  <c r="R57" i="18"/>
  <c r="R59" i="18" s="1"/>
  <c r="Q57" i="18"/>
  <c r="Q59" i="18" s="1"/>
  <c r="P57" i="18"/>
  <c r="P59" i="18" s="1"/>
  <c r="O57" i="18"/>
  <c r="O59" i="18" s="1"/>
  <c r="N57" i="18"/>
  <c r="N59" i="18" s="1"/>
  <c r="M57" i="18"/>
  <c r="M59" i="18" s="1"/>
  <c r="L57" i="18"/>
  <c r="L59" i="18" s="1"/>
  <c r="K57" i="18"/>
  <c r="K59" i="18" s="1"/>
  <c r="J57" i="18"/>
  <c r="J59" i="18" s="1"/>
  <c r="G57" i="18"/>
  <c r="G59" i="18" s="1"/>
  <c r="F57" i="18"/>
  <c r="F59" i="18" s="1"/>
  <c r="E57" i="18"/>
  <c r="E59" i="18" s="1"/>
  <c r="AE11" i="18"/>
  <c r="AE10" i="18"/>
  <c r="AE8" i="18"/>
  <c r="AE7" i="18"/>
  <c r="AE6" i="18"/>
  <c r="AE5" i="18"/>
  <c r="AE4" i="18"/>
  <c r="AE3" i="18"/>
  <c r="AE6" i="14"/>
  <c r="AE3" i="14"/>
  <c r="AE4" i="14"/>
  <c r="AE5" i="14"/>
  <c r="AE7" i="14"/>
  <c r="AE9" i="14"/>
  <c r="AE10" i="14"/>
  <c r="AE2" i="14"/>
  <c r="D61" i="14"/>
  <c r="E61" i="14"/>
  <c r="E56" i="14" s="1"/>
  <c r="E58" i="14" s="1"/>
  <c r="F61" i="14"/>
  <c r="G61" i="14"/>
  <c r="G56" i="14" s="1"/>
  <c r="G58" i="14" s="1"/>
  <c r="H61" i="14"/>
  <c r="I61" i="14"/>
  <c r="J61" i="14"/>
  <c r="J56" i="14" s="1"/>
  <c r="J58" i="14" s="1"/>
  <c r="K61" i="14"/>
  <c r="K56" i="14" s="1"/>
  <c r="K58" i="14" s="1"/>
  <c r="L61" i="14"/>
  <c r="M61" i="14"/>
  <c r="N61" i="14"/>
  <c r="O61" i="14"/>
  <c r="P61" i="14"/>
  <c r="Q61" i="14"/>
  <c r="R61" i="14"/>
  <c r="S61" i="14"/>
  <c r="T61" i="14"/>
  <c r="U61" i="14"/>
  <c r="U56" i="14" s="1"/>
  <c r="U58" i="14" s="1"/>
  <c r="V61" i="14"/>
  <c r="W61" i="14"/>
  <c r="X61" i="14"/>
  <c r="Y61" i="14"/>
  <c r="Z61" i="14"/>
  <c r="AA61" i="14"/>
  <c r="AB61" i="14"/>
  <c r="AB56" i="14" s="1"/>
  <c r="AB58" i="14" s="1"/>
  <c r="AC61" i="14"/>
  <c r="AC56" i="14" s="1"/>
  <c r="AC58" i="14" s="1"/>
  <c r="C61" i="14"/>
  <c r="C56" i="14" s="1"/>
  <c r="C58" i="14" s="1"/>
  <c r="AA56" i="14"/>
  <c r="AA58" i="14" s="1"/>
  <c r="Z56" i="14"/>
  <c r="Z58" i="14" s="1"/>
  <c r="Y56" i="14"/>
  <c r="Y58" i="14" s="1"/>
  <c r="X56" i="14"/>
  <c r="X58" i="14" s="1"/>
  <c r="W56" i="14"/>
  <c r="W58" i="14" s="1"/>
  <c r="V56" i="14"/>
  <c r="V58" i="14" s="1"/>
  <c r="T56" i="14"/>
  <c r="T58" i="14" s="1"/>
  <c r="S56" i="14"/>
  <c r="S58" i="14" s="1"/>
  <c r="R56" i="14"/>
  <c r="R58" i="14" s="1"/>
  <c r="Q56" i="14"/>
  <c r="Q58" i="14" s="1"/>
  <c r="P56" i="14"/>
  <c r="P58" i="14" s="1"/>
  <c r="O56" i="14"/>
  <c r="O58" i="14" s="1"/>
  <c r="N56" i="14"/>
  <c r="N58" i="14" s="1"/>
  <c r="M56" i="14"/>
  <c r="M58" i="14" s="1"/>
  <c r="L56" i="14"/>
  <c r="L58" i="14" s="1"/>
  <c r="I56" i="14"/>
  <c r="I58" i="14" s="1"/>
  <c r="H56" i="14"/>
  <c r="H58" i="14" s="1"/>
  <c r="F56" i="14"/>
  <c r="F58" i="14" s="1"/>
  <c r="D56" i="14"/>
  <c r="D58" i="14" s="1"/>
  <c r="C34" i="11"/>
  <c r="W60" i="11"/>
  <c r="V60" i="11"/>
  <c r="U60" i="11"/>
  <c r="T60" i="11"/>
  <c r="S60" i="11"/>
  <c r="R60" i="11"/>
  <c r="Q60" i="11"/>
  <c r="P60" i="11"/>
  <c r="O60" i="11"/>
  <c r="N60" i="11"/>
  <c r="M60" i="11"/>
  <c r="L60" i="11"/>
  <c r="K60" i="11"/>
  <c r="J60" i="11"/>
  <c r="I60" i="11"/>
  <c r="H60" i="11"/>
  <c r="G60" i="11"/>
  <c r="F60" i="11"/>
  <c r="E60" i="11"/>
  <c r="D60" i="11"/>
  <c r="C60" i="11"/>
  <c r="B60" i="11"/>
  <c r="A60" i="11"/>
  <c r="W59" i="11"/>
  <c r="V59" i="11"/>
  <c r="U59" i="11"/>
  <c r="T59" i="11"/>
  <c r="S59" i="11"/>
  <c r="R59" i="11"/>
  <c r="Q59" i="11"/>
  <c r="P59" i="11"/>
  <c r="O59" i="11"/>
  <c r="N59" i="11"/>
  <c r="M59" i="11"/>
  <c r="L59" i="11"/>
  <c r="K59" i="11"/>
  <c r="J59" i="11"/>
  <c r="I59" i="11"/>
  <c r="H59" i="11"/>
  <c r="G59" i="11"/>
  <c r="F59" i="11"/>
  <c r="E59" i="11"/>
  <c r="D59" i="11"/>
  <c r="C59" i="11"/>
  <c r="B59" i="11"/>
  <c r="A59" i="11"/>
  <c r="W58" i="11"/>
  <c r="V58" i="11"/>
  <c r="U58" i="11"/>
  <c r="T58" i="11"/>
  <c r="S58" i="11"/>
  <c r="R58" i="11"/>
  <c r="Q58" i="11"/>
  <c r="P58" i="11"/>
  <c r="O58" i="11"/>
  <c r="N58" i="11"/>
  <c r="M58" i="11"/>
  <c r="L58" i="11"/>
  <c r="K58" i="11"/>
  <c r="J58" i="11"/>
  <c r="I58" i="11"/>
  <c r="H58" i="11"/>
  <c r="G58" i="11"/>
  <c r="F58" i="11"/>
  <c r="E58" i="11"/>
  <c r="D58" i="11"/>
  <c r="C58" i="11"/>
  <c r="B58" i="11"/>
  <c r="A58" i="11"/>
  <c r="W57" i="11"/>
  <c r="V57" i="11"/>
  <c r="U57" i="11"/>
  <c r="T57" i="11"/>
  <c r="S57" i="11"/>
  <c r="R57" i="11"/>
  <c r="Q57" i="11"/>
  <c r="P57" i="11"/>
  <c r="O57" i="11"/>
  <c r="N57" i="11"/>
  <c r="M57" i="11"/>
  <c r="L57" i="11"/>
  <c r="K57" i="11"/>
  <c r="J57" i="11"/>
  <c r="I57" i="11"/>
  <c r="H57" i="11"/>
  <c r="G57" i="11"/>
  <c r="F57" i="11"/>
  <c r="E57" i="11"/>
  <c r="D57" i="11"/>
  <c r="C57" i="11"/>
  <c r="B57" i="11"/>
  <c r="A57" i="11"/>
  <c r="W56" i="11"/>
  <c r="V56" i="11"/>
  <c r="U56" i="11"/>
  <c r="T56" i="11"/>
  <c r="S56" i="11"/>
  <c r="R56" i="11"/>
  <c r="Q56" i="11"/>
  <c r="P56" i="11"/>
  <c r="O56" i="11"/>
  <c r="N56" i="11"/>
  <c r="M56" i="11"/>
  <c r="L56" i="11"/>
  <c r="K56" i="11"/>
  <c r="J56" i="11"/>
  <c r="I56" i="11"/>
  <c r="H56" i="11"/>
  <c r="G56" i="11"/>
  <c r="F56" i="11"/>
  <c r="E56" i="11"/>
  <c r="D56" i="11"/>
  <c r="C56" i="11"/>
  <c r="B56" i="11"/>
  <c r="A56" i="11"/>
  <c r="W55" i="11"/>
  <c r="V55" i="11"/>
  <c r="U55" i="11"/>
  <c r="T55" i="11"/>
  <c r="S55" i="11"/>
  <c r="R55" i="11"/>
  <c r="Q55" i="11"/>
  <c r="P55" i="11"/>
  <c r="O55" i="11"/>
  <c r="N55" i="11"/>
  <c r="M55" i="11"/>
  <c r="L55" i="11"/>
  <c r="K55" i="11"/>
  <c r="J55" i="11"/>
  <c r="I55" i="11"/>
  <c r="H55" i="11"/>
  <c r="G55" i="11"/>
  <c r="F55" i="11"/>
  <c r="E55" i="11"/>
  <c r="D55" i="11"/>
  <c r="C55" i="11"/>
  <c r="B55" i="11"/>
  <c r="A55" i="11"/>
  <c r="W54" i="11"/>
  <c r="V54" i="11"/>
  <c r="U54" i="11"/>
  <c r="T54" i="11"/>
  <c r="S54" i="11"/>
  <c r="R54" i="11"/>
  <c r="Q54" i="11"/>
  <c r="P54" i="11"/>
  <c r="O54" i="11"/>
  <c r="N54" i="11"/>
  <c r="M54" i="11"/>
  <c r="L54" i="11"/>
  <c r="K54" i="11"/>
  <c r="J54" i="11"/>
  <c r="I54" i="11"/>
  <c r="H54" i="11"/>
  <c r="G54" i="11"/>
  <c r="F54" i="11"/>
  <c r="E54" i="11"/>
  <c r="D54" i="11"/>
  <c r="C54" i="11"/>
  <c r="B54" i="11"/>
  <c r="A54" i="11"/>
  <c r="W53" i="11"/>
  <c r="V53" i="11"/>
  <c r="U53" i="11"/>
  <c r="T53" i="11"/>
  <c r="S53" i="11"/>
  <c r="R53" i="11"/>
  <c r="Q53" i="11"/>
  <c r="P53" i="11"/>
  <c r="O53" i="11"/>
  <c r="N53" i="11"/>
  <c r="M53" i="11"/>
  <c r="L53" i="11"/>
  <c r="K53" i="11"/>
  <c r="J53" i="11"/>
  <c r="I53" i="11"/>
  <c r="H53" i="11"/>
  <c r="G53" i="11"/>
  <c r="F53" i="11"/>
  <c r="E53" i="11"/>
  <c r="D53" i="11"/>
  <c r="C53" i="11"/>
  <c r="B53" i="11"/>
  <c r="A53" i="11"/>
  <c r="W52" i="11"/>
  <c r="V52" i="11"/>
  <c r="U52" i="11"/>
  <c r="T52" i="11"/>
  <c r="S52" i="11"/>
  <c r="R52" i="11"/>
  <c r="Q52" i="11"/>
  <c r="P52" i="11"/>
  <c r="O52" i="11"/>
  <c r="N52" i="11"/>
  <c r="M52" i="11"/>
  <c r="L52" i="11"/>
  <c r="K52" i="11"/>
  <c r="J52" i="11"/>
  <c r="I52" i="11"/>
  <c r="H52" i="11"/>
  <c r="G52" i="11"/>
  <c r="F52" i="11"/>
  <c r="E52" i="11"/>
  <c r="D52" i="11"/>
  <c r="C52" i="11"/>
  <c r="B52" i="11"/>
  <c r="A52" i="11"/>
  <c r="W51" i="11"/>
  <c r="V51" i="11"/>
  <c r="U51" i="11"/>
  <c r="T51" i="11"/>
  <c r="S51" i="11"/>
  <c r="R51" i="11"/>
  <c r="Q51" i="11"/>
  <c r="P51" i="11"/>
  <c r="O51" i="11"/>
  <c r="N51" i="11"/>
  <c r="M51" i="11"/>
  <c r="L51" i="11"/>
  <c r="K51" i="11"/>
  <c r="J51" i="11"/>
  <c r="I51" i="11"/>
  <c r="H51" i="11"/>
  <c r="G51" i="11"/>
  <c r="F51" i="11"/>
  <c r="E51" i="11"/>
  <c r="D51" i="11"/>
  <c r="C51" i="11"/>
  <c r="B51" i="11"/>
  <c r="A51" i="11"/>
  <c r="W50" i="11"/>
  <c r="V50" i="11"/>
  <c r="U50" i="11"/>
  <c r="T50" i="11"/>
  <c r="S50" i="11"/>
  <c r="R50" i="11"/>
  <c r="Q50" i="11"/>
  <c r="P50" i="11"/>
  <c r="O50" i="11"/>
  <c r="N50" i="11"/>
  <c r="M50" i="11"/>
  <c r="L50" i="11"/>
  <c r="K50" i="11"/>
  <c r="J50" i="11"/>
  <c r="I50" i="11"/>
  <c r="H50" i="11"/>
  <c r="G50" i="11"/>
  <c r="F50" i="11"/>
  <c r="E50" i="11"/>
  <c r="D50" i="11"/>
  <c r="C50" i="11"/>
  <c r="B50" i="11"/>
  <c r="A50" i="11"/>
  <c r="W49" i="11"/>
  <c r="V49" i="11"/>
  <c r="U49" i="11"/>
  <c r="T49" i="11"/>
  <c r="S49" i="11"/>
  <c r="R49" i="11"/>
  <c r="Q49" i="11"/>
  <c r="P49" i="11"/>
  <c r="O49" i="11"/>
  <c r="N49" i="11"/>
  <c r="M49" i="11"/>
  <c r="L49" i="11"/>
  <c r="K49" i="11"/>
  <c r="J49" i="11"/>
  <c r="I49" i="11"/>
  <c r="H49" i="11"/>
  <c r="G49" i="11"/>
  <c r="F49" i="11"/>
  <c r="E49" i="11"/>
  <c r="D49" i="11"/>
  <c r="C49" i="11"/>
  <c r="B49" i="11"/>
  <c r="A49" i="11"/>
  <c r="W48" i="11"/>
  <c r="V48" i="11"/>
  <c r="U48" i="11"/>
  <c r="T48" i="11"/>
  <c r="S48" i="11"/>
  <c r="R48" i="11"/>
  <c r="Q48" i="11"/>
  <c r="P48" i="11"/>
  <c r="O48" i="11"/>
  <c r="N48" i="11"/>
  <c r="M48" i="11"/>
  <c r="L48" i="11"/>
  <c r="K48" i="11"/>
  <c r="J48" i="11"/>
  <c r="I48" i="11"/>
  <c r="H48" i="11"/>
  <c r="G48" i="11"/>
  <c r="F48" i="11"/>
  <c r="E48" i="11"/>
  <c r="D48" i="11"/>
  <c r="C48" i="11"/>
  <c r="B48" i="11"/>
  <c r="A48" i="11"/>
  <c r="W47" i="11"/>
  <c r="V47" i="11"/>
  <c r="U47" i="11"/>
  <c r="T47" i="11"/>
  <c r="S47" i="11"/>
  <c r="R47" i="11"/>
  <c r="Q47" i="11"/>
  <c r="P47" i="11"/>
  <c r="O47" i="11"/>
  <c r="N47" i="11"/>
  <c r="M47" i="11"/>
  <c r="L47" i="11"/>
  <c r="K47" i="11"/>
  <c r="J47" i="11"/>
  <c r="I47" i="11"/>
  <c r="H47" i="11"/>
  <c r="G47" i="11"/>
  <c r="F47" i="11"/>
  <c r="E47" i="11"/>
  <c r="D47" i="11"/>
  <c r="C47" i="11"/>
  <c r="B47" i="11"/>
  <c r="A47" i="11"/>
  <c r="W46" i="11"/>
  <c r="V46" i="11"/>
  <c r="U46" i="11"/>
  <c r="T46" i="11"/>
  <c r="S46" i="11"/>
  <c r="R46" i="11"/>
  <c r="Q46" i="11"/>
  <c r="P46" i="11"/>
  <c r="O46" i="11"/>
  <c r="N46" i="11"/>
  <c r="M46" i="11"/>
  <c r="L46" i="11"/>
  <c r="K46" i="11"/>
  <c r="J46" i="11"/>
  <c r="I46" i="11"/>
  <c r="H46" i="11"/>
  <c r="G46" i="11"/>
  <c r="F46" i="11"/>
  <c r="E46" i="11"/>
  <c r="D46" i="11"/>
  <c r="C46" i="11"/>
  <c r="B46" i="11"/>
  <c r="A46" i="11"/>
  <c r="W45" i="11"/>
  <c r="V45" i="11"/>
  <c r="U45" i="11"/>
  <c r="T45" i="11"/>
  <c r="S45" i="11"/>
  <c r="R45" i="11"/>
  <c r="Q45" i="11"/>
  <c r="P45" i="11"/>
  <c r="O45" i="11"/>
  <c r="N45" i="11"/>
  <c r="M45" i="11"/>
  <c r="L45" i="11"/>
  <c r="K45" i="11"/>
  <c r="J45" i="11"/>
  <c r="I45" i="11"/>
  <c r="H45" i="11"/>
  <c r="G45" i="11"/>
  <c r="F45" i="11"/>
  <c r="E45" i="11"/>
  <c r="D45" i="11"/>
  <c r="C45" i="11"/>
  <c r="B45" i="11"/>
  <c r="A45" i="11"/>
  <c r="W44" i="11"/>
  <c r="V44" i="11"/>
  <c r="U44" i="11"/>
  <c r="T44" i="11"/>
  <c r="S44" i="11"/>
  <c r="R44" i="11"/>
  <c r="Q44" i="11"/>
  <c r="P44" i="11"/>
  <c r="O44" i="11"/>
  <c r="N44" i="11"/>
  <c r="M44" i="11"/>
  <c r="L44" i="11"/>
  <c r="K44" i="11"/>
  <c r="J44" i="11"/>
  <c r="I44" i="11"/>
  <c r="H44" i="11"/>
  <c r="G44" i="11"/>
  <c r="F44" i="11"/>
  <c r="E44" i="11"/>
  <c r="D44" i="11"/>
  <c r="C44" i="11"/>
  <c r="B44" i="11"/>
  <c r="A44" i="11"/>
  <c r="W43" i="11"/>
  <c r="V43" i="11"/>
  <c r="U43" i="11"/>
  <c r="T43" i="11"/>
  <c r="S43" i="11"/>
  <c r="R43" i="11"/>
  <c r="Q43" i="11"/>
  <c r="P43" i="11"/>
  <c r="O43" i="11"/>
  <c r="N43" i="11"/>
  <c r="M43" i="11"/>
  <c r="L43" i="11"/>
  <c r="K43" i="11"/>
  <c r="J43" i="11"/>
  <c r="I43" i="11"/>
  <c r="H43" i="11"/>
  <c r="G43" i="11"/>
  <c r="F43" i="11"/>
  <c r="E43" i="11"/>
  <c r="D43" i="11"/>
  <c r="C43" i="11"/>
  <c r="B43" i="11"/>
  <c r="A43" i="11"/>
  <c r="W42" i="11"/>
  <c r="V42" i="11"/>
  <c r="U42" i="11"/>
  <c r="T42" i="11"/>
  <c r="S42" i="11"/>
  <c r="R42" i="11"/>
  <c r="Q42" i="11"/>
  <c r="P42" i="11"/>
  <c r="O42" i="11"/>
  <c r="N42" i="11"/>
  <c r="M42" i="11"/>
  <c r="L42" i="11"/>
  <c r="K42" i="11"/>
  <c r="J42" i="11"/>
  <c r="I42" i="11"/>
  <c r="H42" i="11"/>
  <c r="G42" i="11"/>
  <c r="F42" i="11"/>
  <c r="E42" i="11"/>
  <c r="D42" i="11"/>
  <c r="C42" i="11"/>
  <c r="B42" i="11"/>
  <c r="A42" i="11"/>
  <c r="W41" i="11"/>
  <c r="V41" i="11"/>
  <c r="U41" i="11"/>
  <c r="T41" i="11"/>
  <c r="S41" i="11"/>
  <c r="R41" i="11"/>
  <c r="Q41" i="11"/>
  <c r="P41" i="11"/>
  <c r="O41" i="11"/>
  <c r="N41" i="11"/>
  <c r="M41" i="11"/>
  <c r="L41" i="11"/>
  <c r="K41" i="11"/>
  <c r="J41" i="11"/>
  <c r="I41" i="11"/>
  <c r="H41" i="11"/>
  <c r="G41" i="11"/>
  <c r="F41" i="11"/>
  <c r="E41" i="11"/>
  <c r="D41" i="11"/>
  <c r="C41" i="11"/>
  <c r="B41" i="11"/>
  <c r="A41" i="11"/>
  <c r="W40" i="11"/>
  <c r="V40" i="11"/>
  <c r="U40" i="11"/>
  <c r="T40" i="11"/>
  <c r="S40" i="11"/>
  <c r="R40" i="11"/>
  <c r="Q40" i="11"/>
  <c r="P40" i="11"/>
  <c r="O40" i="11"/>
  <c r="N40" i="11"/>
  <c r="M40" i="11"/>
  <c r="L40" i="11"/>
  <c r="K40" i="11"/>
  <c r="J40" i="11"/>
  <c r="I40" i="11"/>
  <c r="H40" i="11"/>
  <c r="G40" i="11"/>
  <c r="F40" i="11"/>
  <c r="E40" i="11"/>
  <c r="D40" i="11"/>
  <c r="C40" i="11"/>
  <c r="B40" i="11"/>
  <c r="A40" i="11"/>
  <c r="W39" i="11"/>
  <c r="V39" i="11"/>
  <c r="U39" i="11"/>
  <c r="T39" i="11"/>
  <c r="S39" i="11"/>
  <c r="R39" i="11"/>
  <c r="Q39" i="11"/>
  <c r="P39" i="11"/>
  <c r="O39" i="11"/>
  <c r="N39" i="11"/>
  <c r="M39" i="11"/>
  <c r="L39" i="11"/>
  <c r="K39" i="11"/>
  <c r="J39" i="11"/>
  <c r="I39" i="11"/>
  <c r="H39" i="11"/>
  <c r="G39" i="11"/>
  <c r="F39" i="11"/>
  <c r="E39" i="11"/>
  <c r="D39" i="11"/>
  <c r="C39" i="11"/>
  <c r="B39" i="11"/>
  <c r="A39" i="11"/>
  <c r="W38" i="11"/>
  <c r="V38" i="11"/>
  <c r="U38" i="11"/>
  <c r="T38" i="11"/>
  <c r="S38" i="11"/>
  <c r="R38" i="11"/>
  <c r="Q38" i="11"/>
  <c r="P38" i="11"/>
  <c r="O38" i="11"/>
  <c r="N38" i="11"/>
  <c r="M38" i="11"/>
  <c r="L38" i="11"/>
  <c r="K38" i="11"/>
  <c r="J38" i="11"/>
  <c r="I38" i="11"/>
  <c r="H38" i="11"/>
  <c r="G38" i="11"/>
  <c r="F38" i="11"/>
  <c r="E38" i="11"/>
  <c r="D38" i="11"/>
  <c r="C38" i="11"/>
  <c r="B38" i="11"/>
  <c r="A38" i="11"/>
  <c r="W37" i="11"/>
  <c r="V37" i="11"/>
  <c r="U37" i="11"/>
  <c r="T37" i="11"/>
  <c r="S37" i="11"/>
  <c r="R37" i="11"/>
  <c r="Q37" i="11"/>
  <c r="P37" i="11"/>
  <c r="O37" i="11"/>
  <c r="N37" i="11"/>
  <c r="M37" i="11"/>
  <c r="L37" i="11"/>
  <c r="K37" i="11"/>
  <c r="J37" i="11"/>
  <c r="I37" i="11"/>
  <c r="H37" i="11"/>
  <c r="G37" i="11"/>
  <c r="F37" i="11"/>
  <c r="E37" i="11"/>
  <c r="D37" i="11"/>
  <c r="C37" i="11"/>
  <c r="B37" i="11"/>
  <c r="A37" i="11"/>
  <c r="W36" i="11"/>
  <c r="V36" i="11"/>
  <c r="U36" i="11"/>
  <c r="T36" i="11"/>
  <c r="S36" i="11"/>
  <c r="R36" i="11"/>
  <c r="Q36" i="11"/>
  <c r="P36" i="11"/>
  <c r="O36" i="11"/>
  <c r="N36" i="11"/>
  <c r="M36" i="11"/>
  <c r="L36" i="11"/>
  <c r="K36" i="11"/>
  <c r="J36" i="11"/>
  <c r="I36" i="11"/>
  <c r="H36" i="11"/>
  <c r="G36" i="11"/>
  <c r="F36" i="11"/>
  <c r="E36" i="11"/>
  <c r="D36" i="11"/>
  <c r="C36" i="11"/>
  <c r="B36" i="11"/>
  <c r="A36" i="11"/>
  <c r="W35" i="11"/>
  <c r="V35" i="11"/>
  <c r="U35" i="11"/>
  <c r="T35" i="11"/>
  <c r="S35" i="11"/>
  <c r="R35" i="11"/>
  <c r="Q35" i="11"/>
  <c r="P35" i="11"/>
  <c r="O35" i="11"/>
  <c r="N35" i="11"/>
  <c r="M35" i="11"/>
  <c r="L35" i="11"/>
  <c r="K35" i="11"/>
  <c r="J35" i="11"/>
  <c r="I35" i="11"/>
  <c r="H35" i="11"/>
  <c r="G35" i="11"/>
  <c r="F35" i="11"/>
  <c r="E35" i="11"/>
  <c r="D35" i="11"/>
  <c r="C35" i="11"/>
  <c r="B35" i="11"/>
  <c r="A35" i="11"/>
  <c r="W34" i="11"/>
  <c r="V34" i="11"/>
  <c r="U34" i="11"/>
  <c r="T34" i="11"/>
  <c r="S34" i="11"/>
  <c r="R34" i="11"/>
  <c r="Q34" i="11"/>
  <c r="P34" i="11"/>
  <c r="O34" i="11"/>
  <c r="N34" i="11"/>
  <c r="M34" i="11"/>
  <c r="L34" i="11"/>
  <c r="K34" i="11"/>
  <c r="J34" i="11"/>
  <c r="I34" i="11"/>
  <c r="H34" i="11"/>
  <c r="G34" i="11"/>
  <c r="F34" i="11"/>
  <c r="E34" i="11"/>
  <c r="D34" i="11"/>
  <c r="B34" i="11"/>
  <c r="A34" i="11"/>
  <c r="W33" i="11"/>
  <c r="V33" i="11"/>
  <c r="U33" i="11"/>
  <c r="T33" i="11"/>
  <c r="S33" i="11"/>
  <c r="R33" i="11"/>
  <c r="Q33" i="11"/>
  <c r="P33" i="11"/>
  <c r="O33" i="11"/>
  <c r="N33" i="11"/>
  <c r="M33" i="11"/>
  <c r="L33" i="11"/>
  <c r="K33" i="11"/>
  <c r="J33" i="11"/>
  <c r="I33" i="11"/>
  <c r="H33" i="11"/>
  <c r="G33" i="11"/>
  <c r="F33" i="11"/>
  <c r="E33" i="11"/>
  <c r="D33" i="11"/>
  <c r="C33" i="11"/>
  <c r="B33" i="11"/>
  <c r="A33" i="11"/>
  <c r="C34" i="10"/>
  <c r="D34" i="10"/>
  <c r="E34" i="10"/>
  <c r="F34" i="10"/>
  <c r="G34" i="10"/>
  <c r="H34" i="10"/>
  <c r="I34" i="10"/>
  <c r="J34" i="10"/>
  <c r="K34" i="10"/>
  <c r="L34" i="10"/>
  <c r="M34" i="10"/>
  <c r="N34" i="10"/>
  <c r="O34" i="10"/>
  <c r="P34" i="10"/>
  <c r="Q34" i="10"/>
  <c r="R34" i="10"/>
  <c r="S34" i="10"/>
  <c r="T34" i="10"/>
  <c r="U34" i="10"/>
  <c r="V34" i="10"/>
  <c r="W34" i="10"/>
  <c r="C35" i="10"/>
  <c r="D35" i="10"/>
  <c r="E35" i="10"/>
  <c r="F35" i="10"/>
  <c r="G35" i="10"/>
  <c r="H35" i="10"/>
  <c r="I35" i="10"/>
  <c r="J35" i="10"/>
  <c r="K35" i="10"/>
  <c r="L35" i="10"/>
  <c r="M35" i="10"/>
  <c r="N35" i="10"/>
  <c r="O35" i="10"/>
  <c r="P35" i="10"/>
  <c r="Q35" i="10"/>
  <c r="R35" i="10"/>
  <c r="S35" i="10"/>
  <c r="T35" i="10"/>
  <c r="U35" i="10"/>
  <c r="V35" i="10"/>
  <c r="W35" i="10"/>
  <c r="C36" i="10"/>
  <c r="D36" i="10"/>
  <c r="E36" i="10"/>
  <c r="F36" i="10"/>
  <c r="G36" i="10"/>
  <c r="H36" i="10"/>
  <c r="I36" i="10"/>
  <c r="J36" i="10"/>
  <c r="K36" i="10"/>
  <c r="L36" i="10"/>
  <c r="M36" i="10"/>
  <c r="N36" i="10"/>
  <c r="O36" i="10"/>
  <c r="P36" i="10"/>
  <c r="Q36" i="10"/>
  <c r="R36" i="10"/>
  <c r="S36" i="10"/>
  <c r="T36" i="10"/>
  <c r="U36" i="10"/>
  <c r="V36" i="10"/>
  <c r="W36" i="10"/>
  <c r="C37" i="10"/>
  <c r="D37" i="10"/>
  <c r="E37" i="10"/>
  <c r="F37" i="10"/>
  <c r="G37" i="10"/>
  <c r="H37" i="10"/>
  <c r="I37" i="10"/>
  <c r="J37" i="10"/>
  <c r="K37" i="10"/>
  <c r="L37" i="10"/>
  <c r="M37" i="10"/>
  <c r="N37" i="10"/>
  <c r="O37" i="10"/>
  <c r="P37" i="10"/>
  <c r="Q37" i="10"/>
  <c r="R37" i="10"/>
  <c r="S37" i="10"/>
  <c r="T37" i="10"/>
  <c r="U37" i="10"/>
  <c r="V37" i="10"/>
  <c r="W37" i="10"/>
  <c r="C38" i="10"/>
  <c r="D38" i="10"/>
  <c r="E38" i="10"/>
  <c r="F38" i="10"/>
  <c r="G38" i="10"/>
  <c r="H38" i="10"/>
  <c r="I38" i="10"/>
  <c r="J38" i="10"/>
  <c r="K38" i="10"/>
  <c r="L38" i="10"/>
  <c r="M38" i="10"/>
  <c r="N38" i="10"/>
  <c r="O38" i="10"/>
  <c r="P38" i="10"/>
  <c r="Q38" i="10"/>
  <c r="R38" i="10"/>
  <c r="S38" i="10"/>
  <c r="T38" i="10"/>
  <c r="U38" i="10"/>
  <c r="V38" i="10"/>
  <c r="W38" i="10"/>
  <c r="C39" i="10"/>
  <c r="D39" i="10"/>
  <c r="E39" i="10"/>
  <c r="F39" i="10"/>
  <c r="G39" i="10"/>
  <c r="H39" i="10"/>
  <c r="I39" i="10"/>
  <c r="J39" i="10"/>
  <c r="K39" i="10"/>
  <c r="L39" i="10"/>
  <c r="M39" i="10"/>
  <c r="N39" i="10"/>
  <c r="O39" i="10"/>
  <c r="P39" i="10"/>
  <c r="Q39" i="10"/>
  <c r="R39" i="10"/>
  <c r="S39" i="10"/>
  <c r="T39" i="10"/>
  <c r="U39" i="10"/>
  <c r="V39" i="10"/>
  <c r="W39" i="10"/>
  <c r="C40" i="10"/>
  <c r="D40" i="10"/>
  <c r="E40" i="10"/>
  <c r="F40" i="10"/>
  <c r="G40" i="10"/>
  <c r="H40" i="10"/>
  <c r="I40" i="10"/>
  <c r="J40" i="10"/>
  <c r="K40" i="10"/>
  <c r="L40" i="10"/>
  <c r="M40" i="10"/>
  <c r="N40" i="10"/>
  <c r="O40" i="10"/>
  <c r="P40" i="10"/>
  <c r="Q40" i="10"/>
  <c r="R40" i="10"/>
  <c r="S40" i="10"/>
  <c r="T40" i="10"/>
  <c r="U40" i="10"/>
  <c r="V40" i="10"/>
  <c r="W40" i="10"/>
  <c r="C41" i="10"/>
  <c r="D41" i="10"/>
  <c r="E41" i="10"/>
  <c r="F41" i="10"/>
  <c r="G41" i="10"/>
  <c r="H41" i="10"/>
  <c r="I41" i="10"/>
  <c r="J41" i="10"/>
  <c r="K41" i="10"/>
  <c r="L41" i="10"/>
  <c r="M41" i="10"/>
  <c r="N41" i="10"/>
  <c r="O41" i="10"/>
  <c r="P41" i="10"/>
  <c r="Q41" i="10"/>
  <c r="R41" i="10"/>
  <c r="S41" i="10"/>
  <c r="T41" i="10"/>
  <c r="U41" i="10"/>
  <c r="V41" i="10"/>
  <c r="W41" i="10"/>
  <c r="C42" i="10"/>
  <c r="D42" i="10"/>
  <c r="E42" i="10"/>
  <c r="F42" i="10"/>
  <c r="G42" i="10"/>
  <c r="H42" i="10"/>
  <c r="I42" i="10"/>
  <c r="J42" i="10"/>
  <c r="K42" i="10"/>
  <c r="L42" i="10"/>
  <c r="M42" i="10"/>
  <c r="N42" i="10"/>
  <c r="O42" i="10"/>
  <c r="P42" i="10"/>
  <c r="Q42" i="10"/>
  <c r="R42" i="10"/>
  <c r="S42" i="10"/>
  <c r="T42" i="10"/>
  <c r="U42" i="10"/>
  <c r="V42" i="10"/>
  <c r="W42" i="10"/>
  <c r="C43" i="10"/>
  <c r="D43" i="10"/>
  <c r="E43" i="10"/>
  <c r="F43" i="10"/>
  <c r="G43" i="10"/>
  <c r="H43" i="10"/>
  <c r="I43" i="10"/>
  <c r="J43" i="10"/>
  <c r="K43" i="10"/>
  <c r="L43" i="10"/>
  <c r="M43" i="10"/>
  <c r="N43" i="10"/>
  <c r="O43" i="10"/>
  <c r="P43" i="10"/>
  <c r="Q43" i="10"/>
  <c r="R43" i="10"/>
  <c r="S43" i="10"/>
  <c r="T43" i="10"/>
  <c r="U43" i="10"/>
  <c r="V43" i="10"/>
  <c r="W43" i="10"/>
  <c r="C44" i="10"/>
  <c r="D44" i="10"/>
  <c r="E44" i="10"/>
  <c r="F44" i="10"/>
  <c r="G44" i="10"/>
  <c r="H44" i="10"/>
  <c r="I44" i="10"/>
  <c r="J44" i="10"/>
  <c r="K44" i="10"/>
  <c r="L44" i="10"/>
  <c r="M44" i="10"/>
  <c r="N44" i="10"/>
  <c r="O44" i="10"/>
  <c r="P44" i="10"/>
  <c r="Q44" i="10"/>
  <c r="R44" i="10"/>
  <c r="S44" i="10"/>
  <c r="T44" i="10"/>
  <c r="U44" i="10"/>
  <c r="V44" i="10"/>
  <c r="W44" i="10"/>
  <c r="C45" i="10"/>
  <c r="D45" i="10"/>
  <c r="E45" i="10"/>
  <c r="F45" i="10"/>
  <c r="G45" i="10"/>
  <c r="H45" i="10"/>
  <c r="I45" i="10"/>
  <c r="J45" i="10"/>
  <c r="K45" i="10"/>
  <c r="L45" i="10"/>
  <c r="M45" i="10"/>
  <c r="N45" i="10"/>
  <c r="O45" i="10"/>
  <c r="P45" i="10"/>
  <c r="Q45" i="10"/>
  <c r="R45" i="10"/>
  <c r="S45" i="10"/>
  <c r="T45" i="10"/>
  <c r="U45" i="10"/>
  <c r="V45" i="10"/>
  <c r="W45" i="10"/>
  <c r="C46" i="10"/>
  <c r="D46" i="10"/>
  <c r="E46" i="10"/>
  <c r="F46" i="10"/>
  <c r="G46" i="10"/>
  <c r="H46" i="10"/>
  <c r="I46" i="10"/>
  <c r="J46" i="10"/>
  <c r="K46" i="10"/>
  <c r="L46" i="10"/>
  <c r="M46" i="10"/>
  <c r="N46" i="10"/>
  <c r="O46" i="10"/>
  <c r="P46" i="10"/>
  <c r="Q46" i="10"/>
  <c r="R46" i="10"/>
  <c r="S46" i="10"/>
  <c r="T46" i="10"/>
  <c r="U46" i="10"/>
  <c r="V46" i="10"/>
  <c r="W46" i="10"/>
  <c r="C47" i="10"/>
  <c r="D47" i="10"/>
  <c r="E47" i="10"/>
  <c r="F47" i="10"/>
  <c r="G47" i="10"/>
  <c r="H47" i="10"/>
  <c r="I47" i="10"/>
  <c r="J47" i="10"/>
  <c r="K47" i="10"/>
  <c r="L47" i="10"/>
  <c r="M47" i="10"/>
  <c r="N47" i="10"/>
  <c r="O47" i="10"/>
  <c r="P47" i="10"/>
  <c r="Q47" i="10"/>
  <c r="R47" i="10"/>
  <c r="S47" i="10"/>
  <c r="T47" i="10"/>
  <c r="U47" i="10"/>
  <c r="V47" i="10"/>
  <c r="W47" i="10"/>
  <c r="C48" i="10"/>
  <c r="D48" i="10"/>
  <c r="E48" i="10"/>
  <c r="F48" i="10"/>
  <c r="G48" i="10"/>
  <c r="H48" i="10"/>
  <c r="I48" i="10"/>
  <c r="J48" i="10"/>
  <c r="K48" i="10"/>
  <c r="L48" i="10"/>
  <c r="M48" i="10"/>
  <c r="N48" i="10"/>
  <c r="O48" i="10"/>
  <c r="P48" i="10"/>
  <c r="Q48" i="10"/>
  <c r="R48" i="10"/>
  <c r="S48" i="10"/>
  <c r="T48" i="10"/>
  <c r="U48" i="10"/>
  <c r="V48" i="10"/>
  <c r="W48" i="10"/>
  <c r="C49" i="10"/>
  <c r="D49" i="10"/>
  <c r="E49" i="10"/>
  <c r="F49" i="10"/>
  <c r="G49" i="10"/>
  <c r="H49" i="10"/>
  <c r="I49" i="10"/>
  <c r="J49" i="10"/>
  <c r="K49" i="10"/>
  <c r="L49" i="10"/>
  <c r="M49" i="10"/>
  <c r="N49" i="10"/>
  <c r="O49" i="10"/>
  <c r="P49" i="10"/>
  <c r="Q49" i="10"/>
  <c r="R49" i="10"/>
  <c r="S49" i="10"/>
  <c r="T49" i="10"/>
  <c r="U49" i="10"/>
  <c r="V49" i="10"/>
  <c r="W49" i="10"/>
  <c r="C50" i="10"/>
  <c r="D50" i="10"/>
  <c r="E50" i="10"/>
  <c r="F50" i="10"/>
  <c r="G50" i="10"/>
  <c r="H50" i="10"/>
  <c r="I50" i="10"/>
  <c r="J50" i="10"/>
  <c r="K50" i="10"/>
  <c r="L50" i="10"/>
  <c r="M50" i="10"/>
  <c r="N50" i="10"/>
  <c r="O50" i="10"/>
  <c r="P50" i="10"/>
  <c r="Q50" i="10"/>
  <c r="R50" i="10"/>
  <c r="S50" i="10"/>
  <c r="T50" i="10"/>
  <c r="U50" i="10"/>
  <c r="V50" i="10"/>
  <c r="W50" i="10"/>
  <c r="C51" i="10"/>
  <c r="D51" i="10"/>
  <c r="E51" i="10"/>
  <c r="F51" i="10"/>
  <c r="G51" i="10"/>
  <c r="H51" i="10"/>
  <c r="I51" i="10"/>
  <c r="J51" i="10"/>
  <c r="K51" i="10"/>
  <c r="L51" i="10"/>
  <c r="M51" i="10"/>
  <c r="N51" i="10"/>
  <c r="O51" i="10"/>
  <c r="P51" i="10"/>
  <c r="Q51" i="10"/>
  <c r="R51" i="10"/>
  <c r="S51" i="10"/>
  <c r="T51" i="10"/>
  <c r="U51" i="10"/>
  <c r="V51" i="10"/>
  <c r="W51" i="10"/>
  <c r="C52" i="10"/>
  <c r="D52" i="10"/>
  <c r="E52" i="10"/>
  <c r="F52" i="10"/>
  <c r="G52" i="10"/>
  <c r="H52" i="10"/>
  <c r="I52" i="10"/>
  <c r="J52" i="10"/>
  <c r="K52" i="10"/>
  <c r="L52" i="10"/>
  <c r="M52" i="10"/>
  <c r="N52" i="10"/>
  <c r="O52" i="10"/>
  <c r="P52" i="10"/>
  <c r="Q52" i="10"/>
  <c r="R52" i="10"/>
  <c r="S52" i="10"/>
  <c r="T52" i="10"/>
  <c r="U52" i="10"/>
  <c r="V52" i="10"/>
  <c r="W52" i="10"/>
  <c r="C53" i="10"/>
  <c r="D53" i="10"/>
  <c r="E53" i="10"/>
  <c r="F53" i="10"/>
  <c r="G53" i="10"/>
  <c r="H53" i="10"/>
  <c r="I53" i="10"/>
  <c r="J53" i="10"/>
  <c r="K53" i="10"/>
  <c r="L53" i="10"/>
  <c r="M53" i="10"/>
  <c r="N53" i="10"/>
  <c r="O53" i="10"/>
  <c r="P53" i="10"/>
  <c r="Q53" i="10"/>
  <c r="R53" i="10"/>
  <c r="S53" i="10"/>
  <c r="T53" i="10"/>
  <c r="U53" i="10"/>
  <c r="V53" i="10"/>
  <c r="W53" i="10"/>
  <c r="C54" i="10"/>
  <c r="D54" i="10"/>
  <c r="E54" i="10"/>
  <c r="F54" i="10"/>
  <c r="G54" i="10"/>
  <c r="H54" i="10"/>
  <c r="I54" i="10"/>
  <c r="J54" i="10"/>
  <c r="K54" i="10"/>
  <c r="L54" i="10"/>
  <c r="M54" i="10"/>
  <c r="N54" i="10"/>
  <c r="O54" i="10"/>
  <c r="P54" i="10"/>
  <c r="Q54" i="10"/>
  <c r="R54" i="10"/>
  <c r="S54" i="10"/>
  <c r="T54" i="10"/>
  <c r="U54" i="10"/>
  <c r="V54" i="10"/>
  <c r="W54" i="10"/>
  <c r="C55" i="10"/>
  <c r="D55" i="10"/>
  <c r="E55" i="10"/>
  <c r="F55" i="10"/>
  <c r="G55" i="10"/>
  <c r="H55" i="10"/>
  <c r="I55" i="10"/>
  <c r="J55" i="10"/>
  <c r="K55" i="10"/>
  <c r="L55" i="10"/>
  <c r="M55" i="10"/>
  <c r="N55" i="10"/>
  <c r="O55" i="10"/>
  <c r="P55" i="10"/>
  <c r="Q55" i="10"/>
  <c r="R55" i="10"/>
  <c r="S55" i="10"/>
  <c r="T55" i="10"/>
  <c r="U55" i="10"/>
  <c r="V55" i="10"/>
  <c r="W55" i="10"/>
  <c r="C56" i="10"/>
  <c r="D56" i="10"/>
  <c r="E56" i="10"/>
  <c r="F56" i="10"/>
  <c r="G56" i="10"/>
  <c r="H56" i="10"/>
  <c r="I56" i="10"/>
  <c r="J56" i="10"/>
  <c r="K56" i="10"/>
  <c r="L56" i="10"/>
  <c r="M56" i="10"/>
  <c r="N56" i="10"/>
  <c r="O56" i="10"/>
  <c r="P56" i="10"/>
  <c r="Q56" i="10"/>
  <c r="R56" i="10"/>
  <c r="S56" i="10"/>
  <c r="T56" i="10"/>
  <c r="U56" i="10"/>
  <c r="V56" i="10"/>
  <c r="W56" i="10"/>
  <c r="C57" i="10"/>
  <c r="D57" i="10"/>
  <c r="E57" i="10"/>
  <c r="F57" i="10"/>
  <c r="G57" i="10"/>
  <c r="H57" i="10"/>
  <c r="I57" i="10"/>
  <c r="J57" i="10"/>
  <c r="K57" i="10"/>
  <c r="L57" i="10"/>
  <c r="M57" i="10"/>
  <c r="N57" i="10"/>
  <c r="O57" i="10"/>
  <c r="P57" i="10"/>
  <c r="Q57" i="10"/>
  <c r="R57" i="10"/>
  <c r="S57" i="10"/>
  <c r="T57" i="10"/>
  <c r="U57" i="10"/>
  <c r="V57" i="10"/>
  <c r="W57" i="10"/>
  <c r="C58" i="10"/>
  <c r="D58" i="10"/>
  <c r="E58" i="10"/>
  <c r="F58" i="10"/>
  <c r="G58" i="10"/>
  <c r="H58" i="10"/>
  <c r="I58" i="10"/>
  <c r="J58" i="10"/>
  <c r="K58" i="10"/>
  <c r="L58" i="10"/>
  <c r="M58" i="10"/>
  <c r="N58" i="10"/>
  <c r="O58" i="10"/>
  <c r="P58" i="10"/>
  <c r="Q58" i="10"/>
  <c r="R58" i="10"/>
  <c r="S58" i="10"/>
  <c r="T58" i="10"/>
  <c r="U58" i="10"/>
  <c r="V58" i="10"/>
  <c r="W58" i="10"/>
  <c r="C59" i="10"/>
  <c r="D59" i="10"/>
  <c r="E59" i="10"/>
  <c r="F59" i="10"/>
  <c r="G59" i="10"/>
  <c r="H59" i="10"/>
  <c r="I59" i="10"/>
  <c r="J59" i="10"/>
  <c r="K59" i="10"/>
  <c r="L59" i="10"/>
  <c r="M59" i="10"/>
  <c r="N59" i="10"/>
  <c r="O59" i="10"/>
  <c r="P59" i="10"/>
  <c r="Q59" i="10"/>
  <c r="R59" i="10"/>
  <c r="S59" i="10"/>
  <c r="T59" i="10"/>
  <c r="U59" i="10"/>
  <c r="V59" i="10"/>
  <c r="W59" i="10"/>
  <c r="C60" i="10"/>
  <c r="D60" i="10"/>
  <c r="E60" i="10"/>
  <c r="F60" i="10"/>
  <c r="G60" i="10"/>
  <c r="H60" i="10"/>
  <c r="I60" i="10"/>
  <c r="J60" i="10"/>
  <c r="K60" i="10"/>
  <c r="L60" i="10"/>
  <c r="M60" i="10"/>
  <c r="N60" i="10"/>
  <c r="O60" i="10"/>
  <c r="P60" i="10"/>
  <c r="Q60" i="10"/>
  <c r="R60" i="10"/>
  <c r="S60" i="10"/>
  <c r="T60" i="10"/>
  <c r="U60" i="10"/>
  <c r="V60" i="10"/>
  <c r="W60" i="10"/>
  <c r="W33" i="10"/>
  <c r="U33" i="10"/>
  <c r="V33" i="10"/>
  <c r="P33" i="10"/>
  <c r="Q33" i="10"/>
  <c r="R33" i="10"/>
  <c r="S33" i="10"/>
  <c r="T33" i="10"/>
  <c r="D33" i="10"/>
  <c r="E33" i="10"/>
  <c r="F33" i="10"/>
  <c r="G33" i="10"/>
  <c r="H33" i="10"/>
  <c r="I33" i="10"/>
  <c r="J33" i="10"/>
  <c r="K33" i="10"/>
  <c r="L33" i="10"/>
  <c r="M33" i="10"/>
  <c r="N33" i="10"/>
  <c r="O33" i="10"/>
  <c r="C33"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A52" i="10"/>
  <c r="A53" i="10"/>
  <c r="A54" i="10"/>
  <c r="A55" i="10"/>
  <c r="A56" i="10"/>
  <c r="A57" i="10"/>
  <c r="A58" i="10"/>
  <c r="A59" i="10"/>
  <c r="A60" i="10"/>
  <c r="A37" i="10"/>
  <c r="A38" i="10"/>
  <c r="A39" i="10"/>
  <c r="A40" i="10"/>
  <c r="A41" i="10"/>
  <c r="A42" i="10"/>
  <c r="A43" i="10"/>
  <c r="A44" i="10"/>
  <c r="A45" i="10"/>
  <c r="A46" i="10"/>
  <c r="A47" i="10"/>
  <c r="A48" i="10"/>
  <c r="A49" i="10"/>
  <c r="A50" i="10"/>
  <c r="A51" i="10"/>
  <c r="A34" i="10"/>
  <c r="A35" i="10"/>
  <c r="A36" i="10"/>
  <c r="A33" i="10"/>
  <c r="E56" i="6"/>
  <c r="D56" i="6"/>
  <c r="C56" i="6"/>
  <c r="L12" i="12"/>
  <c r="AF30" i="10"/>
  <c r="AA30" i="10"/>
  <c r="V30" i="10"/>
  <c r="Q30" i="10"/>
  <c r="AF30" i="11"/>
  <c r="AA30" i="11"/>
  <c r="V30" i="11"/>
  <c r="Q30" i="11"/>
  <c r="L28" i="11"/>
  <c r="K28" i="11"/>
  <c r="AB28" i="11" s="1"/>
  <c r="AC28" i="11" s="1"/>
  <c r="AD28" i="11" s="1"/>
  <c r="AE28" i="11" s="1"/>
  <c r="AF28" i="11" s="1"/>
  <c r="J28" i="11"/>
  <c r="W28" i="11" s="1"/>
  <c r="X28" i="11" s="1"/>
  <c r="Y28" i="11" s="1"/>
  <c r="Z28" i="11" s="1"/>
  <c r="AA28" i="11" s="1"/>
  <c r="I28" i="11"/>
  <c r="R28" i="11" s="1"/>
  <c r="S28" i="11" s="1"/>
  <c r="T28" i="11" s="1"/>
  <c r="U28" i="11" s="1"/>
  <c r="V28" i="11" s="1"/>
  <c r="H28" i="11"/>
  <c r="M28" i="11" s="1"/>
  <c r="N28" i="11" s="1"/>
  <c r="O28" i="11" s="1"/>
  <c r="P28" i="11" s="1"/>
  <c r="Q28" i="11" s="1"/>
  <c r="L27" i="11"/>
  <c r="K27" i="11"/>
  <c r="AB27" i="11" s="1"/>
  <c r="AC27" i="11" s="1"/>
  <c r="AD27" i="11" s="1"/>
  <c r="AE27" i="11" s="1"/>
  <c r="AF27" i="11" s="1"/>
  <c r="J27" i="11"/>
  <c r="W27" i="11" s="1"/>
  <c r="X27" i="11" s="1"/>
  <c r="Y27" i="11" s="1"/>
  <c r="Z27" i="11" s="1"/>
  <c r="AA27" i="11" s="1"/>
  <c r="I27" i="11"/>
  <c r="R27" i="11" s="1"/>
  <c r="S27" i="11" s="1"/>
  <c r="T27" i="11" s="1"/>
  <c r="U27" i="11" s="1"/>
  <c r="V27" i="11" s="1"/>
  <c r="H27" i="11"/>
  <c r="M27" i="11" s="1"/>
  <c r="N27" i="11" s="1"/>
  <c r="O27" i="11" s="1"/>
  <c r="P27" i="11" s="1"/>
  <c r="Q27" i="11" s="1"/>
  <c r="L26" i="11"/>
  <c r="K26" i="11"/>
  <c r="AB26" i="11" s="1"/>
  <c r="AC26" i="11" s="1"/>
  <c r="AD26" i="11" s="1"/>
  <c r="AE26" i="11" s="1"/>
  <c r="AF26" i="11" s="1"/>
  <c r="J26" i="11"/>
  <c r="W26" i="11" s="1"/>
  <c r="X26" i="11" s="1"/>
  <c r="Y26" i="11" s="1"/>
  <c r="Z26" i="11" s="1"/>
  <c r="AA26" i="11" s="1"/>
  <c r="I26" i="11"/>
  <c r="R26" i="11" s="1"/>
  <c r="S26" i="11" s="1"/>
  <c r="T26" i="11" s="1"/>
  <c r="U26" i="11" s="1"/>
  <c r="V26" i="11" s="1"/>
  <c r="H26" i="11"/>
  <c r="M26" i="11" s="1"/>
  <c r="N26" i="11" s="1"/>
  <c r="O26" i="11" s="1"/>
  <c r="P26" i="11" s="1"/>
  <c r="Q26" i="11" s="1"/>
  <c r="L25" i="11"/>
  <c r="K25" i="11"/>
  <c r="AB25" i="11" s="1"/>
  <c r="AC25" i="11" s="1"/>
  <c r="AD25" i="11" s="1"/>
  <c r="AE25" i="11" s="1"/>
  <c r="AF25" i="11" s="1"/>
  <c r="J25" i="11"/>
  <c r="W25" i="11" s="1"/>
  <c r="X25" i="11" s="1"/>
  <c r="Y25" i="11" s="1"/>
  <c r="Z25" i="11" s="1"/>
  <c r="AA25" i="11" s="1"/>
  <c r="I25" i="11"/>
  <c r="R25" i="11" s="1"/>
  <c r="S25" i="11" s="1"/>
  <c r="T25" i="11" s="1"/>
  <c r="U25" i="11" s="1"/>
  <c r="V25" i="11" s="1"/>
  <c r="H25" i="11"/>
  <c r="M25" i="11" s="1"/>
  <c r="N25" i="11" s="1"/>
  <c r="O25" i="11" s="1"/>
  <c r="P25" i="11" s="1"/>
  <c r="Q25" i="11" s="1"/>
  <c r="L24" i="11"/>
  <c r="K24" i="11"/>
  <c r="AB24" i="11" s="1"/>
  <c r="AC24" i="11" s="1"/>
  <c r="AD24" i="11" s="1"/>
  <c r="AE24" i="11" s="1"/>
  <c r="AF24" i="11" s="1"/>
  <c r="J24" i="11"/>
  <c r="W24" i="11" s="1"/>
  <c r="X24" i="11" s="1"/>
  <c r="Y24" i="11" s="1"/>
  <c r="Z24" i="11" s="1"/>
  <c r="AA24" i="11" s="1"/>
  <c r="I24" i="11"/>
  <c r="R24" i="11" s="1"/>
  <c r="S24" i="11" s="1"/>
  <c r="T24" i="11" s="1"/>
  <c r="U24" i="11" s="1"/>
  <c r="V24" i="11" s="1"/>
  <c r="H24" i="11"/>
  <c r="M24" i="11" s="1"/>
  <c r="N24" i="11" s="1"/>
  <c r="O24" i="11" s="1"/>
  <c r="P24" i="11" s="1"/>
  <c r="Q24" i="11" s="1"/>
  <c r="L23" i="11"/>
  <c r="K23" i="11"/>
  <c r="AB23" i="11" s="1"/>
  <c r="AC23" i="11" s="1"/>
  <c r="AD23" i="11" s="1"/>
  <c r="AE23" i="11" s="1"/>
  <c r="AF23" i="11" s="1"/>
  <c r="J23" i="11"/>
  <c r="W23" i="11" s="1"/>
  <c r="X23" i="11" s="1"/>
  <c r="Y23" i="11" s="1"/>
  <c r="Z23" i="11" s="1"/>
  <c r="AA23" i="11" s="1"/>
  <c r="I23" i="11"/>
  <c r="R23" i="11" s="1"/>
  <c r="S23" i="11" s="1"/>
  <c r="T23" i="11" s="1"/>
  <c r="U23" i="11" s="1"/>
  <c r="V23" i="11" s="1"/>
  <c r="H23" i="11"/>
  <c r="M23" i="11" s="1"/>
  <c r="N23" i="11" s="1"/>
  <c r="O23" i="11" s="1"/>
  <c r="P23" i="11" s="1"/>
  <c r="Q23" i="11" s="1"/>
  <c r="L22" i="11"/>
  <c r="K22" i="11"/>
  <c r="AB22" i="11" s="1"/>
  <c r="AC22" i="11" s="1"/>
  <c r="AD22" i="11" s="1"/>
  <c r="AE22" i="11" s="1"/>
  <c r="AF22" i="11" s="1"/>
  <c r="J22" i="11"/>
  <c r="W22" i="11" s="1"/>
  <c r="X22" i="11" s="1"/>
  <c r="Y22" i="11" s="1"/>
  <c r="Z22" i="11" s="1"/>
  <c r="AA22" i="11" s="1"/>
  <c r="I22" i="11"/>
  <c r="R22" i="11" s="1"/>
  <c r="S22" i="11" s="1"/>
  <c r="T22" i="11" s="1"/>
  <c r="U22" i="11" s="1"/>
  <c r="V22" i="11" s="1"/>
  <c r="H22" i="11"/>
  <c r="M22" i="11" s="1"/>
  <c r="N22" i="11" s="1"/>
  <c r="O22" i="11" s="1"/>
  <c r="P22" i="11" s="1"/>
  <c r="Q22" i="11" s="1"/>
  <c r="L21" i="11"/>
  <c r="K21" i="11"/>
  <c r="AB21" i="11" s="1"/>
  <c r="AC21" i="11" s="1"/>
  <c r="AD21" i="11" s="1"/>
  <c r="AE21" i="11" s="1"/>
  <c r="AF21" i="11" s="1"/>
  <c r="J21" i="11"/>
  <c r="W21" i="11" s="1"/>
  <c r="X21" i="11" s="1"/>
  <c r="Y21" i="11" s="1"/>
  <c r="Z21" i="11" s="1"/>
  <c r="AA21" i="11" s="1"/>
  <c r="I21" i="11"/>
  <c r="R21" i="11" s="1"/>
  <c r="S21" i="11" s="1"/>
  <c r="T21" i="11" s="1"/>
  <c r="U21" i="11" s="1"/>
  <c r="V21" i="11" s="1"/>
  <c r="H21" i="11"/>
  <c r="M21" i="11" s="1"/>
  <c r="N21" i="11" s="1"/>
  <c r="O21" i="11" s="1"/>
  <c r="P21" i="11" s="1"/>
  <c r="Q21" i="11" s="1"/>
  <c r="L20" i="11"/>
  <c r="K20" i="11"/>
  <c r="AB20" i="11" s="1"/>
  <c r="AC20" i="11" s="1"/>
  <c r="AD20" i="11" s="1"/>
  <c r="AE20" i="11" s="1"/>
  <c r="AF20" i="11" s="1"/>
  <c r="J20" i="11"/>
  <c r="W20" i="11" s="1"/>
  <c r="X20" i="11" s="1"/>
  <c r="Y20" i="11" s="1"/>
  <c r="Z20" i="11" s="1"/>
  <c r="AA20" i="11" s="1"/>
  <c r="I20" i="11"/>
  <c r="R20" i="11" s="1"/>
  <c r="S20" i="11" s="1"/>
  <c r="T20" i="11" s="1"/>
  <c r="U20" i="11" s="1"/>
  <c r="V20" i="11" s="1"/>
  <c r="H20" i="11"/>
  <c r="M20" i="11" s="1"/>
  <c r="N20" i="11" s="1"/>
  <c r="O20" i="11" s="1"/>
  <c r="P20" i="11" s="1"/>
  <c r="Q20" i="11" s="1"/>
  <c r="L19" i="11"/>
  <c r="K19" i="11"/>
  <c r="AB19" i="11" s="1"/>
  <c r="AC19" i="11" s="1"/>
  <c r="AD19" i="11" s="1"/>
  <c r="AE19" i="11" s="1"/>
  <c r="AF19" i="11" s="1"/>
  <c r="J19" i="11"/>
  <c r="W19" i="11" s="1"/>
  <c r="X19" i="11" s="1"/>
  <c r="Y19" i="11" s="1"/>
  <c r="Z19" i="11" s="1"/>
  <c r="AA19" i="11" s="1"/>
  <c r="I19" i="11"/>
  <c r="R19" i="11" s="1"/>
  <c r="S19" i="11" s="1"/>
  <c r="T19" i="11" s="1"/>
  <c r="U19" i="11" s="1"/>
  <c r="V19" i="11" s="1"/>
  <c r="H19" i="11"/>
  <c r="M19" i="11" s="1"/>
  <c r="N19" i="11" s="1"/>
  <c r="O19" i="11" s="1"/>
  <c r="P19" i="11" s="1"/>
  <c r="Q19" i="11" s="1"/>
  <c r="L18" i="11"/>
  <c r="K18" i="11"/>
  <c r="AB18" i="11" s="1"/>
  <c r="AC18" i="11" s="1"/>
  <c r="AD18" i="11" s="1"/>
  <c r="AE18" i="11" s="1"/>
  <c r="AF18" i="11" s="1"/>
  <c r="J18" i="11"/>
  <c r="W18" i="11" s="1"/>
  <c r="X18" i="11" s="1"/>
  <c r="Y18" i="11" s="1"/>
  <c r="Z18" i="11" s="1"/>
  <c r="AA18" i="11" s="1"/>
  <c r="I18" i="11"/>
  <c r="R18" i="11" s="1"/>
  <c r="S18" i="11" s="1"/>
  <c r="T18" i="11" s="1"/>
  <c r="U18" i="11" s="1"/>
  <c r="V18" i="11" s="1"/>
  <c r="H18" i="11"/>
  <c r="M18" i="11" s="1"/>
  <c r="N18" i="11" s="1"/>
  <c r="O18" i="11" s="1"/>
  <c r="P18" i="11" s="1"/>
  <c r="Q18" i="11" s="1"/>
  <c r="L17" i="11"/>
  <c r="K17" i="11"/>
  <c r="AB17" i="11" s="1"/>
  <c r="AC17" i="11" s="1"/>
  <c r="AD17" i="11" s="1"/>
  <c r="AE17" i="11" s="1"/>
  <c r="AF17" i="11" s="1"/>
  <c r="J17" i="11"/>
  <c r="W17" i="11" s="1"/>
  <c r="X17" i="11" s="1"/>
  <c r="Y17" i="11" s="1"/>
  <c r="Z17" i="11" s="1"/>
  <c r="AA17" i="11" s="1"/>
  <c r="I17" i="11"/>
  <c r="R17" i="11" s="1"/>
  <c r="S17" i="11" s="1"/>
  <c r="T17" i="11" s="1"/>
  <c r="U17" i="11" s="1"/>
  <c r="V17" i="11" s="1"/>
  <c r="H17" i="11"/>
  <c r="M17" i="11" s="1"/>
  <c r="N17" i="11" s="1"/>
  <c r="O17" i="11" s="1"/>
  <c r="P17" i="11" s="1"/>
  <c r="Q17" i="11" s="1"/>
  <c r="L16" i="11"/>
  <c r="K16" i="11"/>
  <c r="AB16" i="11" s="1"/>
  <c r="AC16" i="11" s="1"/>
  <c r="AD16" i="11" s="1"/>
  <c r="AE16" i="11" s="1"/>
  <c r="AF16" i="11" s="1"/>
  <c r="J16" i="11"/>
  <c r="W16" i="11" s="1"/>
  <c r="X16" i="11" s="1"/>
  <c r="Y16" i="11" s="1"/>
  <c r="Z16" i="11" s="1"/>
  <c r="AA16" i="11" s="1"/>
  <c r="I16" i="11"/>
  <c r="R16" i="11" s="1"/>
  <c r="S16" i="11" s="1"/>
  <c r="T16" i="11" s="1"/>
  <c r="U16" i="11" s="1"/>
  <c r="V16" i="11" s="1"/>
  <c r="H16" i="11"/>
  <c r="M16" i="11" s="1"/>
  <c r="N16" i="11" s="1"/>
  <c r="O16" i="11" s="1"/>
  <c r="P16" i="11" s="1"/>
  <c r="Q16" i="11" s="1"/>
  <c r="W15" i="11"/>
  <c r="X15" i="11" s="1"/>
  <c r="Y15" i="11" s="1"/>
  <c r="Z15" i="11" s="1"/>
  <c r="AA15" i="11" s="1"/>
  <c r="R15" i="11"/>
  <c r="S15" i="11" s="1"/>
  <c r="T15" i="11" s="1"/>
  <c r="U15" i="11" s="1"/>
  <c r="V15" i="11" s="1"/>
  <c r="M15" i="11"/>
  <c r="N15" i="11" s="1"/>
  <c r="O15" i="11" s="1"/>
  <c r="P15" i="11" s="1"/>
  <c r="Q15" i="11" s="1"/>
  <c r="L15" i="11"/>
  <c r="K15" i="11"/>
  <c r="AB15" i="11" s="1"/>
  <c r="AC15" i="11" s="1"/>
  <c r="AD15" i="11" s="1"/>
  <c r="AE15" i="11" s="1"/>
  <c r="AF15" i="11" s="1"/>
  <c r="J15" i="11"/>
  <c r="I15" i="11"/>
  <c r="H15" i="11"/>
  <c r="L14" i="11"/>
  <c r="K14" i="11"/>
  <c r="AB14" i="11" s="1"/>
  <c r="AC14" i="11" s="1"/>
  <c r="AD14" i="11" s="1"/>
  <c r="AE14" i="11" s="1"/>
  <c r="AF14" i="11" s="1"/>
  <c r="J14" i="11"/>
  <c r="W14" i="11" s="1"/>
  <c r="X14" i="11" s="1"/>
  <c r="Y14" i="11" s="1"/>
  <c r="Z14" i="11" s="1"/>
  <c r="AA14" i="11" s="1"/>
  <c r="I14" i="11"/>
  <c r="R14" i="11" s="1"/>
  <c r="S14" i="11" s="1"/>
  <c r="T14" i="11" s="1"/>
  <c r="U14" i="11" s="1"/>
  <c r="V14" i="11" s="1"/>
  <c r="H14" i="11"/>
  <c r="M14" i="11" s="1"/>
  <c r="N14" i="11" s="1"/>
  <c r="O14" i="11" s="1"/>
  <c r="P14" i="11" s="1"/>
  <c r="Q14" i="11" s="1"/>
  <c r="L13" i="11"/>
  <c r="K13" i="11"/>
  <c r="AB13" i="11" s="1"/>
  <c r="AC13" i="11" s="1"/>
  <c r="AD13" i="11" s="1"/>
  <c r="AE13" i="11" s="1"/>
  <c r="AF13" i="11" s="1"/>
  <c r="J13" i="11"/>
  <c r="W13" i="11" s="1"/>
  <c r="X13" i="11" s="1"/>
  <c r="Y13" i="11" s="1"/>
  <c r="Z13" i="11" s="1"/>
  <c r="AA13" i="11" s="1"/>
  <c r="I13" i="11"/>
  <c r="R13" i="11" s="1"/>
  <c r="S13" i="11" s="1"/>
  <c r="T13" i="11" s="1"/>
  <c r="U13" i="11" s="1"/>
  <c r="V13" i="11" s="1"/>
  <c r="H13" i="11"/>
  <c r="M13" i="11" s="1"/>
  <c r="N13" i="11" s="1"/>
  <c r="O13" i="11" s="1"/>
  <c r="P13" i="11" s="1"/>
  <c r="Q13" i="11" s="1"/>
  <c r="L12" i="11"/>
  <c r="K12" i="11"/>
  <c r="AB12" i="11" s="1"/>
  <c r="AC12" i="11" s="1"/>
  <c r="AD12" i="11" s="1"/>
  <c r="AE12" i="11" s="1"/>
  <c r="AF12" i="11" s="1"/>
  <c r="J12" i="11"/>
  <c r="W12" i="11" s="1"/>
  <c r="X12" i="11" s="1"/>
  <c r="Y12" i="11" s="1"/>
  <c r="Z12" i="11" s="1"/>
  <c r="AA12" i="11" s="1"/>
  <c r="I12" i="11"/>
  <c r="R12" i="11" s="1"/>
  <c r="S12" i="11" s="1"/>
  <c r="T12" i="11" s="1"/>
  <c r="U12" i="11" s="1"/>
  <c r="V12" i="11" s="1"/>
  <c r="H12" i="11"/>
  <c r="M12" i="11" s="1"/>
  <c r="N12" i="11" s="1"/>
  <c r="O12" i="11" s="1"/>
  <c r="P12" i="11" s="1"/>
  <c r="Q12" i="11" s="1"/>
  <c r="L11" i="11"/>
  <c r="K11" i="11"/>
  <c r="AB11" i="11" s="1"/>
  <c r="AC11" i="11" s="1"/>
  <c r="AD11" i="11" s="1"/>
  <c r="AE11" i="11" s="1"/>
  <c r="AF11" i="11" s="1"/>
  <c r="J11" i="11"/>
  <c r="W11" i="11" s="1"/>
  <c r="X11" i="11" s="1"/>
  <c r="Y11" i="11" s="1"/>
  <c r="Z11" i="11" s="1"/>
  <c r="AA11" i="11" s="1"/>
  <c r="I11" i="11"/>
  <c r="R11" i="11" s="1"/>
  <c r="S11" i="11" s="1"/>
  <c r="T11" i="11" s="1"/>
  <c r="U11" i="11" s="1"/>
  <c r="V11" i="11" s="1"/>
  <c r="H11" i="11"/>
  <c r="M11" i="11" s="1"/>
  <c r="N11" i="11" s="1"/>
  <c r="O11" i="11" s="1"/>
  <c r="P11" i="11" s="1"/>
  <c r="Q11" i="11" s="1"/>
  <c r="L10" i="11"/>
  <c r="K10" i="11"/>
  <c r="AB10" i="11" s="1"/>
  <c r="AC10" i="11" s="1"/>
  <c r="AD10" i="11" s="1"/>
  <c r="AE10" i="11" s="1"/>
  <c r="AF10" i="11" s="1"/>
  <c r="J10" i="11"/>
  <c r="W10" i="11" s="1"/>
  <c r="X10" i="11" s="1"/>
  <c r="Y10" i="11" s="1"/>
  <c r="Z10" i="11" s="1"/>
  <c r="AA10" i="11" s="1"/>
  <c r="I10" i="11"/>
  <c r="R10" i="11" s="1"/>
  <c r="S10" i="11" s="1"/>
  <c r="T10" i="11" s="1"/>
  <c r="U10" i="11" s="1"/>
  <c r="V10" i="11" s="1"/>
  <c r="H10" i="11"/>
  <c r="M10" i="11" s="1"/>
  <c r="N10" i="11" s="1"/>
  <c r="O10" i="11" s="1"/>
  <c r="P10" i="11" s="1"/>
  <c r="Q10" i="11" s="1"/>
  <c r="L9" i="11"/>
  <c r="K9" i="11"/>
  <c r="AB9" i="11" s="1"/>
  <c r="AC9" i="11" s="1"/>
  <c r="AD9" i="11" s="1"/>
  <c r="AE9" i="11" s="1"/>
  <c r="AF9" i="11" s="1"/>
  <c r="J9" i="11"/>
  <c r="W9" i="11" s="1"/>
  <c r="X9" i="11" s="1"/>
  <c r="Y9" i="11" s="1"/>
  <c r="Z9" i="11" s="1"/>
  <c r="AA9" i="11" s="1"/>
  <c r="I9" i="11"/>
  <c r="R9" i="11" s="1"/>
  <c r="S9" i="11" s="1"/>
  <c r="T9" i="11" s="1"/>
  <c r="U9" i="11" s="1"/>
  <c r="V9" i="11" s="1"/>
  <c r="H9" i="11"/>
  <c r="M9" i="11" s="1"/>
  <c r="N9" i="11" s="1"/>
  <c r="O9" i="11" s="1"/>
  <c r="P9" i="11" s="1"/>
  <c r="Q9" i="11" s="1"/>
  <c r="L8" i="11"/>
  <c r="K8" i="11"/>
  <c r="AB8" i="11" s="1"/>
  <c r="AC8" i="11" s="1"/>
  <c r="AD8" i="11" s="1"/>
  <c r="AE8" i="11" s="1"/>
  <c r="AF8" i="11" s="1"/>
  <c r="J8" i="11"/>
  <c r="W8" i="11" s="1"/>
  <c r="X8" i="11" s="1"/>
  <c r="Y8" i="11" s="1"/>
  <c r="Z8" i="11" s="1"/>
  <c r="AA8" i="11" s="1"/>
  <c r="I8" i="11"/>
  <c r="R8" i="11" s="1"/>
  <c r="S8" i="11" s="1"/>
  <c r="T8" i="11" s="1"/>
  <c r="U8" i="11" s="1"/>
  <c r="V8" i="11" s="1"/>
  <c r="H8" i="11"/>
  <c r="M8" i="11" s="1"/>
  <c r="N8" i="11" s="1"/>
  <c r="O8" i="11" s="1"/>
  <c r="P8" i="11" s="1"/>
  <c r="Q8" i="11" s="1"/>
  <c r="L7" i="11"/>
  <c r="K7" i="11"/>
  <c r="AB7" i="11" s="1"/>
  <c r="AC7" i="11" s="1"/>
  <c r="AD7" i="11" s="1"/>
  <c r="AE7" i="11" s="1"/>
  <c r="AF7" i="11" s="1"/>
  <c r="J7" i="11"/>
  <c r="W7" i="11" s="1"/>
  <c r="X7" i="11" s="1"/>
  <c r="Y7" i="11" s="1"/>
  <c r="Z7" i="11" s="1"/>
  <c r="AA7" i="11" s="1"/>
  <c r="I7" i="11"/>
  <c r="R7" i="11" s="1"/>
  <c r="S7" i="11" s="1"/>
  <c r="T7" i="11" s="1"/>
  <c r="U7" i="11" s="1"/>
  <c r="V7" i="11" s="1"/>
  <c r="H7" i="11"/>
  <c r="M7" i="11" s="1"/>
  <c r="N7" i="11" s="1"/>
  <c r="O7" i="11" s="1"/>
  <c r="P7" i="11" s="1"/>
  <c r="Q7" i="11" s="1"/>
  <c r="L6" i="11"/>
  <c r="K6" i="11"/>
  <c r="AB6" i="11" s="1"/>
  <c r="AC6" i="11" s="1"/>
  <c r="AD6" i="11" s="1"/>
  <c r="AE6" i="11" s="1"/>
  <c r="AF6" i="11" s="1"/>
  <c r="J6" i="11"/>
  <c r="W6" i="11" s="1"/>
  <c r="X6" i="11" s="1"/>
  <c r="Y6" i="11" s="1"/>
  <c r="Z6" i="11" s="1"/>
  <c r="AA6" i="11" s="1"/>
  <c r="I6" i="11"/>
  <c r="R6" i="11" s="1"/>
  <c r="S6" i="11" s="1"/>
  <c r="T6" i="11" s="1"/>
  <c r="U6" i="11" s="1"/>
  <c r="V6" i="11" s="1"/>
  <c r="H6" i="11"/>
  <c r="M6" i="11" s="1"/>
  <c r="N6" i="11" s="1"/>
  <c r="O6" i="11" s="1"/>
  <c r="P6" i="11" s="1"/>
  <c r="Q6" i="11" s="1"/>
  <c r="L5" i="11"/>
  <c r="K5" i="11"/>
  <c r="AB5" i="11" s="1"/>
  <c r="AC5" i="11" s="1"/>
  <c r="AD5" i="11" s="1"/>
  <c r="AE5" i="11" s="1"/>
  <c r="AF5" i="11" s="1"/>
  <c r="J5" i="11"/>
  <c r="W5" i="11" s="1"/>
  <c r="X5" i="11" s="1"/>
  <c r="Y5" i="11" s="1"/>
  <c r="Z5" i="11" s="1"/>
  <c r="AA5" i="11" s="1"/>
  <c r="I5" i="11"/>
  <c r="R5" i="11" s="1"/>
  <c r="S5" i="11" s="1"/>
  <c r="T5" i="11" s="1"/>
  <c r="U5" i="11" s="1"/>
  <c r="V5" i="11" s="1"/>
  <c r="H5" i="11"/>
  <c r="M5" i="11" s="1"/>
  <c r="N5" i="11" s="1"/>
  <c r="O5" i="11" s="1"/>
  <c r="P5" i="11" s="1"/>
  <c r="Q5" i="11" s="1"/>
  <c r="L4" i="11"/>
  <c r="K4" i="11"/>
  <c r="AB4" i="11" s="1"/>
  <c r="AC4" i="11" s="1"/>
  <c r="AD4" i="11" s="1"/>
  <c r="AE4" i="11" s="1"/>
  <c r="AF4" i="11" s="1"/>
  <c r="J4" i="11"/>
  <c r="W4" i="11" s="1"/>
  <c r="X4" i="11" s="1"/>
  <c r="Y4" i="11" s="1"/>
  <c r="Z4" i="11" s="1"/>
  <c r="AA4" i="11" s="1"/>
  <c r="I4" i="11"/>
  <c r="R4" i="11" s="1"/>
  <c r="S4" i="11" s="1"/>
  <c r="T4" i="11" s="1"/>
  <c r="U4" i="11" s="1"/>
  <c r="V4" i="11" s="1"/>
  <c r="H4" i="11"/>
  <c r="M4" i="11" s="1"/>
  <c r="N4" i="11" s="1"/>
  <c r="O4" i="11" s="1"/>
  <c r="P4" i="11" s="1"/>
  <c r="Q4" i="11" s="1"/>
  <c r="L3" i="11"/>
  <c r="K3" i="11"/>
  <c r="AB3" i="11" s="1"/>
  <c r="AC3" i="11" s="1"/>
  <c r="AD3" i="11" s="1"/>
  <c r="AE3" i="11" s="1"/>
  <c r="AF3" i="11" s="1"/>
  <c r="J3" i="11"/>
  <c r="W3" i="11" s="1"/>
  <c r="X3" i="11" s="1"/>
  <c r="Y3" i="11" s="1"/>
  <c r="Z3" i="11" s="1"/>
  <c r="AA3" i="11" s="1"/>
  <c r="I3" i="11"/>
  <c r="R3" i="11" s="1"/>
  <c r="S3" i="11" s="1"/>
  <c r="T3" i="11" s="1"/>
  <c r="U3" i="11" s="1"/>
  <c r="V3" i="11" s="1"/>
  <c r="H3" i="11"/>
  <c r="M3" i="11" s="1"/>
  <c r="N3" i="11" s="1"/>
  <c r="O3" i="11" s="1"/>
  <c r="P3" i="11" s="1"/>
  <c r="Q3" i="11" s="1"/>
  <c r="L2" i="11"/>
  <c r="K2" i="11"/>
  <c r="AB2" i="11" s="1"/>
  <c r="AC2" i="11" s="1"/>
  <c r="AD2" i="11" s="1"/>
  <c r="AE2" i="11" s="1"/>
  <c r="AF2" i="11" s="1"/>
  <c r="J2" i="11"/>
  <c r="W2" i="11" s="1"/>
  <c r="X2" i="11" s="1"/>
  <c r="Y2" i="11" s="1"/>
  <c r="Z2" i="11" s="1"/>
  <c r="AA2" i="11" s="1"/>
  <c r="I2" i="11"/>
  <c r="R2" i="11" s="1"/>
  <c r="S2" i="11" s="1"/>
  <c r="T2" i="11" s="1"/>
  <c r="U2" i="11" s="1"/>
  <c r="V2" i="11" s="1"/>
  <c r="H2" i="11"/>
  <c r="M2" i="11" s="1"/>
  <c r="N2" i="11" s="1"/>
  <c r="O2" i="11" s="1"/>
  <c r="P2" i="11" s="1"/>
  <c r="Q2" i="11" s="1"/>
  <c r="K3" i="10"/>
  <c r="K4" i="10"/>
  <c r="K5" i="10"/>
  <c r="K6" i="10"/>
  <c r="K7" i="10"/>
  <c r="K8" i="10"/>
  <c r="K9" i="10"/>
  <c r="K10" i="10"/>
  <c r="K11" i="10"/>
  <c r="K12" i="10"/>
  <c r="K13" i="10"/>
  <c r="AB13" i="10" s="1"/>
  <c r="AC13" i="10" s="1"/>
  <c r="AD13" i="10" s="1"/>
  <c r="AE13" i="10" s="1"/>
  <c r="AF13" i="10" s="1"/>
  <c r="K14" i="10"/>
  <c r="AB14" i="10" s="1"/>
  <c r="AC14" i="10" s="1"/>
  <c r="AD14" i="10" s="1"/>
  <c r="AE14" i="10" s="1"/>
  <c r="AF14" i="10" s="1"/>
  <c r="K15" i="10"/>
  <c r="AB15" i="10" s="1"/>
  <c r="AC15" i="10" s="1"/>
  <c r="AD15" i="10" s="1"/>
  <c r="AE15" i="10" s="1"/>
  <c r="AF15" i="10" s="1"/>
  <c r="K16" i="10"/>
  <c r="K17" i="10"/>
  <c r="K18" i="10"/>
  <c r="K19" i="10"/>
  <c r="K20" i="10"/>
  <c r="K21" i="10"/>
  <c r="K22" i="10"/>
  <c r="K23" i="10"/>
  <c r="K24" i="10"/>
  <c r="K25" i="10"/>
  <c r="K26" i="10"/>
  <c r="K27" i="10"/>
  <c r="K28" i="10"/>
  <c r="K2" i="10"/>
  <c r="L2" i="10"/>
  <c r="AB28" i="10"/>
  <c r="AC28" i="10" s="1"/>
  <c r="AD28" i="10" s="1"/>
  <c r="AE28" i="10" s="1"/>
  <c r="AF28" i="10" s="1"/>
  <c r="L28" i="10"/>
  <c r="AB27" i="10"/>
  <c r="AC27" i="10" s="1"/>
  <c r="AD27" i="10" s="1"/>
  <c r="AE27" i="10" s="1"/>
  <c r="AF27" i="10" s="1"/>
  <c r="R27" i="10"/>
  <c r="S27" i="10" s="1"/>
  <c r="T27" i="10" s="1"/>
  <c r="U27" i="10" s="1"/>
  <c r="V27" i="10" s="1"/>
  <c r="M27" i="10"/>
  <c r="N27" i="10" s="1"/>
  <c r="O27" i="10" s="1"/>
  <c r="P27" i="10" s="1"/>
  <c r="Q27" i="10" s="1"/>
  <c r="L27" i="10"/>
  <c r="AB26" i="10"/>
  <c r="AC26" i="10" s="1"/>
  <c r="AD26" i="10" s="1"/>
  <c r="AE26" i="10" s="1"/>
  <c r="AF26" i="10" s="1"/>
  <c r="W26" i="10"/>
  <c r="X26" i="10" s="1"/>
  <c r="Y26" i="10" s="1"/>
  <c r="Z26" i="10" s="1"/>
  <c r="AA26" i="10" s="1"/>
  <c r="R26" i="10"/>
  <c r="S26" i="10" s="1"/>
  <c r="T26" i="10" s="1"/>
  <c r="U26" i="10" s="1"/>
  <c r="V26" i="10" s="1"/>
  <c r="M26" i="10"/>
  <c r="N26" i="10" s="1"/>
  <c r="O26" i="10" s="1"/>
  <c r="P26" i="10" s="1"/>
  <c r="Q26" i="10" s="1"/>
  <c r="L26" i="10"/>
  <c r="AB25" i="10"/>
  <c r="AC25" i="10" s="1"/>
  <c r="AD25" i="10" s="1"/>
  <c r="AE25" i="10" s="1"/>
  <c r="AF25" i="10" s="1"/>
  <c r="W25" i="10"/>
  <c r="X25" i="10" s="1"/>
  <c r="Y25" i="10" s="1"/>
  <c r="Z25" i="10" s="1"/>
  <c r="AA25" i="10" s="1"/>
  <c r="R25" i="10"/>
  <c r="S25" i="10" s="1"/>
  <c r="T25" i="10" s="1"/>
  <c r="U25" i="10" s="1"/>
  <c r="V25" i="10" s="1"/>
  <c r="M25" i="10"/>
  <c r="N25" i="10" s="1"/>
  <c r="O25" i="10" s="1"/>
  <c r="P25" i="10" s="1"/>
  <c r="Q25" i="10" s="1"/>
  <c r="L25" i="10"/>
  <c r="AB24" i="10"/>
  <c r="AC24" i="10" s="1"/>
  <c r="AD24" i="10" s="1"/>
  <c r="AE24" i="10" s="1"/>
  <c r="AF24" i="10" s="1"/>
  <c r="W24" i="10"/>
  <c r="X24" i="10" s="1"/>
  <c r="Y24" i="10" s="1"/>
  <c r="Z24" i="10" s="1"/>
  <c r="AA24" i="10" s="1"/>
  <c r="R24" i="10"/>
  <c r="S24" i="10" s="1"/>
  <c r="T24" i="10" s="1"/>
  <c r="U24" i="10" s="1"/>
  <c r="V24" i="10" s="1"/>
  <c r="M24" i="10"/>
  <c r="N24" i="10" s="1"/>
  <c r="O24" i="10" s="1"/>
  <c r="P24" i="10" s="1"/>
  <c r="Q24" i="10" s="1"/>
  <c r="L24" i="10"/>
  <c r="AB23" i="10"/>
  <c r="AC23" i="10" s="1"/>
  <c r="AD23" i="10" s="1"/>
  <c r="AE23" i="10" s="1"/>
  <c r="AF23" i="10" s="1"/>
  <c r="W23" i="10"/>
  <c r="X23" i="10" s="1"/>
  <c r="Y23" i="10" s="1"/>
  <c r="Z23" i="10" s="1"/>
  <c r="AA23" i="10" s="1"/>
  <c r="R23" i="10"/>
  <c r="S23" i="10" s="1"/>
  <c r="T23" i="10" s="1"/>
  <c r="U23" i="10" s="1"/>
  <c r="V23" i="10" s="1"/>
  <c r="M23" i="10"/>
  <c r="N23" i="10" s="1"/>
  <c r="O23" i="10" s="1"/>
  <c r="P23" i="10" s="1"/>
  <c r="Q23" i="10" s="1"/>
  <c r="L23" i="10"/>
  <c r="AB22" i="10"/>
  <c r="AC22" i="10" s="1"/>
  <c r="AD22" i="10" s="1"/>
  <c r="AE22" i="10" s="1"/>
  <c r="AF22" i="10" s="1"/>
  <c r="W22" i="10"/>
  <c r="X22" i="10" s="1"/>
  <c r="Y22" i="10" s="1"/>
  <c r="Z22" i="10" s="1"/>
  <c r="AA22" i="10" s="1"/>
  <c r="R22" i="10"/>
  <c r="S22" i="10" s="1"/>
  <c r="T22" i="10" s="1"/>
  <c r="U22" i="10" s="1"/>
  <c r="V22" i="10" s="1"/>
  <c r="M22" i="10"/>
  <c r="N22" i="10" s="1"/>
  <c r="O22" i="10" s="1"/>
  <c r="P22" i="10" s="1"/>
  <c r="Q22" i="10" s="1"/>
  <c r="L22" i="10"/>
  <c r="AB21" i="10"/>
  <c r="AC21" i="10" s="1"/>
  <c r="AD21" i="10" s="1"/>
  <c r="AE21" i="10" s="1"/>
  <c r="AF21" i="10" s="1"/>
  <c r="W21" i="10"/>
  <c r="X21" i="10" s="1"/>
  <c r="Y21" i="10" s="1"/>
  <c r="Z21" i="10" s="1"/>
  <c r="AA21" i="10" s="1"/>
  <c r="R21" i="10"/>
  <c r="S21" i="10" s="1"/>
  <c r="T21" i="10" s="1"/>
  <c r="U21" i="10" s="1"/>
  <c r="V21" i="10" s="1"/>
  <c r="M21" i="10"/>
  <c r="N21" i="10" s="1"/>
  <c r="O21" i="10" s="1"/>
  <c r="P21" i="10" s="1"/>
  <c r="Q21" i="10" s="1"/>
  <c r="L21" i="10"/>
  <c r="AB20" i="10"/>
  <c r="AC20" i="10" s="1"/>
  <c r="AD20" i="10" s="1"/>
  <c r="AE20" i="10" s="1"/>
  <c r="AF20" i="10" s="1"/>
  <c r="W20" i="10"/>
  <c r="X20" i="10" s="1"/>
  <c r="Y20" i="10" s="1"/>
  <c r="Z20" i="10" s="1"/>
  <c r="AA20" i="10" s="1"/>
  <c r="R20" i="10"/>
  <c r="S20" i="10" s="1"/>
  <c r="T20" i="10" s="1"/>
  <c r="U20" i="10" s="1"/>
  <c r="V20" i="10" s="1"/>
  <c r="M20" i="10"/>
  <c r="N20" i="10" s="1"/>
  <c r="O20" i="10" s="1"/>
  <c r="P20" i="10" s="1"/>
  <c r="Q20" i="10" s="1"/>
  <c r="L20" i="10"/>
  <c r="AB19" i="10"/>
  <c r="AC19" i="10" s="1"/>
  <c r="AD19" i="10" s="1"/>
  <c r="AE19" i="10" s="1"/>
  <c r="AF19" i="10" s="1"/>
  <c r="W19" i="10"/>
  <c r="X19" i="10" s="1"/>
  <c r="Y19" i="10" s="1"/>
  <c r="Z19" i="10" s="1"/>
  <c r="AA19" i="10" s="1"/>
  <c r="R19" i="10"/>
  <c r="S19" i="10" s="1"/>
  <c r="T19" i="10" s="1"/>
  <c r="U19" i="10" s="1"/>
  <c r="V19" i="10" s="1"/>
  <c r="M19" i="10"/>
  <c r="N19" i="10" s="1"/>
  <c r="O19" i="10" s="1"/>
  <c r="P19" i="10" s="1"/>
  <c r="Q19" i="10" s="1"/>
  <c r="L19" i="10"/>
  <c r="AB18" i="10"/>
  <c r="AC18" i="10" s="1"/>
  <c r="AD18" i="10" s="1"/>
  <c r="AE18" i="10" s="1"/>
  <c r="AF18" i="10" s="1"/>
  <c r="W18" i="10"/>
  <c r="X18" i="10" s="1"/>
  <c r="Y18" i="10" s="1"/>
  <c r="Z18" i="10" s="1"/>
  <c r="AA18" i="10" s="1"/>
  <c r="R18" i="10"/>
  <c r="S18" i="10" s="1"/>
  <c r="T18" i="10" s="1"/>
  <c r="U18" i="10" s="1"/>
  <c r="V18" i="10" s="1"/>
  <c r="M18" i="10"/>
  <c r="N18" i="10" s="1"/>
  <c r="O18" i="10" s="1"/>
  <c r="P18" i="10" s="1"/>
  <c r="Q18" i="10" s="1"/>
  <c r="L18" i="10"/>
  <c r="AB17" i="10"/>
  <c r="AC17" i="10" s="1"/>
  <c r="AD17" i="10" s="1"/>
  <c r="AE17" i="10" s="1"/>
  <c r="AF17" i="10" s="1"/>
  <c r="W17" i="10"/>
  <c r="X17" i="10" s="1"/>
  <c r="Y17" i="10" s="1"/>
  <c r="Z17" i="10" s="1"/>
  <c r="AA17" i="10" s="1"/>
  <c r="R17" i="10"/>
  <c r="S17" i="10" s="1"/>
  <c r="T17" i="10" s="1"/>
  <c r="U17" i="10" s="1"/>
  <c r="V17" i="10" s="1"/>
  <c r="M17" i="10"/>
  <c r="N17" i="10" s="1"/>
  <c r="O17" i="10" s="1"/>
  <c r="P17" i="10" s="1"/>
  <c r="Q17" i="10" s="1"/>
  <c r="L17" i="10"/>
  <c r="AB16" i="10"/>
  <c r="AC16" i="10" s="1"/>
  <c r="AD16" i="10" s="1"/>
  <c r="AE16" i="10" s="1"/>
  <c r="AF16" i="10" s="1"/>
  <c r="W16" i="10"/>
  <c r="X16" i="10" s="1"/>
  <c r="Y16" i="10" s="1"/>
  <c r="Z16" i="10" s="1"/>
  <c r="AA16" i="10" s="1"/>
  <c r="R16" i="10"/>
  <c r="S16" i="10" s="1"/>
  <c r="T16" i="10" s="1"/>
  <c r="U16" i="10" s="1"/>
  <c r="V16" i="10" s="1"/>
  <c r="L16" i="10"/>
  <c r="L15" i="10"/>
  <c r="L14" i="10"/>
  <c r="L13" i="10"/>
  <c r="AB12" i="10"/>
  <c r="AC12" i="10" s="1"/>
  <c r="AD12" i="10" s="1"/>
  <c r="AE12" i="10" s="1"/>
  <c r="AF12" i="10" s="1"/>
  <c r="L12" i="10"/>
  <c r="AB11" i="10"/>
  <c r="AC11" i="10" s="1"/>
  <c r="AD11" i="10" s="1"/>
  <c r="AE11" i="10" s="1"/>
  <c r="AF11" i="10" s="1"/>
  <c r="L11" i="10"/>
  <c r="AB10" i="10"/>
  <c r="AC10" i="10" s="1"/>
  <c r="AD10" i="10" s="1"/>
  <c r="AE10" i="10" s="1"/>
  <c r="AF10" i="10" s="1"/>
  <c r="L10" i="10"/>
  <c r="AB9" i="10"/>
  <c r="AC9" i="10" s="1"/>
  <c r="AD9" i="10" s="1"/>
  <c r="AE9" i="10" s="1"/>
  <c r="AF9" i="10" s="1"/>
  <c r="L9" i="10"/>
  <c r="AB8" i="10"/>
  <c r="AC8" i="10" s="1"/>
  <c r="AD8" i="10" s="1"/>
  <c r="AE8" i="10" s="1"/>
  <c r="AF8" i="10" s="1"/>
  <c r="L8" i="10"/>
  <c r="AB7" i="10"/>
  <c r="AC7" i="10" s="1"/>
  <c r="AD7" i="10" s="1"/>
  <c r="AE7" i="10" s="1"/>
  <c r="AF7" i="10" s="1"/>
  <c r="L7" i="10"/>
  <c r="AB6" i="10"/>
  <c r="AC6" i="10" s="1"/>
  <c r="AD6" i="10" s="1"/>
  <c r="AE6" i="10" s="1"/>
  <c r="AF6" i="10" s="1"/>
  <c r="L6" i="10"/>
  <c r="AB5" i="10"/>
  <c r="AC5" i="10" s="1"/>
  <c r="AD5" i="10" s="1"/>
  <c r="AE5" i="10" s="1"/>
  <c r="AF5" i="10" s="1"/>
  <c r="L5" i="10"/>
  <c r="AB4" i="10"/>
  <c r="AC4" i="10" s="1"/>
  <c r="AD4" i="10" s="1"/>
  <c r="AE4" i="10" s="1"/>
  <c r="AF4" i="10" s="1"/>
  <c r="L4" i="10"/>
  <c r="AB3" i="10"/>
  <c r="AC3" i="10" s="1"/>
  <c r="AD3" i="10" s="1"/>
  <c r="AE3" i="10" s="1"/>
  <c r="AF3" i="10" s="1"/>
  <c r="L3" i="10"/>
  <c r="AB2" i="10"/>
  <c r="AC2" i="10" s="1"/>
  <c r="AD2" i="10" s="1"/>
  <c r="AE2" i="10" s="1"/>
  <c r="AF2" i="10" s="1"/>
  <c r="H2" i="10"/>
  <c r="M2" i="10" s="1"/>
  <c r="N2" i="10" s="1"/>
  <c r="O2" i="10" s="1"/>
  <c r="P2" i="10" s="1"/>
  <c r="Q2" i="10" s="1"/>
  <c r="J28" i="10"/>
  <c r="W28" i="10" s="1"/>
  <c r="X28" i="10" s="1"/>
  <c r="Y28" i="10" s="1"/>
  <c r="Z28" i="10" s="1"/>
  <c r="AA28" i="10" s="1"/>
  <c r="I28" i="10"/>
  <c r="R28" i="10" s="1"/>
  <c r="S28" i="10" s="1"/>
  <c r="T28" i="10" s="1"/>
  <c r="U28" i="10" s="1"/>
  <c r="V28" i="10" s="1"/>
  <c r="H28" i="10"/>
  <c r="M28" i="10" s="1"/>
  <c r="N28" i="10" s="1"/>
  <c r="O28" i="10" s="1"/>
  <c r="P28" i="10" s="1"/>
  <c r="Q28" i="10" s="1"/>
  <c r="J27" i="10"/>
  <c r="W27" i="10" s="1"/>
  <c r="X27" i="10" s="1"/>
  <c r="Y27" i="10" s="1"/>
  <c r="Z27" i="10" s="1"/>
  <c r="AA27" i="10" s="1"/>
  <c r="I27" i="10"/>
  <c r="H27" i="10"/>
  <c r="J26" i="10"/>
  <c r="I26" i="10"/>
  <c r="H26" i="10"/>
  <c r="J25" i="10"/>
  <c r="I25" i="10"/>
  <c r="H25" i="10"/>
  <c r="J24" i="10"/>
  <c r="I24" i="10"/>
  <c r="H24" i="10"/>
  <c r="J23" i="10"/>
  <c r="I23" i="10"/>
  <c r="H23" i="10"/>
  <c r="J22" i="10"/>
  <c r="I22" i="10"/>
  <c r="H22" i="10"/>
  <c r="J21" i="10"/>
  <c r="I21" i="10"/>
  <c r="H21" i="10"/>
  <c r="J20" i="10"/>
  <c r="I20" i="10"/>
  <c r="H20" i="10"/>
  <c r="J19" i="10"/>
  <c r="I19" i="10"/>
  <c r="H19" i="10"/>
  <c r="J18" i="10"/>
  <c r="I18" i="10"/>
  <c r="H18" i="10"/>
  <c r="J17" i="10"/>
  <c r="I17" i="10"/>
  <c r="H17" i="10"/>
  <c r="J16" i="10"/>
  <c r="I16" i="10"/>
  <c r="H16" i="10"/>
  <c r="M16" i="10" s="1"/>
  <c r="N16" i="10" s="1"/>
  <c r="O16" i="10" s="1"/>
  <c r="P16" i="10" s="1"/>
  <c r="Q16" i="10" s="1"/>
  <c r="J15" i="10"/>
  <c r="W15" i="10" s="1"/>
  <c r="X15" i="10" s="1"/>
  <c r="Y15" i="10" s="1"/>
  <c r="Z15" i="10" s="1"/>
  <c r="AA15" i="10" s="1"/>
  <c r="I15" i="10"/>
  <c r="R15" i="10" s="1"/>
  <c r="S15" i="10" s="1"/>
  <c r="T15" i="10" s="1"/>
  <c r="U15" i="10" s="1"/>
  <c r="V15" i="10" s="1"/>
  <c r="H15" i="10"/>
  <c r="M15" i="10" s="1"/>
  <c r="N15" i="10" s="1"/>
  <c r="O15" i="10" s="1"/>
  <c r="P15" i="10" s="1"/>
  <c r="Q15" i="10" s="1"/>
  <c r="J14" i="10"/>
  <c r="W14" i="10" s="1"/>
  <c r="X14" i="10" s="1"/>
  <c r="Y14" i="10" s="1"/>
  <c r="Z14" i="10" s="1"/>
  <c r="AA14" i="10" s="1"/>
  <c r="I14" i="10"/>
  <c r="R14" i="10" s="1"/>
  <c r="S14" i="10" s="1"/>
  <c r="T14" i="10" s="1"/>
  <c r="U14" i="10" s="1"/>
  <c r="V14" i="10" s="1"/>
  <c r="H14" i="10"/>
  <c r="M14" i="10" s="1"/>
  <c r="N14" i="10" s="1"/>
  <c r="O14" i="10" s="1"/>
  <c r="P14" i="10" s="1"/>
  <c r="Q14" i="10" s="1"/>
  <c r="J13" i="10"/>
  <c r="W13" i="10" s="1"/>
  <c r="X13" i="10" s="1"/>
  <c r="Y13" i="10" s="1"/>
  <c r="Z13" i="10" s="1"/>
  <c r="AA13" i="10" s="1"/>
  <c r="I13" i="10"/>
  <c r="R13" i="10" s="1"/>
  <c r="S13" i="10" s="1"/>
  <c r="T13" i="10" s="1"/>
  <c r="U13" i="10" s="1"/>
  <c r="V13" i="10" s="1"/>
  <c r="H13" i="10"/>
  <c r="M13" i="10" s="1"/>
  <c r="N13" i="10" s="1"/>
  <c r="O13" i="10" s="1"/>
  <c r="P13" i="10" s="1"/>
  <c r="Q13" i="10" s="1"/>
  <c r="J12" i="10"/>
  <c r="W12" i="10" s="1"/>
  <c r="X12" i="10" s="1"/>
  <c r="Y12" i="10" s="1"/>
  <c r="Z12" i="10" s="1"/>
  <c r="AA12" i="10" s="1"/>
  <c r="I12" i="10"/>
  <c r="R12" i="10" s="1"/>
  <c r="S12" i="10" s="1"/>
  <c r="T12" i="10" s="1"/>
  <c r="U12" i="10" s="1"/>
  <c r="V12" i="10" s="1"/>
  <c r="H12" i="10"/>
  <c r="M12" i="10" s="1"/>
  <c r="N12" i="10" s="1"/>
  <c r="O12" i="10" s="1"/>
  <c r="P12" i="10" s="1"/>
  <c r="Q12" i="10" s="1"/>
  <c r="J11" i="10"/>
  <c r="W11" i="10" s="1"/>
  <c r="X11" i="10" s="1"/>
  <c r="Y11" i="10" s="1"/>
  <c r="Z11" i="10" s="1"/>
  <c r="AA11" i="10" s="1"/>
  <c r="I11" i="10"/>
  <c r="R11" i="10" s="1"/>
  <c r="S11" i="10" s="1"/>
  <c r="T11" i="10" s="1"/>
  <c r="U11" i="10" s="1"/>
  <c r="V11" i="10" s="1"/>
  <c r="H11" i="10"/>
  <c r="M11" i="10" s="1"/>
  <c r="N11" i="10" s="1"/>
  <c r="O11" i="10" s="1"/>
  <c r="P11" i="10" s="1"/>
  <c r="Q11" i="10" s="1"/>
  <c r="J10" i="10"/>
  <c r="W10" i="10" s="1"/>
  <c r="X10" i="10" s="1"/>
  <c r="Y10" i="10" s="1"/>
  <c r="Z10" i="10" s="1"/>
  <c r="AA10" i="10" s="1"/>
  <c r="I10" i="10"/>
  <c r="R10" i="10" s="1"/>
  <c r="S10" i="10" s="1"/>
  <c r="T10" i="10" s="1"/>
  <c r="U10" i="10" s="1"/>
  <c r="V10" i="10" s="1"/>
  <c r="H10" i="10"/>
  <c r="M10" i="10" s="1"/>
  <c r="N10" i="10" s="1"/>
  <c r="O10" i="10" s="1"/>
  <c r="P10" i="10" s="1"/>
  <c r="Q10" i="10" s="1"/>
  <c r="J9" i="10"/>
  <c r="W9" i="10" s="1"/>
  <c r="X9" i="10" s="1"/>
  <c r="Y9" i="10" s="1"/>
  <c r="Z9" i="10" s="1"/>
  <c r="AA9" i="10" s="1"/>
  <c r="I9" i="10"/>
  <c r="R9" i="10" s="1"/>
  <c r="S9" i="10" s="1"/>
  <c r="T9" i="10" s="1"/>
  <c r="U9" i="10" s="1"/>
  <c r="V9" i="10" s="1"/>
  <c r="H9" i="10"/>
  <c r="M9" i="10" s="1"/>
  <c r="N9" i="10" s="1"/>
  <c r="O9" i="10" s="1"/>
  <c r="P9" i="10" s="1"/>
  <c r="Q9" i="10" s="1"/>
  <c r="J8" i="10"/>
  <c r="W8" i="10" s="1"/>
  <c r="X8" i="10" s="1"/>
  <c r="Y8" i="10" s="1"/>
  <c r="Z8" i="10" s="1"/>
  <c r="AA8" i="10" s="1"/>
  <c r="I8" i="10"/>
  <c r="R8" i="10" s="1"/>
  <c r="S8" i="10" s="1"/>
  <c r="T8" i="10" s="1"/>
  <c r="U8" i="10" s="1"/>
  <c r="V8" i="10" s="1"/>
  <c r="H8" i="10"/>
  <c r="M8" i="10" s="1"/>
  <c r="N8" i="10" s="1"/>
  <c r="O8" i="10" s="1"/>
  <c r="P8" i="10" s="1"/>
  <c r="Q8" i="10" s="1"/>
  <c r="J7" i="10"/>
  <c r="W7" i="10" s="1"/>
  <c r="X7" i="10" s="1"/>
  <c r="Y7" i="10" s="1"/>
  <c r="Z7" i="10" s="1"/>
  <c r="AA7" i="10" s="1"/>
  <c r="I7" i="10"/>
  <c r="R7" i="10" s="1"/>
  <c r="S7" i="10" s="1"/>
  <c r="T7" i="10" s="1"/>
  <c r="U7" i="10" s="1"/>
  <c r="V7" i="10" s="1"/>
  <c r="H7" i="10"/>
  <c r="M7" i="10" s="1"/>
  <c r="N7" i="10" s="1"/>
  <c r="O7" i="10" s="1"/>
  <c r="P7" i="10" s="1"/>
  <c r="Q7" i="10" s="1"/>
  <c r="J6" i="10"/>
  <c r="W6" i="10" s="1"/>
  <c r="X6" i="10" s="1"/>
  <c r="Y6" i="10" s="1"/>
  <c r="Z6" i="10" s="1"/>
  <c r="AA6" i="10" s="1"/>
  <c r="I6" i="10"/>
  <c r="R6" i="10" s="1"/>
  <c r="S6" i="10" s="1"/>
  <c r="T6" i="10" s="1"/>
  <c r="U6" i="10" s="1"/>
  <c r="V6" i="10" s="1"/>
  <c r="H6" i="10"/>
  <c r="M6" i="10" s="1"/>
  <c r="N6" i="10" s="1"/>
  <c r="O6" i="10" s="1"/>
  <c r="P6" i="10" s="1"/>
  <c r="Q6" i="10" s="1"/>
  <c r="J5" i="10"/>
  <c r="W5" i="10" s="1"/>
  <c r="X5" i="10" s="1"/>
  <c r="Y5" i="10" s="1"/>
  <c r="Z5" i="10" s="1"/>
  <c r="AA5" i="10" s="1"/>
  <c r="I5" i="10"/>
  <c r="R5" i="10" s="1"/>
  <c r="S5" i="10" s="1"/>
  <c r="T5" i="10" s="1"/>
  <c r="U5" i="10" s="1"/>
  <c r="V5" i="10" s="1"/>
  <c r="H5" i="10"/>
  <c r="M5" i="10" s="1"/>
  <c r="N5" i="10" s="1"/>
  <c r="O5" i="10" s="1"/>
  <c r="P5" i="10" s="1"/>
  <c r="Q5" i="10" s="1"/>
  <c r="J4" i="10"/>
  <c r="W4" i="10" s="1"/>
  <c r="X4" i="10" s="1"/>
  <c r="Y4" i="10" s="1"/>
  <c r="Z4" i="10" s="1"/>
  <c r="AA4" i="10" s="1"/>
  <c r="I4" i="10"/>
  <c r="R4" i="10" s="1"/>
  <c r="S4" i="10" s="1"/>
  <c r="T4" i="10" s="1"/>
  <c r="U4" i="10" s="1"/>
  <c r="V4" i="10" s="1"/>
  <c r="H4" i="10"/>
  <c r="M4" i="10" s="1"/>
  <c r="N4" i="10" s="1"/>
  <c r="O4" i="10" s="1"/>
  <c r="P4" i="10" s="1"/>
  <c r="Q4" i="10" s="1"/>
  <c r="J3" i="10"/>
  <c r="W3" i="10" s="1"/>
  <c r="X3" i="10" s="1"/>
  <c r="Y3" i="10" s="1"/>
  <c r="Z3" i="10" s="1"/>
  <c r="AA3" i="10" s="1"/>
  <c r="I3" i="10"/>
  <c r="R3" i="10" s="1"/>
  <c r="S3" i="10" s="1"/>
  <c r="T3" i="10" s="1"/>
  <c r="U3" i="10" s="1"/>
  <c r="V3" i="10" s="1"/>
  <c r="H3" i="10"/>
  <c r="M3" i="10" s="1"/>
  <c r="N3" i="10" s="1"/>
  <c r="O3" i="10" s="1"/>
  <c r="P3" i="10" s="1"/>
  <c r="Q3" i="10" s="1"/>
  <c r="J2" i="10"/>
  <c r="W2" i="10" s="1"/>
  <c r="X2" i="10" s="1"/>
  <c r="Y2" i="10" s="1"/>
  <c r="Z2" i="10" s="1"/>
  <c r="AA2" i="10" s="1"/>
  <c r="I2" i="10"/>
  <c r="R2" i="10" s="1"/>
  <c r="S2" i="10" s="1"/>
  <c r="T2" i="10" s="1"/>
  <c r="U2" i="10" s="1"/>
  <c r="V2" i="10" s="1"/>
  <c r="N2" i="9"/>
  <c r="H3" i="9"/>
  <c r="H2" i="9"/>
  <c r="N62" i="9"/>
  <c r="L62" i="9"/>
  <c r="K62" i="9"/>
  <c r="J62" i="9"/>
  <c r="I62" i="9"/>
  <c r="H62" i="9"/>
  <c r="M62" i="9" s="1"/>
  <c r="N61" i="9"/>
  <c r="L61" i="9"/>
  <c r="K61" i="9"/>
  <c r="J61" i="9"/>
  <c r="I61" i="9"/>
  <c r="H61" i="9"/>
  <c r="M61" i="9" s="1"/>
  <c r="N60" i="9"/>
  <c r="L60" i="9"/>
  <c r="K60" i="9"/>
  <c r="J60" i="9"/>
  <c r="I60" i="9"/>
  <c r="H60" i="9"/>
  <c r="M60" i="9" s="1"/>
  <c r="N59" i="9"/>
  <c r="L59" i="9"/>
  <c r="K59" i="9"/>
  <c r="J59" i="9"/>
  <c r="I59" i="9"/>
  <c r="H59" i="9"/>
  <c r="N58" i="9"/>
  <c r="L58" i="9"/>
  <c r="K58" i="9"/>
  <c r="J58" i="9"/>
  <c r="I58" i="9"/>
  <c r="H58" i="9"/>
  <c r="N57" i="9"/>
  <c r="L57" i="9"/>
  <c r="K57" i="9"/>
  <c r="J57" i="9"/>
  <c r="I57" i="9"/>
  <c r="H57" i="9"/>
  <c r="M57" i="9" s="1"/>
  <c r="N56" i="9"/>
  <c r="L56" i="9"/>
  <c r="K56" i="9"/>
  <c r="J56" i="9"/>
  <c r="I56" i="9"/>
  <c r="H56" i="9"/>
  <c r="M56" i="9" s="1"/>
  <c r="N55" i="9"/>
  <c r="L55" i="9"/>
  <c r="K55" i="9"/>
  <c r="J55" i="9"/>
  <c r="I55" i="9"/>
  <c r="H55" i="9"/>
  <c r="M55" i="9" s="1"/>
  <c r="N54" i="9"/>
  <c r="L54" i="9"/>
  <c r="K54" i="9"/>
  <c r="J54" i="9"/>
  <c r="I54" i="9"/>
  <c r="H54" i="9"/>
  <c r="M54" i="9" s="1"/>
  <c r="N53" i="9"/>
  <c r="L53" i="9"/>
  <c r="K53" i="9"/>
  <c r="J53" i="9"/>
  <c r="I53" i="9"/>
  <c r="H53" i="9"/>
  <c r="M53" i="9" s="1"/>
  <c r="N52" i="9"/>
  <c r="L52" i="9"/>
  <c r="K52" i="9"/>
  <c r="J52" i="9"/>
  <c r="I52" i="9"/>
  <c r="H52" i="9"/>
  <c r="M52" i="9" s="1"/>
  <c r="N51" i="9"/>
  <c r="L51" i="9"/>
  <c r="K51" i="9"/>
  <c r="J51" i="9"/>
  <c r="I51" i="9"/>
  <c r="H51" i="9"/>
  <c r="M51" i="9" s="1"/>
  <c r="N50" i="9"/>
  <c r="L50" i="9"/>
  <c r="K50" i="9"/>
  <c r="J50" i="9"/>
  <c r="I50" i="9"/>
  <c r="H50" i="9"/>
  <c r="M50" i="9" s="1"/>
  <c r="N49" i="9"/>
  <c r="L49" i="9"/>
  <c r="K49" i="9"/>
  <c r="J49" i="9"/>
  <c r="I49" i="9"/>
  <c r="H49" i="9"/>
  <c r="M49" i="9" s="1"/>
  <c r="N48" i="9"/>
  <c r="L48" i="9"/>
  <c r="K48" i="9"/>
  <c r="J48" i="9"/>
  <c r="I48" i="9"/>
  <c r="H48" i="9"/>
  <c r="M48" i="9" s="1"/>
  <c r="N47" i="9"/>
  <c r="L47" i="9"/>
  <c r="K47" i="9"/>
  <c r="J47" i="9"/>
  <c r="I47" i="9"/>
  <c r="H47" i="9"/>
  <c r="N46" i="9"/>
  <c r="L46" i="9"/>
  <c r="K46" i="9"/>
  <c r="J46" i="9"/>
  <c r="I46" i="9"/>
  <c r="H46" i="9"/>
  <c r="M46" i="9" s="1"/>
  <c r="N45" i="9"/>
  <c r="L45" i="9"/>
  <c r="K45" i="9"/>
  <c r="J45" i="9"/>
  <c r="I45" i="9"/>
  <c r="H45" i="9"/>
  <c r="M45" i="9" s="1"/>
  <c r="N44" i="9"/>
  <c r="L44" i="9"/>
  <c r="K44" i="9"/>
  <c r="J44" i="9"/>
  <c r="I44" i="9"/>
  <c r="H44" i="9"/>
  <c r="M44" i="9" s="1"/>
  <c r="N43" i="9"/>
  <c r="L43" i="9"/>
  <c r="K43" i="9"/>
  <c r="J43" i="9"/>
  <c r="I43" i="9"/>
  <c r="H43" i="9"/>
  <c r="M43" i="9" s="1"/>
  <c r="N42" i="9"/>
  <c r="L42" i="9"/>
  <c r="K42" i="9"/>
  <c r="J42" i="9"/>
  <c r="I42" i="9"/>
  <c r="H42" i="9"/>
  <c r="M42" i="9" s="1"/>
  <c r="N41" i="9"/>
  <c r="L41" i="9"/>
  <c r="K41" i="9"/>
  <c r="J41" i="9"/>
  <c r="I41" i="9"/>
  <c r="H41" i="9"/>
  <c r="M41" i="9" s="1"/>
  <c r="N40" i="9"/>
  <c r="L40" i="9"/>
  <c r="K40" i="9"/>
  <c r="J40" i="9"/>
  <c r="I40" i="9"/>
  <c r="H40" i="9"/>
  <c r="N39" i="9"/>
  <c r="L39" i="9"/>
  <c r="K39" i="9"/>
  <c r="J39" i="9"/>
  <c r="I39" i="9"/>
  <c r="H39" i="9"/>
  <c r="M39" i="9" s="1"/>
  <c r="N38" i="9"/>
  <c r="L38" i="9"/>
  <c r="K38" i="9"/>
  <c r="J38" i="9"/>
  <c r="I38" i="9"/>
  <c r="H38" i="9"/>
  <c r="N37" i="9"/>
  <c r="L37" i="9"/>
  <c r="K37" i="9"/>
  <c r="J37" i="9"/>
  <c r="I37" i="9"/>
  <c r="H37" i="9"/>
  <c r="M37" i="9" s="1"/>
  <c r="N36" i="9"/>
  <c r="L36" i="9"/>
  <c r="K36" i="9"/>
  <c r="J36" i="9"/>
  <c r="I36" i="9"/>
  <c r="H36" i="9"/>
  <c r="M36" i="9" s="1"/>
  <c r="N35" i="9"/>
  <c r="L35" i="9"/>
  <c r="K35" i="9"/>
  <c r="J35" i="9"/>
  <c r="I35" i="9"/>
  <c r="H35" i="9"/>
  <c r="M35" i="9" s="1"/>
  <c r="N34" i="9"/>
  <c r="L34" i="9"/>
  <c r="K34" i="9"/>
  <c r="J34" i="9"/>
  <c r="I34" i="9"/>
  <c r="H34" i="9"/>
  <c r="M34" i="9" s="1"/>
  <c r="N33" i="9"/>
  <c r="L33" i="9"/>
  <c r="K33" i="9"/>
  <c r="J33" i="9"/>
  <c r="I33" i="9"/>
  <c r="H33" i="9"/>
  <c r="M33" i="9" s="1"/>
  <c r="N32" i="9"/>
  <c r="L32" i="9"/>
  <c r="K32" i="9"/>
  <c r="J32" i="9"/>
  <c r="I32" i="9"/>
  <c r="H32" i="9"/>
  <c r="M32" i="9" s="1"/>
  <c r="N31" i="9"/>
  <c r="L31" i="9"/>
  <c r="K31" i="9"/>
  <c r="J31" i="9"/>
  <c r="I31" i="9"/>
  <c r="H31" i="9"/>
  <c r="M31" i="9" s="1"/>
  <c r="N30" i="9"/>
  <c r="L30" i="9"/>
  <c r="K30" i="9"/>
  <c r="J30" i="9"/>
  <c r="I30" i="9"/>
  <c r="H30" i="9"/>
  <c r="M30" i="9" s="1"/>
  <c r="N29" i="9"/>
  <c r="L29" i="9"/>
  <c r="K29" i="9"/>
  <c r="J29" i="9"/>
  <c r="I29" i="9"/>
  <c r="H29" i="9"/>
  <c r="M29" i="9" s="1"/>
  <c r="N28" i="9"/>
  <c r="L28" i="9"/>
  <c r="K28" i="9"/>
  <c r="J28" i="9"/>
  <c r="I28" i="9"/>
  <c r="H28" i="9"/>
  <c r="M28" i="9" s="1"/>
  <c r="N27" i="9"/>
  <c r="L27" i="9"/>
  <c r="K27" i="9"/>
  <c r="J27" i="9"/>
  <c r="I27" i="9"/>
  <c r="H27" i="9"/>
  <c r="M27" i="9" s="1"/>
  <c r="N26" i="9"/>
  <c r="L26" i="9"/>
  <c r="K26" i="9"/>
  <c r="J26" i="9"/>
  <c r="I26" i="9"/>
  <c r="H26" i="9"/>
  <c r="M26" i="9" s="1"/>
  <c r="N25" i="9"/>
  <c r="L25" i="9"/>
  <c r="K25" i="9"/>
  <c r="J25" i="9"/>
  <c r="I25" i="9"/>
  <c r="H25" i="9"/>
  <c r="M25" i="9" s="1"/>
  <c r="N24" i="9"/>
  <c r="L24" i="9"/>
  <c r="K24" i="9"/>
  <c r="J24" i="9"/>
  <c r="I24" i="9"/>
  <c r="H24" i="9"/>
  <c r="M24" i="9" s="1"/>
  <c r="N23" i="9"/>
  <c r="L23" i="9"/>
  <c r="K23" i="9"/>
  <c r="J23" i="9"/>
  <c r="I23" i="9"/>
  <c r="H23" i="9"/>
  <c r="M23" i="9" s="1"/>
  <c r="N22" i="9"/>
  <c r="L22" i="9"/>
  <c r="K22" i="9"/>
  <c r="J22" i="9"/>
  <c r="I22" i="9"/>
  <c r="H22" i="9"/>
  <c r="N21" i="9"/>
  <c r="L21" i="9"/>
  <c r="K21" i="9"/>
  <c r="J21" i="9"/>
  <c r="I21" i="9"/>
  <c r="H21" i="9"/>
  <c r="M21" i="9" s="1"/>
  <c r="N20" i="9"/>
  <c r="L20" i="9"/>
  <c r="K20" i="9"/>
  <c r="J20" i="9"/>
  <c r="I20" i="9"/>
  <c r="H20" i="9"/>
  <c r="N19" i="9"/>
  <c r="L19" i="9"/>
  <c r="K19" i="9"/>
  <c r="J19" i="9"/>
  <c r="I19" i="9"/>
  <c r="H19" i="9"/>
  <c r="M19" i="9" s="1"/>
  <c r="N18" i="9"/>
  <c r="L18" i="9"/>
  <c r="K18" i="9"/>
  <c r="J18" i="9"/>
  <c r="I18" i="9"/>
  <c r="H18" i="9"/>
  <c r="M18" i="9" s="1"/>
  <c r="N17" i="9"/>
  <c r="L17" i="9"/>
  <c r="K17" i="9"/>
  <c r="J17" i="9"/>
  <c r="I17" i="9"/>
  <c r="H17" i="9"/>
  <c r="M17" i="9" s="1"/>
  <c r="N16" i="9"/>
  <c r="L16" i="9"/>
  <c r="K16" i="9"/>
  <c r="J16" i="9"/>
  <c r="I16" i="9"/>
  <c r="H16" i="9"/>
  <c r="M16" i="9" s="1"/>
  <c r="N15" i="9"/>
  <c r="L15" i="9"/>
  <c r="K15" i="9"/>
  <c r="J15" i="9"/>
  <c r="I15" i="9"/>
  <c r="H15" i="9"/>
  <c r="M15" i="9" s="1"/>
  <c r="N14" i="9"/>
  <c r="L14" i="9"/>
  <c r="K14" i="9"/>
  <c r="J14" i="9"/>
  <c r="I14" i="9"/>
  <c r="H14" i="9"/>
  <c r="M14" i="9" s="1"/>
  <c r="N13" i="9"/>
  <c r="L13" i="9"/>
  <c r="K13" i="9"/>
  <c r="J13" i="9"/>
  <c r="I13" i="9"/>
  <c r="H13" i="9"/>
  <c r="N12" i="9"/>
  <c r="L12" i="9"/>
  <c r="K12" i="9"/>
  <c r="J12" i="9"/>
  <c r="I12" i="9"/>
  <c r="H12" i="9"/>
  <c r="M12" i="9" s="1"/>
  <c r="N11" i="9"/>
  <c r="L11" i="9"/>
  <c r="K11" i="9"/>
  <c r="J11" i="9"/>
  <c r="I11" i="9"/>
  <c r="H11" i="9"/>
  <c r="M11" i="9" s="1"/>
  <c r="N10" i="9"/>
  <c r="L10" i="9"/>
  <c r="K10" i="9"/>
  <c r="J10" i="9"/>
  <c r="I10" i="9"/>
  <c r="H10" i="9"/>
  <c r="M10" i="9" s="1"/>
  <c r="N9" i="9"/>
  <c r="L9" i="9"/>
  <c r="K9" i="9"/>
  <c r="J9" i="9"/>
  <c r="I9" i="9"/>
  <c r="H9" i="9"/>
  <c r="M9" i="9" s="1"/>
  <c r="N8" i="9"/>
  <c r="L8" i="9"/>
  <c r="K8" i="9"/>
  <c r="J8" i="9"/>
  <c r="I8" i="9"/>
  <c r="H8" i="9"/>
  <c r="M8" i="9" s="1"/>
  <c r="N7" i="9"/>
  <c r="L7" i="9"/>
  <c r="K7" i="9"/>
  <c r="J7" i="9"/>
  <c r="I7" i="9"/>
  <c r="H7" i="9"/>
  <c r="M7" i="9" s="1"/>
  <c r="N6" i="9"/>
  <c r="L6" i="9"/>
  <c r="K6" i="9"/>
  <c r="J6" i="9"/>
  <c r="I6" i="9"/>
  <c r="H6" i="9"/>
  <c r="M6" i="9" s="1"/>
  <c r="N5" i="9"/>
  <c r="L5" i="9"/>
  <c r="K5" i="9"/>
  <c r="J5" i="9"/>
  <c r="I5" i="9"/>
  <c r="H5" i="9"/>
  <c r="M5" i="9" s="1"/>
  <c r="N4" i="9"/>
  <c r="L4" i="9"/>
  <c r="K4" i="9"/>
  <c r="J4" i="9"/>
  <c r="I4" i="9"/>
  <c r="H4" i="9"/>
  <c r="M4" i="9" s="1"/>
  <c r="N3" i="9"/>
  <c r="L3" i="9"/>
  <c r="K3" i="9"/>
  <c r="J3" i="9"/>
  <c r="I3" i="9"/>
  <c r="M3" i="9"/>
  <c r="L2" i="9"/>
  <c r="K2" i="9"/>
  <c r="J2" i="9"/>
  <c r="I2" i="9"/>
  <c r="M2" i="9" s="1"/>
  <c r="BZ3" i="13" l="1"/>
  <c r="BZ9" i="13"/>
  <c r="BZ8" i="13"/>
  <c r="BZ11" i="13"/>
  <c r="BZ12" i="13"/>
  <c r="BZ13" i="13"/>
  <c r="BZ14" i="13"/>
  <c r="BZ15" i="13"/>
  <c r="BZ16" i="13"/>
  <c r="BZ17" i="13"/>
  <c r="BZ18" i="13"/>
  <c r="BZ19" i="13"/>
  <c r="BZ20" i="13"/>
  <c r="BZ21" i="13"/>
  <c r="BZ22" i="13"/>
  <c r="BZ23" i="13"/>
  <c r="BZ24" i="13"/>
  <c r="BZ25" i="13"/>
  <c r="BZ26" i="13"/>
  <c r="BZ27" i="13"/>
  <c r="BZ28" i="13"/>
  <c r="BZ29" i="13"/>
  <c r="BZ30" i="13"/>
  <c r="BZ31" i="13"/>
  <c r="BZ32" i="13"/>
  <c r="BZ33" i="13"/>
  <c r="BZ34" i="13"/>
  <c r="BZ35" i="13"/>
  <c r="BZ36" i="13"/>
  <c r="BZ37" i="13"/>
  <c r="BZ38" i="13"/>
  <c r="BZ39" i="13"/>
  <c r="BZ40" i="13"/>
  <c r="BZ41" i="13"/>
  <c r="BZ42" i="13"/>
  <c r="BZ43" i="13"/>
  <c r="BZ44" i="13"/>
  <c r="BZ45" i="13"/>
  <c r="BZ46" i="13"/>
  <c r="BZ47" i="13"/>
  <c r="BZ48" i="13"/>
  <c r="BZ49" i="13"/>
  <c r="BZ50" i="13"/>
  <c r="BZ51" i="13"/>
  <c r="BZ52" i="13"/>
  <c r="BZ53" i="13"/>
  <c r="BZ54" i="13"/>
  <c r="BZ55" i="13"/>
  <c r="BZ56" i="13"/>
  <c r="BZ2" i="13"/>
  <c r="BZ4" i="13"/>
  <c r="BZ5" i="13"/>
  <c r="BZ7" i="13"/>
  <c r="BZ6" i="13"/>
  <c r="BZ10" i="13"/>
  <c r="M59" i="9"/>
  <c r="M47" i="9"/>
  <c r="M58" i="9"/>
  <c r="M38" i="9"/>
  <c r="M13" i="9"/>
  <c r="M22" i="9"/>
  <c r="M20" i="9"/>
  <c r="M40" i="9"/>
  <c r="BZ60" i="13" l="1"/>
  <c r="BZ59" i="13"/>
  <c r="BZ62" i="13"/>
  <c r="BZ58" i="13"/>
  <c r="BZ63" i="13"/>
  <c r="BZ61" i="13"/>
  <c r="CA2" i="13" l="1" a="1"/>
  <c r="CA48" i="13" a="1"/>
  <c r="CA46" i="13" a="1"/>
  <c r="CA43" i="13" a="1"/>
  <c r="CA38" i="13" a="1"/>
  <c r="CA20" i="13" a="1"/>
  <c r="CA19" i="13" a="1"/>
  <c r="CA18" i="13" a="1"/>
  <c r="CA17" i="13" a="1"/>
  <c r="CA15" i="13" a="1"/>
  <c r="CA14" i="13" a="1"/>
  <c r="CA13" i="13" a="1"/>
  <c r="CA12" i="13" a="1"/>
  <c r="CA11" i="13" a="1"/>
  <c r="CA8" i="13" a="1"/>
  <c r="CA9" i="13" a="1"/>
  <c r="CA3" i="13" a="1"/>
  <c r="CA10" i="13" a="1"/>
  <c r="CA6" i="13" a="1"/>
  <c r="CA7" i="13" a="1"/>
  <c r="CA5" i="13" a="1"/>
  <c r="CA4" i="13" a="1"/>
  <c r="CA56" i="13" a="1"/>
  <c r="CA55" i="13" a="1"/>
  <c r="CA54" i="13" a="1"/>
  <c r="CA53" i="13" a="1"/>
  <c r="CA52" i="13" a="1"/>
  <c r="CA51" i="13" a="1"/>
  <c r="CA50" i="13" a="1"/>
  <c r="CA49" i="13" a="1"/>
  <c r="CA24" i="13" a="1"/>
  <c r="CA47" i="13" a="1"/>
  <c r="CA45" i="13" a="1"/>
  <c r="CA44" i="13" a="1"/>
  <c r="CA42" i="13" a="1"/>
  <c r="CA41" i="13" a="1"/>
  <c r="CA40" i="13" a="1"/>
  <c r="CA39" i="13" a="1"/>
  <c r="CA37" i="13" a="1"/>
  <c r="CA36" i="13" a="1"/>
  <c r="CA35" i="13" a="1"/>
  <c r="CA34" i="13" a="1"/>
  <c r="CA32" i="13" a="1"/>
  <c r="CA31" i="13" a="1"/>
  <c r="CA30" i="13" a="1"/>
  <c r="CA29" i="13" a="1"/>
  <c r="CA28" i="13" a="1"/>
  <c r="CA27" i="13" a="1"/>
  <c r="CA26" i="13" a="1"/>
  <c r="CA25" i="13" a="1"/>
  <c r="CA23" i="13" a="1"/>
  <c r="CA22" i="13" a="1"/>
  <c r="CA21" i="13" a="1"/>
  <c r="CA16" i="13" a="1"/>
  <c r="CA33" i="13" a="1"/>
  <c r="B11" i="20"/>
  <c r="A11" i="20"/>
  <c r="CA56" i="13"/>
  <c r="CA55" i="13"/>
  <c r="CA54" i="13"/>
  <c r="CA53" i="13"/>
  <c r="CA52" i="13"/>
  <c r="CA51" i="13"/>
  <c r="CA50" i="13"/>
  <c r="CA49" i="13"/>
  <c r="CA48" i="13"/>
  <c r="CA47" i="13"/>
  <c r="CA46" i="13"/>
  <c r="CA45" i="13"/>
  <c r="CA44" i="13"/>
  <c r="CA43" i="13"/>
  <c r="CA42" i="13"/>
  <c r="CA41" i="13"/>
  <c r="CA40" i="13"/>
  <c r="CA39" i="13"/>
  <c r="CA38" i="13"/>
  <c r="CA37" i="13"/>
  <c r="CA36" i="13"/>
  <c r="CA35" i="13"/>
  <c r="CA34" i="13"/>
  <c r="CA33" i="13"/>
  <c r="CA32" i="13"/>
  <c r="CA31" i="13"/>
  <c r="CA30" i="13"/>
  <c r="CA29" i="13"/>
  <c r="CA28" i="13"/>
  <c r="CA27" i="13"/>
  <c r="CA26" i="13"/>
  <c r="CA25" i="13"/>
  <c r="CA24" i="13"/>
  <c r="CA23" i="13"/>
  <c r="CA22" i="13"/>
  <c r="CA21" i="13"/>
  <c r="CA20" i="13"/>
  <c r="CA19" i="13"/>
  <c r="CA18" i="13"/>
  <c r="CA17" i="13"/>
  <c r="CA16" i="13"/>
  <c r="CA15" i="13"/>
  <c r="CA14" i="13"/>
  <c r="CA13" i="13"/>
  <c r="CA12" i="13"/>
  <c r="CA11" i="13"/>
  <c r="CA10" i="13"/>
  <c r="CA9" i="13"/>
  <c r="CA8" i="13"/>
  <c r="CA7" i="13"/>
  <c r="CA6" i="13"/>
  <c r="CA5" i="13"/>
  <c r="CA4" i="13"/>
  <c r="CA3" i="13"/>
  <c r="CA2" i="13"/>
  <c r="BY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tc={B31E7D7F-6DB0-4CF8-B571-C3462BB1F32D}</author>
  </authors>
  <commentList>
    <comment ref="A1" authorId="0" shapeId="0" xr:uid="{B31E7D7F-6DB0-4CF8-B571-C3462BB1F32D}">
      <text>
        <t>[Threaded comment]
Your version of Excel allows you to read this threaded comment; however, any edits to it will get removed if the file is opened in a newer version of Excel. Learn more: https://go.microsoft.com/fwlink/?linkid=870924
Comment:
    @Bodro, Dewi Kiswani Sudah aku update ya mbak untuk persentasenya, terutama yg pengeluaran pemerintah maksimal 10% hingga akhir periode
Reply:
    Sip suwun. Ku running pke ini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<sst xmlns="http://schemas.openxmlformats.org/spreadsheetml/2006/main" count="2353" uniqueCount="516">
  <si>
    <t>Kode</t>
  </si>
  <si>
    <t>Deskripsi</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</si>
  <si>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</si>
  <si>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</si>
  <si>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</si>
  <si>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</si>
  <si>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</si>
  <si>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</si>
  <si>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</si>
  <si>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</si>
  <si>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</si>
  <si>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</si>
  <si>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</si>
  <si>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</si>
  <si>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</si>
  <si>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</si>
  <si>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</si>
  <si>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</si>
  <si>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</si>
  <si>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</si>
  <si>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</si>
  <si>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</si>
  <si>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</si>
  <si>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</si>
  <si>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</si>
  <si>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</si>
  <si>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</si>
  <si>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</si>
  <si>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</si>
  <si>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</si>
  <si>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</si>
  <si>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</si>
  <si>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</si>
  <si>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</si>
  <si>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</si>
  <si>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</si>
  <si>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</si>
  <si>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</si>
  <si>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</si>
  <si>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</si>
  <si>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</si>
  <si>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</si>
  <si>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</si>
  <si>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</si>
  <si>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</si>
  <si>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</si>
  <si>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</si>
  <si>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</si>
  <si>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</si>
  <si>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</si>
  <si>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</si>
  <si>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</si>
  <si>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</si>
  <si>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</si>
  <si>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</si>
  <si>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</si>
  <si>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</si>
  <si>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180</t>
  </si>
  <si>
    <t>301</t>
  </si>
  <si>
    <t>302</t>
  </si>
  <si>
    <t>303</t>
  </si>
  <si>
    <t>304</t>
  </si>
  <si>
    <t>305</t>
  </si>
  <si>
    <t>309</t>
  </si>
  <si>
    <t>310</t>
  </si>
  <si>
    <t>409</t>
  </si>
  <si>
    <t>509</t>
  </si>
  <si>
    <t>600</t>
  </si>
  <si>
    <t>700</t>
  </si>
  <si>
    <t>Pertanian Tanaman Pangan</t>
  </si>
  <si>
    <t>Pertanian Tanaman Hortikultura Semusim, Hortikultura Tahunan, dan Lainnya</t>
  </si>
  <si>
    <t>Karet</t>
  </si>
  <si>
    <t>Kelapa Sawit</t>
  </si>
  <si>
    <t>Tanaman Perkebunan lainnya</t>
  </si>
  <si>
    <t>Peternakan</t>
  </si>
  <si>
    <t>Jasa Pertanian dan Perburuan</t>
  </si>
  <si>
    <t>Kehutanan dan Penebangan Kayu</t>
  </si>
  <si>
    <t>Perikanan</t>
  </si>
  <si>
    <t>Pertambangan Minyak, Gas dan Panas Bumi</t>
  </si>
  <si>
    <t>Pertambangan Batubara dan Lignit</t>
  </si>
  <si>
    <t>Pertambangan Bijih Logam</t>
  </si>
  <si>
    <t>Pertambangan dan Penggalian Lainnya</t>
  </si>
  <si>
    <t>Industri Batubara dan Pengilangan Migas</t>
  </si>
  <si>
    <t>Industri Makanan dan Minuman</t>
  </si>
  <si>
    <t>Industri Pengolahan Tembakau</t>
  </si>
  <si>
    <t>Industri Tekstil dan Pakaian Jadi</t>
  </si>
  <si>
    <t>Industri Kulit, Barang dari Kulit dan Alas Kaki</t>
  </si>
  <si>
    <t>Industri Kayu, Barang dari Kayu dan Gabus dan Barang Anyaman dari Bambu, Rotan dan Sejenisnya</t>
  </si>
  <si>
    <t>Industri Kertas dan Barang dari Kertas, Percetakan dan Reproduksi Media Rekaman</t>
  </si>
  <si>
    <t>Industri Kimia, Farmasi dan Obat Tradisional</t>
  </si>
  <si>
    <t>Industri Karet, Barang dari Karet dan Plastik</t>
  </si>
  <si>
    <t>Industri Barang Galian bukan Logam</t>
  </si>
  <si>
    <t>Industri Logam Dasar</t>
  </si>
  <si>
    <t>Industri Barang dari Logam, Komputer, Barang Elektronik, Optik dan Peralatan Listrik</t>
  </si>
  <si>
    <t>Industri Mesin dan Perlengkapan YTDL</t>
  </si>
  <si>
    <t>Industri Alat Angkutan</t>
  </si>
  <si>
    <t>Industri Furnitur</t>
  </si>
  <si>
    <t>Industri Pengolahan Lainnya, Jasa Reparasi dan Pemasangan Mesin dan Peralatan</t>
  </si>
  <si>
    <t>Ketenagalistrikan</t>
  </si>
  <si>
    <t>Pengadaan Gas dan Produksi Es</t>
  </si>
  <si>
    <t>Pengadaan Air, Pengelolaan Sampah, Limbah, dan Daur Ulang</t>
  </si>
  <si>
    <t>Konstruksi</t>
  </si>
  <si>
    <t>Perdagangan Mobil, Sepeda Motor dan Reparasinya</t>
  </si>
  <si>
    <t>Perdagangan Besar dan Eceran, Bukan Mobil dan Sepeda Motor</t>
  </si>
  <si>
    <t>Angkutan Rel</t>
  </si>
  <si>
    <t>Angkutan Darat</t>
  </si>
  <si>
    <t>Angkutan Laut</t>
  </si>
  <si>
    <t>Angkutan Sungai Danau dan Penyeberangan</t>
  </si>
  <si>
    <t>Angkutan Udara</t>
  </si>
  <si>
    <t>Pergudangan dan Jasa Penunjang Angkutan, Pos dan Kurir</t>
  </si>
  <si>
    <t>Penyediaan Akomodasi</t>
  </si>
  <si>
    <t>Penyediaan Makan Minum</t>
  </si>
  <si>
    <t>Jasa Informasi dan Komunikasi</t>
  </si>
  <si>
    <t>Jasa Perantara Keuangan Selain Bank Sentral</t>
  </si>
  <si>
    <t>Asuransi dan Dana Pensiun</t>
  </si>
  <si>
    <t>Jasa Keuangan Lainnya</t>
  </si>
  <si>
    <t>Jasa Penunjang Keuangan</t>
  </si>
  <si>
    <t>Real Estate</t>
  </si>
  <si>
    <t>Jasa Perusahaan</t>
  </si>
  <si>
    <t>Administrasi Pemerintahan, Pertahanan dan Jaminan Sosial Wajib</t>
  </si>
  <si>
    <t>Jasa Pendidikan</t>
  </si>
  <si>
    <t>Jasa Kesehatan dan Kegiatan Sosial</t>
  </si>
  <si>
    <t>Jasa  Lainnya</t>
  </si>
  <si>
    <t>Sektor lain yang tidak jelas batasannya</t>
  </si>
  <si>
    <t>190</t>
  </si>
  <si>
    <t>Input Antara</t>
  </si>
  <si>
    <t>200</t>
  </si>
  <si>
    <t>Input Antara Impor</t>
  </si>
  <si>
    <t>201</t>
  </si>
  <si>
    <t>Kompensasi Tenaga Kerja</t>
  </si>
  <si>
    <t>202</t>
  </si>
  <si>
    <t>Surplus Usaha (termasuk pendapatan campuran) Bruto</t>
  </si>
  <si>
    <t>203</t>
  </si>
  <si>
    <t>Pajak Atas Produksi Lainnya</t>
  </si>
  <si>
    <t>204</t>
  </si>
  <si>
    <t>Subsidi Atas Produksi Lainnya (-)</t>
  </si>
  <si>
    <t>209</t>
  </si>
  <si>
    <t>Nilai Tambah Bruto</t>
  </si>
  <si>
    <t>210</t>
  </si>
  <si>
    <t>Total Input</t>
  </si>
  <si>
    <t>Sector</t>
  </si>
  <si>
    <t>Sektor</t>
  </si>
  <si>
    <t>Kode_PDRB</t>
  </si>
  <si>
    <t>Growth_Index</t>
  </si>
  <si>
    <t>CAGR</t>
  </si>
  <si>
    <t>X_2020</t>
  </si>
  <si>
    <t>X_2025</t>
  </si>
  <si>
    <t>VA_2020</t>
  </si>
  <si>
    <t>VA_2025</t>
  </si>
  <si>
    <t>Row_Target</t>
  </si>
  <si>
    <t>Row_Achieved</t>
  </si>
  <si>
    <t>Col_Target_Z</t>
  </si>
  <si>
    <t>Col_Achieved_Z</t>
  </si>
  <si>
    <t>A.1.a</t>
  </si>
  <si>
    <t>A.1.b</t>
  </si>
  <si>
    <t>A.1.c</t>
  </si>
  <si>
    <t>A.1.d</t>
  </si>
  <si>
    <t>A.1.e</t>
  </si>
  <si>
    <t>A.2</t>
  </si>
  <si>
    <t>A.3</t>
  </si>
  <si>
    <t>B.1</t>
  </si>
  <si>
    <t>B.2</t>
  </si>
  <si>
    <t>B.3</t>
  </si>
  <si>
    <t>B.4</t>
  </si>
  <si>
    <t>C.1</t>
  </si>
  <si>
    <t>C.2</t>
  </si>
  <si>
    <t>C.3</t>
  </si>
  <si>
    <t>C.4</t>
  </si>
  <si>
    <t>C.5</t>
  </si>
  <si>
    <t>C.6</t>
  </si>
  <si>
    <t>C.7</t>
  </si>
  <si>
    <t>C.8</t>
  </si>
  <si>
    <t>C.9</t>
  </si>
  <si>
    <t>C.10</t>
  </si>
  <si>
    <t>C.11</t>
  </si>
  <si>
    <t>C.12</t>
  </si>
  <si>
    <t>C.13</t>
  </si>
  <si>
    <t>C.14</t>
  </si>
  <si>
    <t>C.15</t>
  </si>
  <si>
    <t>C.16</t>
  </si>
  <si>
    <t>D.1</t>
  </si>
  <si>
    <t>D.2</t>
  </si>
  <si>
    <t>E</t>
  </si>
  <si>
    <t>F</t>
  </si>
  <si>
    <t>G.1</t>
  </si>
  <si>
    <t>G.2</t>
  </si>
  <si>
    <t>H.1</t>
  </si>
  <si>
    <t>H.2</t>
  </si>
  <si>
    <t>H.3</t>
  </si>
  <si>
    <t>H.4</t>
  </si>
  <si>
    <t>H.5</t>
  </si>
  <si>
    <t>H.6</t>
  </si>
  <si>
    <t>I.1</t>
  </si>
  <si>
    <t>I.2</t>
  </si>
  <si>
    <t>J</t>
  </si>
  <si>
    <t>K.1</t>
  </si>
  <si>
    <t>K.2</t>
  </si>
  <si>
    <t>K.3</t>
  </si>
  <si>
    <t>K.4</t>
  </si>
  <si>
    <t>L</t>
  </si>
  <si>
    <t>M,N</t>
  </si>
  <si>
    <t>O</t>
  </si>
  <si>
    <t>P</t>
  </si>
  <si>
    <t>Q</t>
  </si>
  <si>
    <t>R,S,T,U</t>
  </si>
  <si>
    <t>Total_Input</t>
  </si>
  <si>
    <t>Total_Output</t>
  </si>
  <si>
    <t>Selisih</t>
  </si>
  <si>
    <t>Kode_IO</t>
  </si>
  <si>
    <t>Sektor_IO</t>
  </si>
  <si>
    <t>Label_PDRB</t>
  </si>
  <si>
    <t>A.1.a Tanaman Pangan</t>
  </si>
  <si>
    <t>A.1.b Tanaman Hortikultura</t>
  </si>
  <si>
    <t>A.1.c Tanaman Perkebunan</t>
  </si>
  <si>
    <t>A.1.d Peternakan</t>
  </si>
  <si>
    <t>A.1.e Jasa Pertanian dan Perburuan</t>
  </si>
  <si>
    <t>A.2 Kehutanan dan Penebangan Kayu</t>
  </si>
  <si>
    <t>A.3 Perikanan</t>
  </si>
  <si>
    <t>B.1 Pertambangan Minyak, Gas, dan Panas Bumi</t>
  </si>
  <si>
    <t>B.2 Pertambangan Batubara dan Lignit</t>
  </si>
  <si>
    <t>B.3 Pertambangan Bijih Logam</t>
  </si>
  <si>
    <t>B.4 Pertambangan dan Penggalian Lainnya</t>
  </si>
  <si>
    <t>C.1 Industri Batubara dan Pengilangan Migas</t>
  </si>
  <si>
    <t>C.2 Industri Makanan dan Minuman</t>
  </si>
  <si>
    <t>C.3 Industri Pengolahan Tembakau</t>
  </si>
  <si>
    <t>C.4 Industri Tekstil dan Pakaian Jadi</t>
  </si>
  <si>
    <t>C.5 Industri Kulit, Barang dari Kulit, dan Alas Kaki</t>
  </si>
  <si>
    <t>C.6 Industri Kayu, Barang dari Kayu dan Gabus; dan Barang Anyaman dari Bambu, Rotan, dan Sejenisnya</t>
  </si>
  <si>
    <t>C.7 Industri Kertas dan Barang dari Kertas; Percetakan dan Reproduksi Media Rekaman</t>
  </si>
  <si>
    <t>C.8 Industri Kimia, Farmasi, dan Obat Tradisional</t>
  </si>
  <si>
    <t>C.9 Industri Karet; Barang dari Karet dan Plastik</t>
  </si>
  <si>
    <t>C.10 Industri Barang Galian bukan Logam</t>
  </si>
  <si>
    <t>C.11 Industri Logam Dasar</t>
  </si>
  <si>
    <t>C.12 Industri Barang Logam; Komputer, Barang Elektronik, Optik; dan Peralatan Listrik</t>
  </si>
  <si>
    <t>C.13 Industri Mesin dan Perlengkapan</t>
  </si>
  <si>
    <t>C.14 Industri Alat Angkutan</t>
  </si>
  <si>
    <t>C.15 Industri Furnitur</t>
  </si>
  <si>
    <t>C.16 Industri Pengolahan Lainnya; Jasa Reparasi dan Pemasangan Mesin dan Peralatan</t>
  </si>
  <si>
    <t>D.1 Ketenagalistrikan</t>
  </si>
  <si>
    <t>D.2 Pengadaan Gas dan Produksi Es</t>
  </si>
  <si>
    <t>E. Pengadaan Air; Pengelolaan Sampah, Limbah, dan Daur Ulang</t>
  </si>
  <si>
    <t>F. Konstruksi</t>
  </si>
  <si>
    <t>G.1 Perdagangan Mobil, Sepeda Motor dan Reparasinya</t>
  </si>
  <si>
    <t>G.2 Perdagangan Besar dan Eceran, Bukan Mobil dan Sepeda Motor</t>
  </si>
  <si>
    <t>H.1 Angkutan Rel</t>
  </si>
  <si>
    <t>H.2 Angkutan Darat</t>
  </si>
  <si>
    <t>H.3 Angkutan Laut</t>
  </si>
  <si>
    <t>H.4 Angkutan Sungai, Danau, dan Penyeberangan</t>
  </si>
  <si>
    <t>H.5 Angkutan Udara</t>
  </si>
  <si>
    <t>H.6 Pergudangan dan Jasa Penunjang Angkutan; Pos dan Kurir</t>
  </si>
  <si>
    <t>I.1 Penyediaan Akomodasi</t>
  </si>
  <si>
    <t>I.2 Penyediaan Makan Minum</t>
  </si>
  <si>
    <t>J. Informasi dan Komunikasi</t>
  </si>
  <si>
    <t>K.1 Jasa Perantara Keuangan</t>
  </si>
  <si>
    <t>K.2 Asuransi dan Dana Pensiun</t>
  </si>
  <si>
    <t>K.3 Jasa Keuangan Lainnya</t>
  </si>
  <si>
    <t>K.4 Jasa Penunjang Keuangan</t>
  </si>
  <si>
    <t>L. Real Estat</t>
  </si>
  <si>
    <t>M,N. Jasa Perusahaan</t>
  </si>
  <si>
    <t>O. Administrasi Pemerintahan, Pertahanan, dan Jaminan Sosial Wajib</t>
  </si>
  <si>
    <t>P. Jasa Pendidikan</t>
  </si>
  <si>
    <t>Q. Jasa Kesehatan dan Kegiatan Sosial</t>
  </si>
  <si>
    <t>R,S,T,U. Jasa Lainnya</t>
  </si>
  <si>
    <t>KodeSektor</t>
  </si>
  <si>
    <t>NamaSektor</t>
  </si>
  <si>
    <t>NamaPendek</t>
  </si>
  <si>
    <t>NamaSingkat</t>
  </si>
  <si>
    <t>KSM</t>
  </si>
  <si>
    <t>Tanaman Pangan</t>
  </si>
  <si>
    <t>Pertanian, Kehutanan, dan Perikanan</t>
  </si>
  <si>
    <t>Hortikultura</t>
  </si>
  <si>
    <t>Krt</t>
  </si>
  <si>
    <t>KS</t>
  </si>
  <si>
    <t>TPL</t>
  </si>
  <si>
    <t>Ptr</t>
  </si>
  <si>
    <t>JPP</t>
  </si>
  <si>
    <t>KPK</t>
  </si>
  <si>
    <t>PMGP</t>
  </si>
  <si>
    <t>Pertambangan dan Penggalian</t>
  </si>
  <si>
    <t>PBL</t>
  </si>
  <si>
    <t>PPL</t>
  </si>
  <si>
    <t>IBPM</t>
  </si>
  <si>
    <t>Industri Pengolahan</t>
  </si>
  <si>
    <t>IMM</t>
  </si>
  <si>
    <t>IPT</t>
  </si>
  <si>
    <t>ITPJ</t>
  </si>
  <si>
    <t>IKPR</t>
  </si>
  <si>
    <t>IKFO</t>
  </si>
  <si>
    <t>IBGL</t>
  </si>
  <si>
    <t>ILD</t>
  </si>
  <si>
    <t>IBLE</t>
  </si>
  <si>
    <t>IAA</t>
  </si>
  <si>
    <t>IF</t>
  </si>
  <si>
    <t>Pengadaan Listrik dan Gas</t>
  </si>
  <si>
    <t>PGE</t>
  </si>
  <si>
    <t>Kons</t>
  </si>
  <si>
    <t>PMM</t>
  </si>
  <si>
    <t>Perdagangan Besar dan Eceran; Reparasi Mobil dan Sepeda Motor</t>
  </si>
  <si>
    <t>PBE</t>
  </si>
  <si>
    <t>AR</t>
  </si>
  <si>
    <t>Transportasi dan Pergudangan</t>
  </si>
  <si>
    <t>AD</t>
  </si>
  <si>
    <t>AL</t>
  </si>
  <si>
    <t>AU</t>
  </si>
  <si>
    <t>Penyediaan Akomodasi dan Makan Minum</t>
  </si>
  <si>
    <t>Informasi dan Komunikasi</t>
  </si>
  <si>
    <t>JPK</t>
  </si>
  <si>
    <t>Jasa Keuangan dan Asuransi</t>
  </si>
  <si>
    <t>ADP</t>
  </si>
  <si>
    <t>JKL</t>
  </si>
  <si>
    <t>RE</t>
  </si>
  <si>
    <t>JL</t>
  </si>
  <si>
    <t>Jasa Lainnya</t>
  </si>
  <si>
    <t>Jasa lainnya</t>
  </si>
  <si>
    <t>Constrained</t>
  </si>
  <si>
    <t>Unconstrained</t>
  </si>
  <si>
    <t>RateUnconstrained</t>
  </si>
  <si>
    <t>TenagaKerja</t>
  </si>
  <si>
    <t>Lapangan Usaha</t>
  </si>
  <si>
    <t>YoY 2021 (%)</t>
  </si>
  <si>
    <t>YoY 2022 (%)</t>
  </si>
  <si>
    <t>YoY 2023 (%)</t>
  </si>
  <si>
    <t>YoY 2024 (%)</t>
  </si>
  <si>
    <t>YoY 2025 (%)</t>
  </si>
  <si>
    <t>Rata-Rata YoY (%)</t>
  </si>
  <si>
    <t>CAGR (2020-2025) (%)</t>
  </si>
  <si>
    <t>A. Pertanian, Kehutanan, dan Perikanan</t>
  </si>
  <si>
    <t>A.1 Pertanian, Peternakan, Perburuan, dan Jasa Pertanian</t>
  </si>
  <si>
    <t>B. Pertambangan dan Penggalian</t>
  </si>
  <si>
    <t>C. Industri Pengolahan</t>
  </si>
  <si>
    <t>D. Pengadaan Listrik dan Gas</t>
  </si>
  <si>
    <t>G. Perdagangan Besar dan Eceran; Reparasi Mobil dan Sepeda Motor</t>
  </si>
  <si>
    <t>H. Transportasi dan Pergudangan</t>
  </si>
  <si>
    <t>I. Penyediaan Akomodasi dan Makan Minum</t>
  </si>
  <si>
    <t>K. Jasa Keuangan dan Asuransi</t>
  </si>
  <si>
    <t>Hutan lahan kering primer</t>
  </si>
  <si>
    <t>Hutan sekunder kerapatan tinggi</t>
  </si>
  <si>
    <t>Hutan sekunder kerapatan rendah</t>
  </si>
  <si>
    <t>Hutan rawa primer</t>
  </si>
  <si>
    <t>Hutan rawa sekunder</t>
  </si>
  <si>
    <t>Hutan mangrove primer</t>
  </si>
  <si>
    <t>Hutan mangrove sekunder</t>
  </si>
  <si>
    <t>Tanaman kayu industri</t>
  </si>
  <si>
    <t>Kebun campuran</t>
  </si>
  <si>
    <t>Agroforestri kopi</t>
  </si>
  <si>
    <t>Karet agroforestri</t>
  </si>
  <si>
    <t>Karet monokultur</t>
  </si>
  <si>
    <t>Kelapa sawit skala besar</t>
  </si>
  <si>
    <t>Kelapa sawit skala kecil</t>
  </si>
  <si>
    <t>Kelapa</t>
  </si>
  <si>
    <t>Teh</t>
  </si>
  <si>
    <t>Sawah irigasi</t>
  </si>
  <si>
    <t>Sawah tadah hujan</t>
  </si>
  <si>
    <t>Tebu</t>
  </si>
  <si>
    <t>Tanaman semusim lain</t>
  </si>
  <si>
    <t>Semak belukar</t>
  </si>
  <si>
    <t>Rerumputan</t>
  </si>
  <si>
    <t>Tambang</t>
  </si>
  <si>
    <t>Lahan terbuka</t>
  </si>
  <si>
    <t>Pemukiman</t>
  </si>
  <si>
    <t>Tambak</t>
  </si>
  <si>
    <t>Tubuh air</t>
  </si>
  <si>
    <t>ID</t>
  </si>
  <si>
    <t>Land Cover</t>
  </si>
  <si>
    <t>CAGR 1</t>
  </si>
  <si>
    <t>CAGR 2</t>
  </si>
  <si>
    <t>CAGR 3</t>
  </si>
  <si>
    <t>CAGR 4</t>
  </si>
  <si>
    <t>TP</t>
  </si>
  <si>
    <t>Tanaman pangan</t>
  </si>
  <si>
    <t>Hort</t>
  </si>
  <si>
    <t>Kelapa sawit</t>
  </si>
  <si>
    <t>Perkebunan lainnya</t>
  </si>
  <si>
    <t>Jasa pertanian &amp; perburuan</t>
  </si>
  <si>
    <t>Kehutanan &amp; penebangan kayu</t>
  </si>
  <si>
    <t>Pkn</t>
  </si>
  <si>
    <t>Pertambangan migas &amp; panas bumi</t>
  </si>
  <si>
    <t>Pertambangan batubara</t>
  </si>
  <si>
    <t>PBjL</t>
  </si>
  <si>
    <t>Pertambangan bijih logam</t>
  </si>
  <si>
    <t>Pertambangan &amp; penggalian lainnya</t>
  </si>
  <si>
    <t>Industri batubara &amp; kilang migas</t>
  </si>
  <si>
    <t>Industri makanan &amp; minuman</t>
  </si>
  <si>
    <t>Industri tembakau</t>
  </si>
  <si>
    <t>Industri tekstil &amp; pakaian jadi</t>
  </si>
  <si>
    <t>IKAK</t>
  </si>
  <si>
    <t>Industri kulit &amp; alas kaki</t>
  </si>
  <si>
    <t>IKBR</t>
  </si>
  <si>
    <t>Industri kayu, bambu &amp; rotan</t>
  </si>
  <si>
    <t>Industri kertas &amp; percetakan</t>
  </si>
  <si>
    <t>Industri kimia &amp; farmasi</t>
  </si>
  <si>
    <t>IKBP</t>
  </si>
  <si>
    <t>Industri karet &amp; plastik</t>
  </si>
  <si>
    <t>Industri barang galian non-logam</t>
  </si>
  <si>
    <t>Industri logam dasar</t>
  </si>
  <si>
    <t>Industri barang logam &amp; elektronik</t>
  </si>
  <si>
    <t>IMPk</t>
  </si>
  <si>
    <t>Industri mesin &amp; perlengkapan</t>
  </si>
  <si>
    <t>Industri alat angkutan</t>
  </si>
  <si>
    <t>Industri furnitur</t>
  </si>
  <si>
    <t>IPLR</t>
  </si>
  <si>
    <t>Industri lainnya &amp; reparasi mesin</t>
  </si>
  <si>
    <t>Lstr</t>
  </si>
  <si>
    <t>Pengadaan gas &amp; produksi es</t>
  </si>
  <si>
    <t>PASL</t>
  </si>
  <si>
    <t>Air, sampah &amp; daur ulang</t>
  </si>
  <si>
    <t>Pengadaan Air; Pengelolaan Sampah, Limbah, dan Daur Ulang</t>
  </si>
  <si>
    <t>PMSM</t>
  </si>
  <si>
    <t>Perdagangan &amp; reparasi kendaraan</t>
  </si>
  <si>
    <t>Perdagangan besar &amp; eceran</t>
  </si>
  <si>
    <t>Angkutan rel</t>
  </si>
  <si>
    <t>Angkutan darat</t>
  </si>
  <si>
    <t>Angkutan laut</t>
  </si>
  <si>
    <t>ASDP</t>
  </si>
  <si>
    <t>Angkutan sungai, danau &amp; penyeberangan</t>
  </si>
  <si>
    <t>Angkutan udara</t>
  </si>
  <si>
    <t>PJPA</t>
  </si>
  <si>
    <t>Pergudangan, penunjang angkutan &amp; kurir</t>
  </si>
  <si>
    <t>Akm</t>
  </si>
  <si>
    <t>Akomodasi</t>
  </si>
  <si>
    <t>Penyediaan makan &amp; minum</t>
  </si>
  <si>
    <t>Infokom</t>
  </si>
  <si>
    <t>Informasi &amp; komunikasi</t>
  </si>
  <si>
    <t>Perantara keuangan</t>
  </si>
  <si>
    <t>Asuransi &amp; dana pensiun</t>
  </si>
  <si>
    <t>Jasa keuangan lainnya</t>
  </si>
  <si>
    <t>JPKu</t>
  </si>
  <si>
    <t>Jasa penunjang keuangan</t>
  </si>
  <si>
    <t>Real estat</t>
  </si>
  <si>
    <t>Real Estat</t>
  </si>
  <si>
    <t>JP</t>
  </si>
  <si>
    <t>Jasa perusahaan</t>
  </si>
  <si>
    <t>APPJ</t>
  </si>
  <si>
    <t>Administrasi pemerintahan &amp; pertahanan</t>
  </si>
  <si>
    <t>Administrasi Pemerintahan, Pertahanan, dan Jaminan Sosial Wajib</t>
  </si>
  <si>
    <t>JPdk</t>
  </si>
  <si>
    <t>Jasa pendidikan</t>
  </si>
  <si>
    <t>JKKS</t>
  </si>
  <si>
    <t>Kesehatan &amp; kegiatan sosial</t>
  </si>
  <si>
    <t>SLTJ</t>
  </si>
  <si>
    <t>Sektor lainnya</t>
  </si>
  <si>
    <t>Tanaman Hortikultura</t>
  </si>
  <si>
    <t xml:space="preserve">Kehutanan </t>
  </si>
  <si>
    <t>PENJELASAN</t>
  </si>
  <si>
    <t>SUM</t>
  </si>
  <si>
    <t>Peruntukan Lainnya</t>
  </si>
  <si>
    <r>
      <rPr>
        <b/>
        <sz val="11"/>
        <color theme="1"/>
        <rFont val="Calibri"/>
        <family val="2"/>
        <scheme val="minor"/>
      </rPr>
      <t>Petunjuk Pengisian</t>
    </r>
    <r>
      <rPr>
        <sz val="11"/>
        <color theme="1"/>
        <rFont val="Calibri"/>
        <family val="2"/>
        <scheme val="minor"/>
      </rPr>
      <t xml:space="preserve">
1. Baris menunjukkan jenis tutupan lahan, sedangkan kolom menunjukkan jenis komoditas.
2. Pilih satu baris tutupan lahan, misalnya karet agroforestri.
3. Periksa setiap kolom untuk menentukan komoditas apa saja yang terdapat pada tutupan lahan tersebut dan perkirakan persentase luasnya.
4. Ulangi langkah yang sama untuk seluruh jenis tutupan lahan.
5. Periksa kolom SUM. Total persentase pada setiap baris harus 100% (atau 1 dalam format desimal).
</t>
    </r>
    <r>
      <rPr>
        <b/>
        <sz val="11"/>
        <color theme="1"/>
        <rFont val="Calibri"/>
        <family val="2"/>
        <scheme val="minor"/>
      </rPr>
      <t>Contoh Pengisian</t>
    </r>
    <r>
      <rPr>
        <sz val="11"/>
        <color theme="1"/>
        <rFont val="Calibri"/>
        <family val="2"/>
        <scheme val="minor"/>
      </rPr>
      <t xml:space="preserve">
Pada tutupan lahan karet agroforestri:
- Karet: 50%
- Tanaman pangan (misalnya jagung): 5%
- Tanaman perkebunan lainnya: 10%
- Peruntukan lainnya: 35%
Interpretasi: Tutupan lahan karet agroforestri terdiri atas 50% karet, 5% tanaman pangan, 10% tanaman perkebunan lainnya, dan 35% sisanya adalah peruntukan lainnya.</t>
    </r>
  </si>
  <si>
    <t>BAU_Lahan</t>
  </si>
  <si>
    <t>LAS_Lahan</t>
  </si>
  <si>
    <t>FROM</t>
  </si>
  <si>
    <t>TO</t>
  </si>
  <si>
    <t>sum baris</t>
  </si>
  <si>
    <t>Rasio Ekspor thd Total Output Sektoral</t>
  </si>
  <si>
    <t>NTB</t>
  </si>
  <si>
    <t>Rasio NTB thd Total Output</t>
  </si>
  <si>
    <t>NTB to Kuartil NTB</t>
  </si>
  <si>
    <t>ITFL</t>
  </si>
  <si>
    <t>ITBL</t>
  </si>
  <si>
    <t>Linkage Kuadran</t>
  </si>
  <si>
    <t>MEDIAN</t>
  </si>
  <si>
    <t>Min</t>
  </si>
  <si>
    <t>Q1</t>
  </si>
  <si>
    <t>Q2</t>
  </si>
  <si>
    <t>Q3</t>
  </si>
  <si>
    <t>Max</t>
  </si>
  <si>
    <t>ID_Sektor</t>
  </si>
  <si>
    <t>Nama_Sektor</t>
  </si>
  <si>
    <t>DBL</t>
  </si>
  <si>
    <t>DFL</t>
  </si>
  <si>
    <t>TBL</t>
  </si>
  <si>
    <t>TFL</t>
  </si>
  <si>
    <t>Kuadran</t>
  </si>
  <si>
    <t>Kategori</t>
  </si>
  <si>
    <t>K4 (BL Rendah, FL Rendah)</t>
  </si>
  <si>
    <t>Sektor Lemah / Terisolasi (Weak Sector)</t>
  </si>
  <si>
    <t>K1 (BL Tinggi, FL Tinggi)</t>
  </si>
  <si>
    <t>Sektor Kunci (Key Sector)</t>
  </si>
  <si>
    <t>K3 (BL Rendah, FL Tinggi)</t>
  </si>
  <si>
    <t>Sektor Pendukung Hilir (Forward-Oriented)</t>
  </si>
  <si>
    <t>K2 (BL Tinggi, FL Rendah)</t>
  </si>
  <si>
    <t>Sektor Pendorong Hulu (Backward-Oriented)</t>
  </si>
  <si>
    <t>Sumatera Selatan</t>
  </si>
  <si>
    <t>(dalam ribu jiwa)</t>
  </si>
  <si>
    <t>Sumber</t>
  </si>
  <si>
    <t>BPS (2023). Proyeksi Penduduk Indonesia 2020–2050 Hasil Sensus Penduduk 2020. No. Katalog 2101040, No. Publikasi 04100.2304, rilis 16 Mei 2023. https://www.bps.go.id/id/publication/2023/05/16/fad83131cd3bb9be3bb2a657/proyeksi-penduduk-indonesia-2020-2050-hasil-sensus-penduduk-2020.html</t>
  </si>
  <si>
    <t>populasiPenduduk</t>
  </si>
  <si>
    <t>Year</t>
  </si>
  <si>
    <t>Populasi</t>
  </si>
  <si>
    <t>Rasio Total Input Antara thd Total Output Sektoral</t>
  </si>
  <si>
    <r>
      <t>1. Luas agroforestri di lahan terdegradasi dalam areal HTI (ha)</t>
    </r>
    <r>
      <rPr>
        <sz val="10"/>
        <color rgb="FF000000"/>
        <rFont val="Arial"/>
        <family val="2"/>
      </rPr>
      <t> </t>
    </r>
  </si>
  <si>
    <t>1. Luas area Perhutanan Sosial yang dialokasikan untuk desa tertinggal bertambah (ha)</t>
  </si>
  <si>
    <r>
      <t>3. Luas agroforestri pada lahan bekas kebakaran yang</t>
    </r>
    <r>
      <rPr>
        <strike/>
        <sz val="8"/>
        <color rgb="FF000000"/>
        <rFont val="Arial"/>
        <family val="2"/>
      </rPr>
      <t xml:space="preserve"> </t>
    </r>
    <r>
      <rPr>
        <sz val="8"/>
        <color rgb="FF000000"/>
        <rFont val="Arial"/>
        <family val="2"/>
      </rPr>
      <t xml:space="preserve"> direhabilitasi bertambah (ha)</t>
    </r>
  </si>
  <si>
    <t>1. Luas lahan basah/paludikultur, perikanan rawa dan agroforestry di lahan gambut fungsi budidaya bertambah  (ha).</t>
  </si>
  <si>
    <t>1. Luas areal HCV/HCS terdegradasi yang direhabilitasi (ha) bertambah</t>
  </si>
  <si>
    <t>4.6 Hilirisasi hijau berbasis LCA  (Life Cycle Assesement) sederhana, energi bersih, dan pembagian manfaat lokal.</t>
  </si>
  <si>
    <t>5.2  Investasi industri hilir kopi dan perbaikan infrastruktur transportasi menghubungkan rantai nilai suplai dengan industri strategis</t>
  </si>
  <si>
    <t>5.3  Investasi industri hilir karet dan perbaikan infrastruktur transportasi menghubungkan rantai nilai suplai crumb rubber dengan industri strategis</t>
  </si>
  <si>
    <t>5.4  Investasi industri hilir sawit dan perbaikan infrastruktur transportasi menghubungkan rantai nilai suplai CPO dengan industri strategis</t>
  </si>
  <si>
    <t>Rasio konsumsi RT thd Total Output Sektoral</t>
  </si>
  <si>
    <t>Rasio konsumsi pemerintah thd Total Output Sektoral</t>
  </si>
  <si>
    <t>Rasio Total Inventori thd Total Output Sektoral</t>
  </si>
  <si>
    <t>Rasio PMTB thd Total Output Sektoral</t>
  </si>
  <si>
    <t>COLOMN</t>
  </si>
  <si>
    <t>KOPI AF</t>
  </si>
  <si>
    <t>KARET AF</t>
  </si>
  <si>
    <t>KARET MONO</t>
  </si>
  <si>
    <t>SAWIT SMALLHOLDER</t>
  </si>
  <si>
    <t>SAWAH IRIGASI</t>
  </si>
  <si>
    <t>SAWAH TADAH HUJAN</t>
  </si>
  <si>
    <t>TAMBAK</t>
  </si>
  <si>
    <t>BAU</t>
  </si>
  <si>
    <t>MI</t>
  </si>
  <si>
    <t>%kenaikan EAE yoy</t>
  </si>
  <si>
    <t>%kenaikan EAE per 5 th</t>
  </si>
  <si>
    <t>%Luasan yang menerapkan</t>
  </si>
  <si>
    <t>% yang diterapkan di Stype2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</si>
</sst>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64" formatCode="_(* #,##0.00_);_(* \(#,##0.00\);_(* &quot;-&quot;??_);_(@_)"/>
    <numFmt numFmtId="165" formatCode="_(* #,##0_);_(* \(#,##0\);_(* &quot;-&quot;??_);_(@_)"/>
    <numFmt numFmtId="166" formatCode="0.0"/>
    <numFmt numFmtId="167" formatCode="_-* #,##0.0000_-;\-* #,##0.0000_-;_-* &quot;-&quot;_-;_-@_-"/>
    <numFmt numFmtId="168" formatCode="0.000000"/>
  </numFmts>
  <fonts count="9">
    <font>
      <sz val="11"/>
      <color theme="1"/>
      <name val="Calibri"/>
      <family val="2"/>
      <scheme val="minor"/>
    </font>
    <font>
      <b/>
      <sz val="11"/>
      <color theme="1"/>
      <name val="Calibri"/>
      <family val="2"/>
      <scheme val="minor"/>
    </font>
    <font>
      <sz val="11"/>
      <color theme="1"/>
      <name val="Calibri"/>
      <family val="2"/>
      <scheme val="minor"/>
    </font>
    <font>
      <b/>
      <sz val="11"/>
      <name val="Carlito"/>
    </font>
    <font>
      <sz val="11"/>
      <name val="Calibri"/>
      <family val="2"/>
      <scheme val="minor"/>
    </font>
    <font>
      <sz val="12"/>
      <color theme="1"/>
      <name val="Calibri"/>
      <family val="2"/>
      <scheme val="minor"/>
    </font>
    <font>
      <sz val="8"/>
      <color rgb="FF000000"/>
      <name val="Arial"/>
      <family val="2"/>
    </font>
    <font>
      <sz val="10"/>
      <color rgb="FF000000"/>
      <name val="Arial"/>
      <family val="2"/>
    </font>
    <font>
      <strike/>
      <sz val="8"/>
      <color rgb="FF000000"/>
      <name val="Arial"/>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0"/>
        <bgColor indexed="64"/>
      </patternFill>
    </fill>
    <fill>
      <patternFill patternType="solid">
        <fgColor theme="5"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medium">
        <color rgb="FF999999"/>
      </right>
      <top/>
      <bottom/>
      <diagonal/>
    </border>
  </borders>
  <cellStyleXfs count="8">
    <xf numFmtId="0" fontId="0" fillId="0" borderId="0"/>
    <xf numFmtId="164"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41" fontId="2" fillId="0" borderId="0" applyFont="0" applyFill="0" applyBorder="0" applyAlignment="0" applyProtection="0"/>
    <xf numFmtId="0" fontId="5" fillId="0" borderId="0"/>
    <xf numFmtId="0" fontId="2" fillId="0" borderId="0"/>
    <xf numFmtId="0" fontId="2" fillId="0" borderId="0"/>
  </cellStyleXfs>
  <cellXfs count="57">
    <xf numFmtId="0" fontId="0" fillId="0" borderId="0" xfId="0"/>
    <xf numFmtId="0" fontId="1" fillId="0" borderId="0" xfId="0" applyFont="1" applyAlignment="1">
      <alignment horizontal="center"/>
    </xf>
    <xf numFmtId="3" fontId="0" fillId="0" borderId="0" xfId="0" applyNumberFormat="1"/>
    <xf numFmtId="10" fontId="0" fillId="0" borderId="0" xfId="0" applyNumberFormat="1"/>
    <xf numFmtId="0" fontId="0" fillId="2" borderId="0" xfId="0" applyFill="1"/>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10" fontId="0" fillId="3" borderId="0" xfId="3" applyNumberFormat="1" applyFont="1" applyFill="1"/>
    <xf numFmtId="10" fontId="0" fillId="4" borderId="0" xfId="3" applyNumberFormat="1" applyFont="1" applyFill="1"/>
    <xf numFmtId="10" fontId="0" fillId="5" borderId="0" xfId="3" applyNumberFormat="1" applyFont="1" applyFill="1"/>
    <xf numFmtId="10" fontId="0" fillId="6" borderId="0" xfId="3" applyNumberFormat="1" applyFont="1" applyFill="1"/>
    <xf numFmtId="165" fontId="3" fillId="0" borderId="0" xfId="1" applyNumberFormat="1" applyFont="1"/>
    <xf numFmtId="166" fontId="0" fillId="4" borderId="0" xfId="0" applyNumberFormat="1" applyFill="1"/>
    <xf numFmtId="166" fontId="0" fillId="5" borderId="0" xfId="0" applyNumberFormat="1" applyFill="1"/>
    <xf numFmtId="0" fontId="0" fillId="6" borderId="0" xfId="0" applyFill="1"/>
    <xf numFmtId="165" fontId="0" fillId="0" borderId="0" xfId="1" applyNumberFormat="1" applyFont="1"/>
    <xf numFmtId="166" fontId="0" fillId="3" borderId="0" xfId="0" applyNumberFormat="1" applyFill="1"/>
    <xf numFmtId="164" fontId="0" fillId="6" borderId="0" xfId="1" applyFont="1" applyFill="1"/>
    <xf numFmtId="9" fontId="0" fillId="0" borderId="0" xfId="2" applyFont="1"/>
    <xf numFmtId="10" fontId="0" fillId="0" borderId="0" xfId="2" applyNumberFormat="1" applyFont="1"/>
    <xf numFmtId="0" fontId="0" fillId="0" borderId="0" xfId="0" applyAlignment="1">
      <alignment horizontal="left" vertical="top" wrapText="1"/>
    </xf>
    <xf numFmtId="0" fontId="0" fillId="3" borderId="0" xfId="0" applyFill="1"/>
    <xf numFmtId="0" fontId="0" fillId="0" borderId="1" xfId="0" applyBorder="1"/>
    <xf numFmtId="0" fontId="0" fillId="7" borderId="1" xfId="0" applyFill="1" applyBorder="1"/>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165" fontId="0" fillId="0" borderId="0" xfId="0" applyNumberFormat="1"/>
    <xf numFmtId="0" fontId="0" fillId="0" borderId="0" xfId="1" applyNumberFormat="1" applyFont="1"/>
    <xf numFmtId="2" fontId="0" fillId="0" borderId="0" xfId="1" applyNumberFormat="1" applyFont="1"/>
    <xf numFmtId="164" fontId="0" fillId="0" borderId="0" xfId="1" applyFont="1"/>
    <xf numFmtId="164" fontId="0" fillId="0" borderId="0" xfId="0" applyNumberFormat="1"/>
    <xf numFmtId="0" fontId="0" fillId="9" borderId="0" xfId="0" applyFill="1"/>
    <xf numFmtId="0" fontId="0" fillId="10" borderId="0" xfId="0" applyFill="1"/>
    <xf numFmtId="0" fontId="0" fillId="11" borderId="0" xfId="0" applyFill="1"/>
    <xf numFmtId="2" fontId="0" fillId="0" borderId="0" xfId="0" applyNumberFormat="1"/>
    <xf numFmtId="0" fontId="1" fillId="0" borderId="0" xfId="0" applyFont="1" applyAlignment="1">
      <alignment horizontal="center" vertical="center" wrapText="1"/>
    </xf>
    <xf numFmtId="0" fontId="0" fillId="0" borderId="0" xfId="0" applyAlignment="1">
      <alignment horizontal="center" vertical="center" wrapText="1"/>
    </xf>
    <xf numFmtId="9" fontId="0" fillId="0" borderId="0" xfId="0" applyNumberFormat="1"/>
    <xf numFmtId="0" fontId="4" fillId="0" borderId="0" xfId="0" applyFont="1"/>
    <xf numFmtId="0" fontId="5" fillId="0" borderId="0" xfId="5"/>
    <xf numFmtId="167" fontId="0" fillId="0" borderId="0" xfId="4" applyNumberFormat="1" applyFont="1"/>
    <xf numFmtId="168" fontId="0" fillId="0" borderId="0" xfId="0" applyNumberFormat="1"/>
    <xf numFmtId="41" fontId="0" fillId="3" borderId="0" xfId="4" applyFont="1" applyFill="1"/>
    <xf numFmtId="0" fontId="0" fillId="0" borderId="0" xfId="6" applyFont="1"/>
    <xf numFmtId="0" fontId="1" fillId="0" borderId="0" xfId="6" applyFont="1" applyAlignment="1">
      <alignment horizontal="center"/>
    </xf>
    <xf numFmtId="0" fontId="0" fillId="7" borderId="0" xfId="0" applyFill="1"/>
    <xf numFmtId="0" fontId="6" fillId="0" borderId="2" xfId="0" applyFont="1" applyBorder="1" applyAlignment="1">
      <alignment vertical="center" wrapText="1"/>
    </xf>
    <xf numFmtId="0" fontId="6" fillId="0" borderId="3" xfId="0" applyFont="1" applyBorder="1" applyAlignment="1">
      <alignment vertical="center" wrapText="1"/>
    </xf>
    <xf numFmtId="0" fontId="6" fillId="12" borderId="2" xfId="0" applyFont="1" applyFill="1" applyBorder="1" applyAlignment="1">
      <alignment vertical="center" wrapText="1"/>
    </xf>
    <xf numFmtId="0" fontId="0" fillId="0" borderId="0" xfId="0" applyAlignment="1">
      <alignment horizontal="center" vertical="center" wrapText="1"/>
    </xf>
    <xf numFmtId="0" fontId="0" fillId="8" borderId="0" xfId="0" applyFill="1" applyAlignment="1">
      <alignment horizontal="left" vertical="top" wrapText="1"/>
    </xf>
    <xf numFmtId="0" fontId="0" fillId="0" borderId="0" xfId="0" applyAlignment="1">
      <alignment horizontal="right"/>
    </xf>
    <xf numFmtId="9" fontId="0" fillId="3" borderId="0" xfId="2" applyFont="1" applyFill="1"/>
    <xf numFmtId="9" fontId="0" fillId="0" borderId="0" xfId="2" applyFont="1" applyFill="1"/>
  </cellXfs>
  <cellStyles count="8">
    <cellStyle name="Comma" xfId="1" builtinId="3"/>
    <cellStyle name="Comma [0]" xfId="4" builtinId="6"/>
    <cellStyle name="Normal" xfId="0" builtinId="0"/>
    <cellStyle name="Normal 2" xfId="5" xr:uid="{A2EADB92-2DFE-44B8-87E6-C123FB00C750}"/>
    <cellStyle name="Normal 2 3" xfId="7" xr:uid="{3C783B57-AF3C-4380-AF31-C706A2131C5F}"/>
    <cellStyle name="Normal 7 2" xfId="6" xr:uid="{9245ED3E-2F9C-4654-ADC8-7776AE9269B4}"/>
    <cellStyle name="Percent" xfId="2" builtinId="5"/>
    <cellStyle name="Percent 4" xfId="3" xr:uid="{55CAE965-2F00-49A9-B634-D67426DC963D}"/>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Proyeksi Populasi Sumatera Selatan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Populasi!$A$2</c:f>
              <c:strCache>
                <c:ptCount val="1"/>
                <c:pt idx="0">
                  <c:v>Sumatera Selatan</c:v>
                </c:pt>
              </c:strCache>
            </c:strRef>
          </c:tx>
          <c:spPr>
            <a:ln w="28575" cap="rnd">
              <a:solidFill>
                <a:schemeClr val="accent1"/>
              </a:solidFill>
              <a:round/>
            </a:ln>
            <a:effectLst/>
          </c:spPr>
          <c:marker>
            <c:symbol val="none"/>
          </c:marker>
          <c:cat>
            <c:numRef>
              <c:f>Populasi!$B$1:$AA$1</c:f>
              <c:numCache>
                <c:formatCode>General</c:formatCode>
                <c:ptCount val="26"/>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numCache>
            </c:numRef>
          </c:cat>
          <c:val>
            <c:numRef>
              <c:f>Populasi!$B$2:$AA$2</c:f>
              <c:numCache>
                <c:formatCode>_(* #,##0_);_(* \(#,##0\);_(* "-"_);_(@_)</c:formatCode>
                <c:ptCount val="26"/>
                <c:pt idx="0">
                  <c:v>8447760</c:v>
                </c:pt>
                <c:pt idx="1">
                  <c:v>8548610</c:v>
                </c:pt>
                <c:pt idx="2">
                  <c:v>8647260</c:v>
                </c:pt>
                <c:pt idx="3">
                  <c:v>8743520</c:v>
                </c:pt>
                <c:pt idx="4">
                  <c:v>8837300</c:v>
                </c:pt>
                <c:pt idx="5">
                  <c:v>8928520</c:v>
                </c:pt>
                <c:pt idx="6">
                  <c:v>9017140</c:v>
                </c:pt>
                <c:pt idx="7">
                  <c:v>9103180</c:v>
                </c:pt>
                <c:pt idx="8">
                  <c:v>9186600</c:v>
                </c:pt>
                <c:pt idx="9">
                  <c:v>9267400</c:v>
                </c:pt>
                <c:pt idx="10">
                  <c:v>9345650</c:v>
                </c:pt>
                <c:pt idx="11">
                  <c:v>9421670</c:v>
                </c:pt>
                <c:pt idx="12">
                  <c:v>9495790</c:v>
                </c:pt>
                <c:pt idx="13">
                  <c:v>9568080</c:v>
                </c:pt>
                <c:pt idx="14">
                  <c:v>9638580</c:v>
                </c:pt>
                <c:pt idx="15">
                  <c:v>9707360</c:v>
                </c:pt>
                <c:pt idx="16">
                  <c:v>9774490</c:v>
                </c:pt>
                <c:pt idx="17">
                  <c:v>9839900</c:v>
                </c:pt>
                <c:pt idx="18">
                  <c:v>9903640</c:v>
                </c:pt>
                <c:pt idx="19">
                  <c:v>9965680</c:v>
                </c:pt>
                <c:pt idx="20">
                  <c:v>10025960</c:v>
                </c:pt>
                <c:pt idx="21">
                  <c:v>10084270</c:v>
                </c:pt>
                <c:pt idx="22">
                  <c:v>10140350</c:v>
                </c:pt>
                <c:pt idx="23">
                  <c:v>10194060</c:v>
                </c:pt>
                <c:pt idx="24">
                  <c:v>10245340</c:v>
                </c:pt>
                <c:pt idx="25">
                  <c:v>10294090</c:v>
                </c:pt>
              </c:numCache>
            </c:numRef>
          </c:val>
          <c:smooth val="0"/>
          <c:extLst>
            <c:ext xmlns:c16="http://schemas.microsoft.com/office/drawing/2014/chart" uri="{C3380CC4-5D6E-409C-BE32-E72D297353CC}">
              <c16:uniqueId val="{00000000-0751-47A7-8D4B-759F9F45E807}"/>
            </c:ext>
          </c:extLst>
        </c:ser>
        <c:dLbls>
          <c:showLegendKey val="0"/>
          <c:showVal val="0"/>
          <c:showCatName val="0"/>
          <c:showSerName val="0"/>
          <c:showPercent val="0"/>
          <c:showBubbleSize val="0"/>
        </c:dLbls>
        <c:smooth val="0"/>
        <c:axId val="1267351664"/>
        <c:axId val="1772261328"/>
      </c:lineChart>
      <c:catAx>
        <c:axId val="126735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261328"/>
        <c:crosses val="autoZero"/>
        <c:auto val="1"/>
        <c:lblAlgn val="ctr"/>
        <c:lblOffset val="100"/>
        <c:noMultiLvlLbl val="0"/>
      </c:catAx>
      <c:valAx>
        <c:axId val="1772261328"/>
        <c:scaling>
          <c:orientation val="minMax"/>
          <c:min val="800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3516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187325</xdr:colOff>
      <xdr:row>10</xdr:row>
      <xdr:rowOff>120650</xdr:rowOff>
    </xdr:from>
    <xdr:to>
      <xdr:col>23</xdr:col>
      <xdr:colOff>485775</xdr:colOff>
      <xdr:row>25</xdr:row>
      <xdr:rowOff>101600</xdr:rowOff>
    </xdr:to>
    <xdr:graphicFrame macro="">
      <xdr:nvGraphicFramePr>
        <xdr:cNvPr id="2" name="Chart 1">
          <a:extLst>
            <a:ext uri="{FF2B5EF4-FFF2-40B4-BE49-F238E27FC236}">
              <a16:creationId xmlns:a16="http://schemas.microsoft.com/office/drawing/2014/main" id="{5DE55DB3-9B5B-459D-BA04-F27C9C5404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Bodro, Dewi Kiswani" id="{1E0218AF-CD26-4723-9CFA-0E0C435498F2}" userId="D.Bodro@landscapealliance.org" providerId="PeoplePicker"/>
  <person displayName="Bodro, Dewi Kiswani" id="{673AAE25-CD36-4753-B5CD-4539A5C20CB7}" userId="S::D.Bodro@landscapealliance.org::df9ac6eb-875f-466d-bb2f-5fab749b1d0c" providerId="AD"/>
  <person displayName="Naufal, Muhammad" id="{C6D7FE5E-20EC-4C06-9227-F343188A899A}" userId="S::M.Naufal@landscapealliance.org::004dc218-151e-4645-8265-d7a1561d8d75"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10-15T02:26:31.21" personId="{C6D7FE5E-20EC-4C06-9227-F343188A899A}" id="{B31E7D7F-6DB0-4CF8-B571-C3462BB1F32D}">
    <text>@Bodro, Dewi Kiswani Sudah aku update ya mbak untuk persentasenya, terutama yg pengeluaran pemerintah maksimal 10% hingga akhir periode</text>
    <mentions>
      <mention mentionpersonId="{1E0218AF-CD26-4723-9CFA-0E0C435498F2}" mentionId="{443DDB0D-07D0-45F8-BE8F-6EEAE0AF7D09}" startIndex="0" length="20"/>
    </mentions>
  </threadedComment>
  <threadedComment ref="A1" dT="2026-10-15T02:33:04.24" personId="{673AAE25-CD36-4753-B5CD-4539A5C20CB7}" id="{62A979F2-C514-4B23-8AA3-03C033B2B679}" parentId="{B31E7D7F-6DB0-4CF8-B571-C3462BB1F32D}">
    <text>Sip suwun. Ku running pke ini</text>
  </threadedComment>
</ThreadedComment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BQ64"/>
  <sheetViews>
    <sheetView topLeftCell="A52" zoomScale="58" workbookViewId="0">
      <selection activeCell="BC11" sqref="BC11"/>
    </sheetView>
  </sheetViews>
  <sheetFormatPr defaultRowHeight="14.5"/>
  <cols>
    <col min="2" max="2" width="82" bestFit="1" customWidth="1"/>
    <col min="47" max="57" width="8.81640625" bestFit="1" customWidth="1"/>
    <col min="58" max="59" width="12" bestFit="1" customWidth="1"/>
    <col min="60" max="61" width="8.81640625" bestFit="1" customWidth="1"/>
    <col min="62" max="62" width="11.54296875" bestFit="1" customWidth="1"/>
    <col min="63" max="63" width="12" bestFit="1" customWidth="1"/>
    <col min="64" max="64" width="10.90625" bestFit="1" customWidth="1"/>
    <col min="65" max="65" width="13.08984375" bestFit="1" customWidth="1"/>
    <col min="66" max="66" width="8.81640625" bestFit="1" customWidth="1"/>
  </cols>
  <sheetData>
    <row r="1" spans="1:69" s="1" customForma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spans="1:69">
      <c r="A2" t="s">
        <v>2</v>
      </c>
      <c r="B2"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row>
    <row r="3" spans="1:69">
      <c r="A3" t="s">
        <v>3</v>
      </c>
      <c r="B3"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row>
    <row r="4" spans="1:69">
      <c r="A4" t="s">
        <v>4</v>
      </c>
      <c r="B4"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row>
    <row r="5" spans="1:69">
      <c r="A5" t="s">
        <v>5</v>
      </c>
      <c r="B5"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row>
    <row r="6" spans="1:69">
      <c r="A6" t="s">
        <v>6</v>
      </c>
      <c r="B6"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row>
    <row r="7" spans="1:69">
      <c r="A7" t="s">
        <v>7</v>
      </c>
      <c r="B7"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row>
    <row r="8" spans="1:69">
      <c r="A8" t="s">
        <v>8</v>
      </c>
      <c r="B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row>
    <row r="9" spans="1:69">
      <c r="A9" t="s">
        <v>9</v>
      </c>
      <c r="B9"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row>
    <row r="10" spans="1:69">
      <c r="A10" t="s">
        <v>10</v>
      </c>
      <c r="B10"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row>
    <row r="11" spans="1:69">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row>
    <row r="12" spans="1:69">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row>
    <row r="13" spans="1:69">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row>
    <row r="14" spans="1:69">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row>
    <row r="15" spans="1:69">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row>
    <row r="16" spans="1:69">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row>
    <row r="17" spans="1:69">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row>
    <row r="18" spans="1:69">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row>
    <row r="19" spans="1:69">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row>
    <row r="20" spans="1:69">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row>
    <row r="21" spans="1:69">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row>
    <row r="22" spans="1:69">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row>
    <row r="23" spans="1:69">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row>
    <row r="24" spans="1:69">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row>
    <row r="25" spans="1:69">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row>
    <row r="26" spans="1:69">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row>
    <row r="27" spans="1:69">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row>
    <row r="28" spans="1:69">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row>
    <row r="29" spans="1:69">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row>
    <row r="30" spans="1:69">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row>
    <row r="31" spans="1:69">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row>
    <row r="32" spans="1:69">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row>
    <row r="33" spans="1:69">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row>
    <row r="34" spans="1:69">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row>
    <row r="35" spans="1:69">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row>
    <row r="36" spans="1:69">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row>
    <row r="37" spans="1:69">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row>
    <row r="38" spans="1:69">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row>
    <row r="39" spans="1:69">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row>
    <row r="40" spans="1:69">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row>
    <row r="41" spans="1:69">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row>
    <row r="42" spans="1:69">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row>
    <row r="43" spans="1:69">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row>
    <row r="44" spans="1:69">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row>
    <row r="45" spans="1:69">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row>
    <row r="46" spans="1:69">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row>
    <row r="47" spans="1:69">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row>
    <row r="48" spans="1:69">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row>
    <row r="49" spans="1:69">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row>
    <row r="50" spans="1:69">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row>
    <row r="51" spans="1:69">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row>
    <row r="52" spans="1:69">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row>
    <row r="53" spans="1:69">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row>
    <row r="54" spans="1:69">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row>
    <row r="55" spans="1:69">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row>
    <row r="56" spans="1:69">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row>
    <row r="57" spans="1:69">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69">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row>
    <row r="59" spans="1:69">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row>
    <row r="60" spans="1:69">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row>
    <row r="61" spans="1:69">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row>
    <row r="62" spans="1:69">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row>
    <row r="63" spans="1:69">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row>
    <row r="64" spans="1:69">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004D5-CA3E-4CBE-80D3-4CF240C45F08}">
  <sheetPr>
    <tabColor rgb="FFFFFF00"/>
  </sheetPr>
  <dimension ref="A1:CQ64"/>
  <sheetViews>
    <sheetView zoomScale="62" workbookViewId="0">
      <pane xSplit="2" ySplit="1" topLeftCell="BW2" activePane="bottomRight" state="frozen"/>
      <selection pane="topRight" activeCell="C1" sqref="C1"/>
      <selection pane="bottomLeft" activeCell="A2" sqref="A2"/>
      <selection pane="bottomRight" activeCell="CD6" sqref="CD6"/>
    </sheetView>
  </sheetViews>
  <sheetFormatPr defaultRowHeight="14.5"/>
  <cols>
    <col min="2" max="2" width="82" bestFit="1" customWidth="1"/>
    <col min="46" max="47" width="12.1796875" bestFit="1" customWidth="1"/>
    <col min="48" max="49" width="11.08984375" bestFit="1" customWidth="1"/>
    <col min="50" max="50" width="8.81640625" bestFit="1" customWidth="1"/>
    <col min="51" max="51" width="12.1796875" bestFit="1" customWidth="1"/>
    <col min="52" max="52" width="11.08984375" bestFit="1" customWidth="1"/>
    <col min="53" max="54" width="12.1796875" bestFit="1" customWidth="1"/>
    <col min="55" max="56" width="11.08984375" bestFit="1" customWidth="1"/>
    <col min="57" max="57" width="8.81640625" bestFit="1" customWidth="1"/>
    <col min="58" max="59" width="13.36328125" bestFit="1" customWidth="1"/>
    <col min="60" max="60" width="11.1796875" bestFit="1" customWidth="1"/>
    <col min="61" max="61" width="13.36328125" bestFit="1" customWidth="1"/>
    <col min="62" max="62" width="11.81640625" bestFit="1" customWidth="1"/>
    <col min="63" max="63" width="12.1796875" bestFit="1" customWidth="1"/>
    <col min="64" max="65" width="13.36328125" bestFit="1" customWidth="1"/>
    <col min="66" max="66" width="11.08984375" bestFit="1" customWidth="1"/>
    <col min="67" max="67" width="8.90625" bestFit="1" customWidth="1"/>
    <col min="68" max="69" width="13.36328125" bestFit="1" customWidth="1"/>
    <col min="71" max="75" width="13.08984375" customWidth="1"/>
    <col min="76" max="79" width="11.81640625" customWidth="1"/>
    <col min="80" max="80" width="24.1796875" bestFit="1" customWidth="1"/>
    <col min="81" max="87" width="9.36328125" customWidth="1"/>
  </cols>
  <sheetData>
    <row r="1" spans="1:95" s="38" customFormat="1" ht="87">
      <c r="A1" s="38" t="s">
        <v>0</v>
      </c>
      <c r="B1" s="38" t="s">
        <v>1</v>
      </c>
      <c r="C1" s="38" t="s">
        <v>2</v>
      </c>
      <c r="D1" s="38" t="s">
        <v>3</v>
      </c>
      <c r="E1" s="38" t="s">
        <v>4</v>
      </c>
      <c r="F1" s="38" t="s">
        <v>5</v>
      </c>
      <c r="G1" s="38" t="s">
        <v>6</v>
      </c>
      <c r="H1" s="38" t="s">
        <v>7</v>
      </c>
      <c r="I1" s="38" t="s">
        <v>8</v>
      </c>
      <c r="J1" s="38" t="s">
        <v>9</v>
      </c>
      <c r="K1" s="38" t="s">
        <v>10</v>
      </c>
      <c r="L1" s="38" t="s">
        <v>11</v>
      </c>
      <c r="M1" s="38" t="s">
        <v>12</v>
      </c>
      <c r="N1" s="38" t="s">
        <v>13</v>
      </c>
      <c r="O1" s="38" t="s">
        <v>14</v>
      </c>
      <c r="P1" s="38" t="s">
        <v>15</v>
      </c>
      <c r="Q1" s="38" t="s">
        <v>16</v>
      </c>
      <c r="R1" s="38" t="s">
        <v>17</v>
      </c>
      <c r="S1" s="38" t="s">
        <v>18</v>
      </c>
      <c r="T1" s="38" t="s">
        <v>19</v>
      </c>
      <c r="U1" s="38" t="s">
        <v>20</v>
      </c>
      <c r="V1" s="38" t="s">
        <v>21</v>
      </c>
      <c r="W1" s="38" t="s">
        <v>22</v>
      </c>
      <c r="X1" s="38" t="s">
        <v>23</v>
      </c>
      <c r="Y1" s="38" t="s">
        <v>24</v>
      </c>
      <c r="Z1" s="38" t="s">
        <v>25</v>
      </c>
      <c r="AA1" s="38" t="s">
        <v>26</v>
      </c>
      <c r="AB1" s="38" t="s">
        <v>27</v>
      </c>
      <c r="AC1" s="38" t="s">
        <v>28</v>
      </c>
      <c r="AD1" s="38" t="s">
        <v>29</v>
      </c>
      <c r="AE1" s="38" t="s">
        <v>30</v>
      </c>
      <c r="AF1" s="38" t="s">
        <v>31</v>
      </c>
      <c r="AG1" s="38" t="s">
        <v>32</v>
      </c>
      <c r="AH1" s="38" t="s">
        <v>33</v>
      </c>
      <c r="AI1" s="38" t="s">
        <v>34</v>
      </c>
      <c r="AJ1" s="38" t="s">
        <v>35</v>
      </c>
      <c r="AK1" s="38" t="s">
        <v>36</v>
      </c>
      <c r="AL1" s="38" t="s">
        <v>37</v>
      </c>
      <c r="AM1" s="38" t="s">
        <v>38</v>
      </c>
      <c r="AN1" s="38" t="s">
        <v>39</v>
      </c>
      <c r="AO1" s="38" t="s">
        <v>40</v>
      </c>
      <c r="AP1" s="38" t="s">
        <v>41</v>
      </c>
      <c r="AQ1" s="38" t="s">
        <v>42</v>
      </c>
      <c r="AR1" s="38" t="s">
        <v>43</v>
      </c>
      <c r="AS1" s="38" t="s">
        <v>44</v>
      </c>
      <c r="AT1" s="38" t="s">
        <v>45</v>
      </c>
      <c r="AU1" s="38" t="s">
        <v>46</v>
      </c>
      <c r="AV1" s="38" t="s">
        <v>47</v>
      </c>
      <c r="AW1" s="38" t="s">
        <v>48</v>
      </c>
      <c r="AX1" s="38" t="s">
        <v>49</v>
      </c>
      <c r="AY1" s="38" t="s">
        <v>50</v>
      </c>
      <c r="AZ1" s="38" t="s">
        <v>51</v>
      </c>
      <c r="BA1" s="38" t="s">
        <v>52</v>
      </c>
      <c r="BB1" s="38" t="s">
        <v>53</v>
      </c>
      <c r="BC1" s="38" t="s">
        <v>54</v>
      </c>
      <c r="BD1" s="38" t="s">
        <v>55</v>
      </c>
      <c r="BE1" s="38" t="s">
        <v>56</v>
      </c>
      <c r="BF1" s="38" t="s">
        <v>57</v>
      </c>
      <c r="BG1" s="38" t="s">
        <v>58</v>
      </c>
      <c r="BH1" s="38" t="s">
        <v>59</v>
      </c>
      <c r="BI1" s="38" t="s">
        <v>60</v>
      </c>
      <c r="BJ1" s="38" t="s">
        <v>61</v>
      </c>
      <c r="BK1" s="38" t="s">
        <v>62</v>
      </c>
      <c r="BL1" s="38" t="s">
        <v>63</v>
      </c>
      <c r="BM1" s="38" t="s">
        <v>64</v>
      </c>
      <c r="BN1" s="38" t="s">
        <v>65</v>
      </c>
      <c r="BO1" s="38" t="s">
        <v>66</v>
      </c>
      <c r="BP1" s="38" t="s">
        <v>67</v>
      </c>
      <c r="BQ1" s="38" t="s">
        <v>68</v>
      </c>
      <c r="BS1" s="39" t="s">
        <v>488</v>
      </c>
      <c r="BT1" s="39" t="s">
        <v>498</v>
      </c>
      <c r="BU1" s="39" t="s">
        <v>499</v>
      </c>
      <c r="BV1" s="39" t="s">
        <v>501</v>
      </c>
      <c r="BW1" s="39" t="s">
        <v>500</v>
      </c>
      <c r="BX1" s="39" t="s">
        <v>452</v>
      </c>
      <c r="BY1" s="39" t="s">
        <v>453</v>
      </c>
      <c r="BZ1" s="39" t="s">
        <v>454</v>
      </c>
      <c r="CA1" s="39" t="s">
        <v>455</v>
      </c>
      <c r="CB1" s="39" t="s">
        <v>458</v>
      </c>
      <c r="CC1" s="39" t="s">
        <v>502</v>
      </c>
      <c r="CD1" s="39" t="s">
        <v>449</v>
      </c>
      <c r="CE1" s="52" t="s">
        <v>450</v>
      </c>
      <c r="CF1" s="52"/>
      <c r="CG1" s="52"/>
      <c r="CH1" s="39" t="s">
        <v>502</v>
      </c>
      <c r="CI1" s="39" t="s">
        <v>449</v>
      </c>
      <c r="CJ1" s="52" t="s">
        <v>450</v>
      </c>
      <c r="CK1" s="52"/>
      <c r="CL1" s="52"/>
      <c r="CM1" s="39" t="s">
        <v>502</v>
      </c>
      <c r="CN1" s="39" t="s">
        <v>449</v>
      </c>
      <c r="CO1" s="52" t="s">
        <v>450</v>
      </c>
      <c r="CP1" s="52"/>
      <c r="CQ1" s="52"/>
    </row>
    <row r="2" spans="1:95">
      <c r="A2" t="s">
        <v>2</v>
      </c>
      <c r="B2" s="48"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c r="BS2" s="20">
        <f>IFERROR(BF2/BM2,0)</f>
        <v>0.96169119080085064</v>
      </c>
      <c r="BT2" s="20">
        <f>IFERROR(BG2/BM2, 0)</f>
        <v>1.9810765881124577E-2</v>
      </c>
      <c r="BU2" s="20">
        <f>IFERROR(BH2/BM2,0)</f>
        <v>0</v>
      </c>
      <c r="BV2" s="20">
        <f>IFERROR(BI2/BM2,0)</f>
        <v>0</v>
      </c>
      <c r="BW2" s="20">
        <f>IFERROR(BJ2/BM2,0)</f>
        <v>3.9412543598498235E-3</v>
      </c>
      <c r="BX2" s="20">
        <f t="shared" ref="BX2:BX33" si="0">IFERROR(BK2/BM2,0)</f>
        <v>1.4556788958174907E-2</v>
      </c>
      <c r="BY2" cm="1">
        <f t="array" ref="BY2:BY56">TRANSPOSE(C63:BE63)</f>
        <v>14421722.0768</v>
      </c>
      <c r="BZ2" s="20">
        <f t="shared" ref="BZ2:BZ33" si="1">IFERROR(BY2/BM2,0)</f>
        <v>0.77417842877380916</v>
      </c>
      <c r="CA2" s="41" t="str" cm="1">
        <f t="array" ref="CA2">_xlfn.IFS(BZ2&gt;$BZ$62,"Very High",BZ2&gt;$BZ$61,"High",BZ2&gt;$BZ$60,"Low",BZ2&lt;=$BZ$60,"Very Low")</f>
        <v>Very High</v>
      </c>
      <c r="CB2" t="s">
        <v>473</v>
      </c>
    </row>
    <row r="3" spans="1:95">
      <c r="A3" t="s">
        <v>3</v>
      </c>
      <c r="B3" s="48"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c r="BS3" s="20">
        <f t="shared" ref="BS3:BS56" si="2">IFERROR(BF3/BM3,0)</f>
        <v>0.28738895445918461</v>
      </c>
      <c r="BT3" s="20">
        <f t="shared" ref="BT3:BT56" si="3">IFERROR(BG3/BM3, 0)</f>
        <v>0.59314220043788912</v>
      </c>
      <c r="BU3" s="20">
        <f t="shared" ref="BU3:BU56" si="4">IFERROR(BH3/BM3,0)</f>
        <v>0</v>
      </c>
      <c r="BV3" s="20">
        <f t="shared" ref="BV3:BV56" si="5">IFERROR(BI3/BM3,0)</f>
        <v>2.5766454584288768E-2</v>
      </c>
      <c r="BW3" s="20">
        <f t="shared" ref="BW3:BW56" si="6">IFERROR(BJ3/BM3,0)</f>
        <v>7.4893411790018533E-3</v>
      </c>
      <c r="BX3" s="20">
        <f t="shared" si="0"/>
        <v>8.6213049353966079E-2</v>
      </c>
      <c r="BY3">
        <v>5318349.7141000004</v>
      </c>
      <c r="BZ3" s="20">
        <f t="shared" si="1"/>
        <v>0.76214767784944371</v>
      </c>
      <c r="CA3" s="41" t="str" cm="1">
        <f t="array" ref="CA3">_xlfn.IFS(BZ3&gt;$BZ$62,"Very High",BZ3&gt;$BZ$61,"High",BZ3&gt;$BZ$60,"Low",BZ3&lt;=$BZ$60,"Very Low")</f>
        <v>Very High</v>
      </c>
      <c r="CB3" t="s">
        <v>473</v>
      </c>
    </row>
    <row r="4" spans="1:95">
      <c r="A4" t="s">
        <v>4</v>
      </c>
      <c r="B4" s="48"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c r="BS4" s="20">
        <f t="shared" si="2"/>
        <v>0.99999472973886228</v>
      </c>
      <c r="BT4" s="20">
        <f t="shared" si="3"/>
        <v>0</v>
      </c>
      <c r="BU4" s="20">
        <f t="shared" si="4"/>
        <v>0</v>
      </c>
      <c r="BV4" s="20">
        <f t="shared" si="5"/>
        <v>0</v>
      </c>
      <c r="BW4" s="20">
        <f t="shared" si="6"/>
        <v>0</v>
      </c>
      <c r="BX4" s="20">
        <f t="shared" si="0"/>
        <v>5.2702529765085051E-6</v>
      </c>
      <c r="BY4">
        <v>8422285.3792000003</v>
      </c>
      <c r="BZ4" s="20">
        <f t="shared" si="1"/>
        <v>0.68735356105041023</v>
      </c>
      <c r="CA4" s="41" t="str" cm="1">
        <f t="array" ref="CA4">_xlfn.IFS(BZ4&gt;$BZ$62,"Very High",BZ4&gt;$BZ$61,"High",BZ4&gt;$BZ$60,"Low",BZ4&lt;=$BZ$60,"Very Low")</f>
        <v>Very High</v>
      </c>
      <c r="CB4" t="s">
        <v>475</v>
      </c>
    </row>
    <row r="5" spans="1:95">
      <c r="A5" t="s">
        <v>5</v>
      </c>
      <c r="B5" s="48"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c r="BS5" s="20">
        <f t="shared" si="2"/>
        <v>0.96296555894582336</v>
      </c>
      <c r="BT5" s="20">
        <f t="shared" si="3"/>
        <v>0</v>
      </c>
      <c r="BU5" s="20">
        <f t="shared" si="4"/>
        <v>0</v>
      </c>
      <c r="BV5" s="20">
        <f t="shared" si="5"/>
        <v>0</v>
      </c>
      <c r="BW5" s="20">
        <f t="shared" si="6"/>
        <v>0</v>
      </c>
      <c r="BX5" s="20">
        <f t="shared" si="0"/>
        <v>3.703444105417663E-2</v>
      </c>
      <c r="BY5">
        <v>16306552.4712</v>
      </c>
      <c r="BZ5" s="20">
        <f t="shared" si="1"/>
        <v>0.68888091601354018</v>
      </c>
      <c r="CA5" s="41" t="str" cm="1">
        <f t="array" ref="CA5">_xlfn.IFS(BZ5&gt;$BZ$62,"Very High",BZ5&gt;$BZ$61,"High",BZ5&gt;$BZ$60,"Low",BZ5&lt;=$BZ$60,"Very Low")</f>
        <v>Very High</v>
      </c>
      <c r="CB5" t="s">
        <v>477</v>
      </c>
    </row>
    <row r="6" spans="1:95">
      <c r="A6" t="s">
        <v>6</v>
      </c>
      <c r="B6" s="48"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c r="BS6" s="20">
        <f t="shared" si="2"/>
        <v>0.31131323584526344</v>
      </c>
      <c r="BT6" s="20">
        <f t="shared" si="3"/>
        <v>3.5542481501582734E-2</v>
      </c>
      <c r="BU6" s="20">
        <f t="shared" si="4"/>
        <v>0</v>
      </c>
      <c r="BV6" s="20">
        <f t="shared" si="5"/>
        <v>0.31834406156612416</v>
      </c>
      <c r="BW6" s="20">
        <f t="shared" si="6"/>
        <v>1.6686765649482117E-2</v>
      </c>
      <c r="BX6" s="20">
        <f t="shared" si="0"/>
        <v>0.31811345543754754</v>
      </c>
      <c r="BY6">
        <v>3091909.8530999999</v>
      </c>
      <c r="BZ6" s="20">
        <f t="shared" si="1"/>
        <v>0.6377109246432342</v>
      </c>
      <c r="CA6" s="41" t="str" cm="1">
        <f t="array" ref="CA6">_xlfn.IFS(BZ6&gt;$BZ$62,"Very High",BZ6&gt;$BZ$61,"High",BZ6&gt;$BZ$60,"Low",BZ6&lt;=$BZ$60,"Very Low")</f>
        <v>High</v>
      </c>
      <c r="CB6" t="s">
        <v>479</v>
      </c>
      <c r="CC6">
        <v>305</v>
      </c>
      <c r="CD6">
        <v>5</v>
      </c>
      <c r="CE6">
        <v>15</v>
      </c>
    </row>
    <row r="7" spans="1:95">
      <c r="A7" t="s">
        <v>7</v>
      </c>
      <c r="B7" s="48"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c r="BS7" s="20">
        <f t="shared" si="2"/>
        <v>0.4830002621360634</v>
      </c>
      <c r="BT7" s="20">
        <f t="shared" si="3"/>
        <v>0.22436113636867266</v>
      </c>
      <c r="BU7" s="20">
        <f t="shared" si="4"/>
        <v>0</v>
      </c>
      <c r="BV7" s="20">
        <f t="shared" si="5"/>
        <v>0.27506220523545682</v>
      </c>
      <c r="BW7" s="20">
        <f t="shared" si="6"/>
        <v>1.5084518394226878E-2</v>
      </c>
      <c r="BX7" s="20">
        <f t="shared" si="0"/>
        <v>2.4918778579692564E-3</v>
      </c>
      <c r="BY7">
        <v>7995588.1072000004</v>
      </c>
      <c r="BZ7" s="20">
        <f t="shared" si="1"/>
        <v>0.60853766305481671</v>
      </c>
      <c r="CA7" s="41" t="str" cm="1">
        <f t="array" ref="CA7">_xlfn.IFS(BZ7&gt;$BZ$62,"Very High",BZ7&gt;$BZ$61,"High",BZ7&gt;$BZ$60,"Low",BZ7&lt;=$BZ$60,"Very Low")</f>
        <v>High</v>
      </c>
      <c r="CB7" t="s">
        <v>473</v>
      </c>
    </row>
    <row r="8" spans="1:95">
      <c r="A8" t="s">
        <v>8</v>
      </c>
      <c r="B8" s="4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c r="BS8" s="20">
        <f t="shared" si="2"/>
        <v>0.99782639575477661</v>
      </c>
      <c r="BT8" s="20">
        <f t="shared" si="3"/>
        <v>2.1736042452233342E-3</v>
      </c>
      <c r="BU8" s="20">
        <f t="shared" si="4"/>
        <v>0</v>
      </c>
      <c r="BV8" s="20">
        <f t="shared" si="5"/>
        <v>0</v>
      </c>
      <c r="BW8" s="20">
        <f t="shared" si="6"/>
        <v>0</v>
      </c>
      <c r="BX8" s="20">
        <f t="shared" si="0"/>
        <v>0</v>
      </c>
      <c r="BY8">
        <v>1449409.3533000001</v>
      </c>
      <c r="BZ8" s="20">
        <f t="shared" si="1"/>
        <v>0.69650414695599849</v>
      </c>
      <c r="CA8" s="41" t="str" cm="1">
        <f t="array" ref="CA8">_xlfn.IFS(BZ8&gt;$BZ$62,"Very High",BZ8&gt;$BZ$61,"High",BZ8&gt;$BZ$60,"Low",BZ8&lt;=$BZ$60,"Very Low")</f>
        <v>Very High</v>
      </c>
      <c r="CB8" t="s">
        <v>479</v>
      </c>
    </row>
    <row r="9" spans="1:95">
      <c r="A9" t="s">
        <v>9</v>
      </c>
      <c r="B9" s="48"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c r="BS9" s="20">
        <f t="shared" si="2"/>
        <v>0.49929782527096689</v>
      </c>
      <c r="BT9" s="20">
        <f t="shared" si="3"/>
        <v>1.4204885757564845E-3</v>
      </c>
      <c r="BU9" s="20">
        <f t="shared" si="4"/>
        <v>0</v>
      </c>
      <c r="BV9" s="20">
        <f t="shared" si="5"/>
        <v>0</v>
      </c>
      <c r="BW9" s="20">
        <f t="shared" si="6"/>
        <v>-1.1514123169349898E-5</v>
      </c>
      <c r="BX9" s="20">
        <f t="shared" si="0"/>
        <v>0.49929320027644603</v>
      </c>
      <c r="BY9">
        <v>8352368.2961999997</v>
      </c>
      <c r="BZ9" s="20">
        <f t="shared" si="1"/>
        <v>0.87986647244642946</v>
      </c>
      <c r="CA9" s="41" t="str" cm="1">
        <f t="array" ref="CA9">_xlfn.IFS(BZ9&gt;$BZ$62,"Very High",BZ9&gt;$BZ$61,"High",BZ9&gt;$BZ$60,"Low",BZ9&lt;=$BZ$60,"Very Low")</f>
        <v>Very High</v>
      </c>
      <c r="CB9" t="s">
        <v>473</v>
      </c>
      <c r="CC9">
        <v>305</v>
      </c>
      <c r="CD9">
        <v>8</v>
      </c>
      <c r="CE9">
        <v>20</v>
      </c>
      <c r="CF9">
        <v>19</v>
      </c>
    </row>
    <row r="10" spans="1:95">
      <c r="A10" t="s">
        <v>10</v>
      </c>
      <c r="B10" s="48"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c r="BS10" s="20">
        <f t="shared" si="2"/>
        <v>0.43623006207043863</v>
      </c>
      <c r="BT10" s="20">
        <f t="shared" si="3"/>
        <v>0.55154912828872726</v>
      </c>
      <c r="BU10" s="20">
        <f t="shared" si="4"/>
        <v>0</v>
      </c>
      <c r="BV10" s="20">
        <f t="shared" si="5"/>
        <v>1.0479824088372763E-2</v>
      </c>
      <c r="BW10" s="20">
        <f t="shared" si="6"/>
        <v>-5.2531001981235677E-9</v>
      </c>
      <c r="BX10" s="20">
        <f t="shared" si="0"/>
        <v>1.7409908111499805E-3</v>
      </c>
      <c r="BY10">
        <v>15770320.1338</v>
      </c>
      <c r="BZ10" s="20">
        <f t="shared" si="1"/>
        <v>0.88130927467379638</v>
      </c>
      <c r="CA10" s="41" t="str" cm="1">
        <f t="array" ref="CA10">_xlfn.IFS(BZ10&gt;$BZ$62,"Very High",BZ10&gt;$BZ$61,"High",BZ10&gt;$BZ$60,"Low",BZ10&lt;=$BZ$60,"Very Low")</f>
        <v>Very High</v>
      </c>
      <c r="CB10" t="s">
        <v>473</v>
      </c>
      <c r="CC10">
        <v>305</v>
      </c>
      <c r="CD10">
        <v>9</v>
      </c>
      <c r="CE10">
        <v>15</v>
      </c>
    </row>
    <row r="11" spans="1:95">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c r="BS11" s="20">
        <f t="shared" si="2"/>
        <v>0.46294587577315122</v>
      </c>
      <c r="BT11" s="20">
        <f t="shared" si="3"/>
        <v>3.684210158326856E-4</v>
      </c>
      <c r="BU11" s="20">
        <f t="shared" si="4"/>
        <v>0</v>
      </c>
      <c r="BV11" s="20">
        <f t="shared" si="5"/>
        <v>9.3958359584651494E-5</v>
      </c>
      <c r="BW11" s="20">
        <f t="shared" si="6"/>
        <v>-2.2715975021681819E-2</v>
      </c>
      <c r="BX11" s="20">
        <f t="shared" si="0"/>
        <v>0.55930771987070249</v>
      </c>
      <c r="BY11">
        <v>30425434.574200001</v>
      </c>
      <c r="BZ11" s="20">
        <f t="shared" si="1"/>
        <v>0.73351530637933371</v>
      </c>
      <c r="CA11" s="41" t="str" cm="1">
        <f t="array" ref="CA11">_xlfn.IFS(BZ11&gt;$BZ$62,"Very High",BZ11&gt;$BZ$61,"High",BZ11&gt;$BZ$60,"Low",BZ11&lt;=$BZ$60,"Very Low")</f>
        <v>Very High</v>
      </c>
      <c r="CB11" t="s">
        <v>477</v>
      </c>
    </row>
    <row r="12" spans="1:95">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c r="BS12" s="20">
        <f t="shared" si="2"/>
        <v>0.1608981607969423</v>
      </c>
      <c r="BT12" s="20">
        <f t="shared" si="3"/>
        <v>6.3342456173712323E-4</v>
      </c>
      <c r="BU12" s="20">
        <f t="shared" si="4"/>
        <v>0</v>
      </c>
      <c r="BV12" s="20">
        <f t="shared" si="5"/>
        <v>6.7809620551007756E-5</v>
      </c>
      <c r="BW12" s="20">
        <f t="shared" si="6"/>
        <v>3.3546239155333903E-6</v>
      </c>
      <c r="BX12" s="20">
        <f t="shared" si="0"/>
        <v>0.83839725039685409</v>
      </c>
      <c r="BY12">
        <v>46912448.564000003</v>
      </c>
      <c r="BZ12" s="20">
        <f t="shared" si="1"/>
        <v>0.4367250837354647</v>
      </c>
      <c r="CA12" s="41" t="str" cm="1">
        <f t="array" ref="CA12">_xlfn.IFS(BZ12&gt;$BZ$62,"Very High",BZ12&gt;$BZ$61,"High",BZ12&gt;$BZ$60,"Low",BZ12&lt;=$BZ$60,"Very Low")</f>
        <v>Low</v>
      </c>
      <c r="CB12" t="s">
        <v>475</v>
      </c>
    </row>
    <row r="13" spans="1:95">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S13" s="20">
        <f t="shared" si="2"/>
        <v>0</v>
      </c>
      <c r="BT13" s="20">
        <f t="shared" si="3"/>
        <v>0</v>
      </c>
      <c r="BU13" s="20">
        <f t="shared" si="4"/>
        <v>0</v>
      </c>
      <c r="BV13" s="20">
        <f t="shared" si="5"/>
        <v>0</v>
      </c>
      <c r="BW13" s="20">
        <f t="shared" si="6"/>
        <v>0</v>
      </c>
      <c r="BX13" s="20">
        <f t="shared" si="0"/>
        <v>0</v>
      </c>
      <c r="BY13">
        <v>0</v>
      </c>
      <c r="BZ13" s="20">
        <f t="shared" si="1"/>
        <v>0</v>
      </c>
      <c r="CA13" s="41" t="str" cm="1">
        <f t="array" ref="CA13">_xlfn.IFS(BZ13&gt;$BZ$62,"Very High",BZ13&gt;$BZ$61,"High",BZ13&gt;$BZ$60,"Low",BZ13&lt;=$BZ$60,"Very Low")</f>
        <v>Very Low</v>
      </c>
      <c r="CB13" t="s">
        <v>473</v>
      </c>
    </row>
    <row r="14" spans="1:95">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c r="BS14" s="20">
        <f t="shared" si="2"/>
        <v>0.47951895838022857</v>
      </c>
      <c r="BT14" s="20">
        <f t="shared" si="3"/>
        <v>1.2385253792626658E-3</v>
      </c>
      <c r="BU14" s="20">
        <f t="shared" si="4"/>
        <v>0</v>
      </c>
      <c r="BV14" s="20">
        <f t="shared" si="5"/>
        <v>6.2416559441310811E-3</v>
      </c>
      <c r="BW14" s="20">
        <f t="shared" si="6"/>
        <v>3.3196740214048E-5</v>
      </c>
      <c r="BX14" s="20">
        <f t="shared" si="0"/>
        <v>0.51296766355616363</v>
      </c>
      <c r="BY14">
        <v>30071012.1393</v>
      </c>
      <c r="BZ14" s="20">
        <f t="shared" si="1"/>
        <v>0.6878286252488085</v>
      </c>
      <c r="CA14" s="41" t="str" cm="1">
        <f t="array" ref="CA14">_xlfn.IFS(BZ14&gt;$BZ$62,"Very High",BZ14&gt;$BZ$61,"High",BZ14&gt;$BZ$60,"Low",BZ14&lt;=$BZ$60,"Very Low")</f>
        <v>Very High</v>
      </c>
      <c r="CB14" t="s">
        <v>477</v>
      </c>
    </row>
    <row r="15" spans="1:95">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c r="BS15" s="20">
        <f t="shared" si="2"/>
        <v>0.86758487066437795</v>
      </c>
      <c r="BT15" s="20">
        <f t="shared" si="3"/>
        <v>7.5823649704422194E-2</v>
      </c>
      <c r="BU15" s="20">
        <f t="shared" si="4"/>
        <v>0</v>
      </c>
      <c r="BV15" s="20">
        <f t="shared" si="5"/>
        <v>0</v>
      </c>
      <c r="BW15" s="20">
        <f t="shared" si="6"/>
        <v>8.7111670623972251E-3</v>
      </c>
      <c r="BX15" s="20">
        <f t="shared" si="0"/>
        <v>4.7880312565653504E-2</v>
      </c>
      <c r="BY15">
        <v>19994587.726799998</v>
      </c>
      <c r="BZ15" s="20">
        <f t="shared" si="1"/>
        <v>0.62967872476659237</v>
      </c>
      <c r="CA15" s="41" t="str" cm="1">
        <f t="array" ref="CA15">_xlfn.IFS(BZ15&gt;$BZ$62,"Very High",BZ15&gt;$BZ$61,"High",BZ15&gt;$BZ$60,"Low",BZ15&lt;=$BZ$60,"Very Low")</f>
        <v>High</v>
      </c>
      <c r="CB15" t="s">
        <v>477</v>
      </c>
    </row>
    <row r="16" spans="1:95">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c r="BS16" s="20">
        <f t="shared" si="2"/>
        <v>0.27455227351627759</v>
      </c>
      <c r="BT16" s="20">
        <f t="shared" si="3"/>
        <v>0.51057360952181585</v>
      </c>
      <c r="BU16" s="20">
        <f t="shared" si="4"/>
        <v>5.9405977006013961E-3</v>
      </c>
      <c r="BV16" s="20">
        <f t="shared" si="5"/>
        <v>6.910524392284527E-5</v>
      </c>
      <c r="BW16" s="20">
        <f t="shared" si="6"/>
        <v>-9.9202005420003774E-3</v>
      </c>
      <c r="BX16" s="20">
        <f t="shared" si="0"/>
        <v>0.21878461455881174</v>
      </c>
      <c r="BY16">
        <v>58627185.5713</v>
      </c>
      <c r="BZ16" s="20">
        <f t="shared" si="1"/>
        <v>0.33472544508582136</v>
      </c>
      <c r="CA16" s="41" t="str" cm="1">
        <f t="array" ref="CA16">_xlfn.IFS(BZ16&gt;$BZ$62,"Very High",BZ16&gt;$BZ$61,"High",BZ16&gt;$BZ$60,"Low",BZ16&lt;=$BZ$60,"Very Low")</f>
        <v>Very Low</v>
      </c>
      <c r="CB16" t="s">
        <v>475</v>
      </c>
    </row>
    <row r="17" spans="1:80">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c r="BS17" s="20">
        <f t="shared" si="2"/>
        <v>0.35630079716984936</v>
      </c>
      <c r="BT17" s="20">
        <f t="shared" si="3"/>
        <v>0.64201086038288646</v>
      </c>
      <c r="BU17" s="20">
        <f t="shared" si="4"/>
        <v>0</v>
      </c>
      <c r="BV17" s="20">
        <f t="shared" si="5"/>
        <v>1.8698003255932327E-3</v>
      </c>
      <c r="BW17" s="20">
        <f t="shared" si="6"/>
        <v>-1.814578783291201E-4</v>
      </c>
      <c r="BX17" s="20">
        <f t="shared" si="0"/>
        <v>0</v>
      </c>
      <c r="BY17">
        <v>1144.2429</v>
      </c>
      <c r="BZ17" s="20">
        <f t="shared" si="1"/>
        <v>0.62747624335799179</v>
      </c>
      <c r="CA17" s="41" t="str" cm="1">
        <f t="array" ref="CA17">_xlfn.IFS(BZ17&gt;$BZ$62,"Very High",BZ17&gt;$BZ$61,"High",BZ17&gt;$BZ$60,"Low",BZ17&lt;=$BZ$60,"Very Low")</f>
        <v>High</v>
      </c>
      <c r="CB17" t="s">
        <v>473</v>
      </c>
    </row>
    <row r="18" spans="1:80">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c r="BS18" s="20">
        <f t="shared" si="2"/>
        <v>0.30025982917594163</v>
      </c>
      <c r="BT18" s="20">
        <f t="shared" si="3"/>
        <v>0.6601596393743504</v>
      </c>
      <c r="BU18" s="20">
        <f t="shared" si="4"/>
        <v>0</v>
      </c>
      <c r="BV18" s="20">
        <f t="shared" si="5"/>
        <v>3.2502847688663718E-2</v>
      </c>
      <c r="BW18" s="20">
        <f t="shared" si="6"/>
        <v>8.6739598257077049E-4</v>
      </c>
      <c r="BX18" s="20">
        <f t="shared" si="0"/>
        <v>6.2102877784735331E-3</v>
      </c>
      <c r="BY18">
        <v>200226.3199</v>
      </c>
      <c r="BZ18" s="20">
        <f t="shared" si="1"/>
        <v>0.26558161782383499</v>
      </c>
      <c r="CA18" s="41" t="str" cm="1">
        <f t="array" ref="CA18">_xlfn.IFS(BZ18&gt;$BZ$62,"Very High",BZ18&gt;$BZ$61,"High",BZ18&gt;$BZ$60,"Low",BZ18&lt;=$BZ$60,"Very Low")</f>
        <v>Very Low</v>
      </c>
      <c r="CB18" t="s">
        <v>479</v>
      </c>
    </row>
    <row r="19" spans="1:80">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c r="BS19" s="20">
        <f t="shared" si="2"/>
        <v>3.4156904870639417E-2</v>
      </c>
      <c r="BT19" s="20">
        <f t="shared" si="3"/>
        <v>0.98902074142017915</v>
      </c>
      <c r="BU19" s="20">
        <f t="shared" si="4"/>
        <v>0</v>
      </c>
      <c r="BV19" s="20">
        <f t="shared" si="5"/>
        <v>0</v>
      </c>
      <c r="BW19" s="20">
        <f t="shared" si="6"/>
        <v>-2.317764629081857E-2</v>
      </c>
      <c r="BX19" s="20">
        <f t="shared" si="0"/>
        <v>0</v>
      </c>
      <c r="BY19">
        <v>1243.8277</v>
      </c>
      <c r="BZ19" s="20">
        <f t="shared" si="1"/>
        <v>0.4012135423296021</v>
      </c>
      <c r="CA19" s="41" t="str" cm="1">
        <f t="array" ref="CA19">_xlfn.IFS(BZ19&gt;$BZ$62,"Very High",BZ19&gt;$BZ$61,"High",BZ19&gt;$BZ$60,"Low",BZ19&lt;=$BZ$60,"Very Low")</f>
        <v>Low</v>
      </c>
      <c r="CB19" t="s">
        <v>479</v>
      </c>
    </row>
    <row r="20" spans="1:80">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c r="BS20" s="20">
        <f t="shared" si="2"/>
        <v>0.17687310747415061</v>
      </c>
      <c r="BT20" s="20">
        <f t="shared" si="3"/>
        <v>1.4733216236110075E-2</v>
      </c>
      <c r="BU20" s="20">
        <f t="shared" si="4"/>
        <v>2.9407438652509672E-5</v>
      </c>
      <c r="BV20" s="20">
        <f t="shared" si="5"/>
        <v>3.1979625991064623E-3</v>
      </c>
      <c r="BW20" s="20">
        <f t="shared" si="6"/>
        <v>4.904721042247674E-3</v>
      </c>
      <c r="BX20" s="20">
        <f t="shared" si="0"/>
        <v>0.8002615852487861</v>
      </c>
      <c r="BY20">
        <v>1004869.9504</v>
      </c>
      <c r="BZ20" s="20">
        <f t="shared" si="1"/>
        <v>0.39243528174556724</v>
      </c>
      <c r="CA20" s="41" t="str" cm="1">
        <f t="array" ref="CA20">_xlfn.IFS(BZ20&gt;$BZ$62,"Very High",BZ20&gt;$BZ$61,"High",BZ20&gt;$BZ$60,"Low",BZ20&lt;=$BZ$60,"Very Low")</f>
        <v>Low</v>
      </c>
      <c r="CB20" t="s">
        <v>479</v>
      </c>
    </row>
    <row r="21" spans="1:80">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c r="BS21" s="20">
        <f t="shared" si="2"/>
        <v>0.3855832440529835</v>
      </c>
      <c r="BT21" s="20">
        <f t="shared" si="3"/>
        <v>2.9091524064603955E-2</v>
      </c>
      <c r="BU21" s="20">
        <f t="shared" si="4"/>
        <v>2.0660104061298344E-5</v>
      </c>
      <c r="BV21" s="20">
        <f t="shared" si="5"/>
        <v>2.1847978346354749E-3</v>
      </c>
      <c r="BW21" s="20">
        <f t="shared" si="6"/>
        <v>-1.1298637726701339E-3</v>
      </c>
      <c r="BX21" s="20">
        <f t="shared" si="0"/>
        <v>0.58424963771638583</v>
      </c>
      <c r="BY21">
        <v>8070604.7843000004</v>
      </c>
      <c r="BZ21" s="20">
        <f t="shared" si="1"/>
        <v>0.34891178659540178</v>
      </c>
      <c r="CA21" s="41" t="str" cm="1">
        <f t="array" ref="CA21">_xlfn.IFS(BZ21&gt;$BZ$62,"Very High",BZ21&gt;$BZ$61,"High",BZ21&gt;$BZ$60,"Low",BZ21&lt;=$BZ$60,"Very Low")</f>
        <v>Very Low</v>
      </c>
      <c r="CB21" t="s">
        <v>475</v>
      </c>
    </row>
    <row r="22" spans="1:80">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c r="BS22" s="20">
        <f t="shared" si="2"/>
        <v>0.8928377334185591</v>
      </c>
      <c r="BT22" s="20">
        <f t="shared" si="3"/>
        <v>9.5015698273379814E-2</v>
      </c>
      <c r="BU22" s="20">
        <f t="shared" si="4"/>
        <v>6.4244722151982898E-8</v>
      </c>
      <c r="BV22" s="20">
        <f t="shared" si="5"/>
        <v>4.868137413536233E-5</v>
      </c>
      <c r="BW22" s="20">
        <f t="shared" si="6"/>
        <v>-3.335300372044409E-3</v>
      </c>
      <c r="BX22" s="20">
        <f t="shared" si="0"/>
        <v>1.5433123061248125E-2</v>
      </c>
      <c r="BY22">
        <v>7973084.2888000002</v>
      </c>
      <c r="BZ22" s="20">
        <f t="shared" si="1"/>
        <v>0.34635782326614117</v>
      </c>
      <c r="CA22" s="41" t="str" cm="1">
        <f t="array" ref="CA22">_xlfn.IFS(BZ22&gt;$BZ$62,"Very High",BZ22&gt;$BZ$61,"High",BZ22&gt;$BZ$60,"Low",BZ22&lt;=$BZ$60,"Very Low")</f>
        <v>Very Low</v>
      </c>
      <c r="CB22" t="s">
        <v>475</v>
      </c>
    </row>
    <row r="23" spans="1:80">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c r="BS23" s="20">
        <f t="shared" si="2"/>
        <v>0.18618128955809854</v>
      </c>
      <c r="BT23" s="20">
        <f t="shared" si="3"/>
        <v>2.4234179797608398E-2</v>
      </c>
      <c r="BU23" s="20">
        <f t="shared" si="4"/>
        <v>5.3209633339273099E-6</v>
      </c>
      <c r="BV23" s="20">
        <f t="shared" si="5"/>
        <v>6.1321326153319564E-4</v>
      </c>
      <c r="BW23" s="20">
        <f t="shared" si="6"/>
        <v>-1.4298269126014145E-3</v>
      </c>
      <c r="BX23" s="20">
        <f t="shared" si="0"/>
        <v>0.79039582333435376</v>
      </c>
      <c r="BY23">
        <v>12288411.0547</v>
      </c>
      <c r="BZ23" s="20">
        <f t="shared" si="1"/>
        <v>0.28587786175141006</v>
      </c>
      <c r="CA23" s="41" t="str" cm="1">
        <f t="array" ref="CA23">_xlfn.IFS(BZ23&gt;$BZ$62,"Very High",BZ23&gt;$BZ$61,"High",BZ23&gt;$BZ$60,"Low",BZ23&lt;=$BZ$60,"Very Low")</f>
        <v>Very Low</v>
      </c>
      <c r="CB23" t="s">
        <v>479</v>
      </c>
    </row>
    <row r="24" spans="1:80">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c r="BS24" s="20">
        <f t="shared" si="2"/>
        <v>0.93033638125928775</v>
      </c>
      <c r="BT24" s="20">
        <f t="shared" si="3"/>
        <v>7.7968089871692597E-2</v>
      </c>
      <c r="BU24" s="20">
        <f t="shared" si="4"/>
        <v>5.3434989134312632E-7</v>
      </c>
      <c r="BV24" s="20">
        <f t="shared" si="5"/>
        <v>1.1518773631855076E-2</v>
      </c>
      <c r="BW24" s="20">
        <f t="shared" si="6"/>
        <v>-2.0969512451653495E-2</v>
      </c>
      <c r="BX24" s="20">
        <f t="shared" si="0"/>
        <v>1.1457333119135051E-3</v>
      </c>
      <c r="BY24">
        <v>1588842.1776999999</v>
      </c>
      <c r="BZ24" s="20">
        <f t="shared" si="1"/>
        <v>0.42919854659287759</v>
      </c>
      <c r="CA24" s="41" t="str" cm="1">
        <f t="array" ref="CA24">_xlfn.IFS(BZ24&gt;$BZ$62,"Very High",BZ24&gt;$BZ$61,"High",BZ24&gt;$BZ$60,"Low",BZ24&lt;=$BZ$60,"Very Low")</f>
        <v>Low</v>
      </c>
      <c r="CB24" t="s">
        <v>479</v>
      </c>
    </row>
    <row r="25" spans="1:80">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c r="BS25" s="20">
        <f t="shared" si="2"/>
        <v>0.98962263606556189</v>
      </c>
      <c r="BT25" s="20">
        <f t="shared" si="3"/>
        <v>5.2719878019099502E-4</v>
      </c>
      <c r="BU25" s="20">
        <f t="shared" si="4"/>
        <v>0</v>
      </c>
      <c r="BV25" s="20">
        <f t="shared" si="5"/>
        <v>2.7904288744451611E-4</v>
      </c>
      <c r="BW25" s="20">
        <f t="shared" si="6"/>
        <v>1.6841323948726166E-4</v>
      </c>
      <c r="BX25" s="20">
        <f t="shared" si="0"/>
        <v>9.4027090273153396E-3</v>
      </c>
      <c r="BY25">
        <v>54626.4571</v>
      </c>
      <c r="BZ25" s="20">
        <f t="shared" si="1"/>
        <v>0.24946360476384349</v>
      </c>
      <c r="CA25" s="41" t="str" cm="1">
        <f t="array" ref="CA25">_xlfn.IFS(BZ25&gt;$BZ$62,"Very High",BZ25&gt;$BZ$61,"High",BZ25&gt;$BZ$60,"Low",BZ25&lt;=$BZ$60,"Very Low")</f>
        <v>Very Low</v>
      </c>
      <c r="CB25" t="s">
        <v>479</v>
      </c>
    </row>
    <row r="26" spans="1:80">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c r="BS26" s="20">
        <f t="shared" si="2"/>
        <v>0.71118251224982298</v>
      </c>
      <c r="BT26" s="20">
        <f t="shared" si="3"/>
        <v>0.16798170158098369</v>
      </c>
      <c r="BU26" s="20">
        <f t="shared" si="4"/>
        <v>0</v>
      </c>
      <c r="BV26" s="20">
        <f t="shared" si="5"/>
        <v>6.4576120895054434E-2</v>
      </c>
      <c r="BW26" s="20">
        <f t="shared" si="6"/>
        <v>-1.8726524091336995E-4</v>
      </c>
      <c r="BX26" s="20">
        <f t="shared" si="0"/>
        <v>5.6446930515052278E-2</v>
      </c>
      <c r="BY26">
        <v>638654.9264</v>
      </c>
      <c r="BZ26" s="20">
        <f t="shared" si="1"/>
        <v>0.3727539108778341</v>
      </c>
      <c r="CA26" s="41" t="str" cm="1">
        <f t="array" ref="CA26">_xlfn.IFS(BZ26&gt;$BZ$62,"Very High",BZ26&gt;$BZ$61,"High",BZ26&gt;$BZ$60,"Low",BZ26&lt;=$BZ$60,"Very Low")</f>
        <v>Very Low</v>
      </c>
      <c r="CB26" t="s">
        <v>473</v>
      </c>
    </row>
    <row r="27" spans="1:80">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c r="BS27" s="20">
        <f t="shared" si="2"/>
        <v>8.8435572646644214E-2</v>
      </c>
      <c r="BT27" s="20">
        <f t="shared" si="3"/>
        <v>0</v>
      </c>
      <c r="BU27" s="20">
        <f t="shared" si="4"/>
        <v>0</v>
      </c>
      <c r="BV27" s="20">
        <f t="shared" si="5"/>
        <v>0</v>
      </c>
      <c r="BW27" s="20">
        <f t="shared" si="6"/>
        <v>0</v>
      </c>
      <c r="BX27" s="20">
        <f t="shared" si="0"/>
        <v>0.9115644292722731</v>
      </c>
      <c r="BY27">
        <v>19485.322199999999</v>
      </c>
      <c r="BZ27" s="20">
        <f t="shared" si="1"/>
        <v>0.37390722168336038</v>
      </c>
      <c r="CA27" s="41" t="str" cm="1">
        <f t="array" ref="CA27">_xlfn.IFS(BZ27&gt;$BZ$62,"Very High",BZ27&gt;$BZ$61,"High",BZ27&gt;$BZ$60,"Low",BZ27&lt;=$BZ$60,"Very Low")</f>
        <v>Very Low</v>
      </c>
      <c r="CB27" t="s">
        <v>473</v>
      </c>
    </row>
    <row r="28" spans="1:80">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c r="BS28" s="20">
        <f t="shared" si="2"/>
        <v>0.26540207232956087</v>
      </c>
      <c r="BT28" s="20">
        <f t="shared" si="3"/>
        <v>0.39395105939366437</v>
      </c>
      <c r="BU28" s="20">
        <f t="shared" si="4"/>
        <v>0</v>
      </c>
      <c r="BV28" s="20">
        <f t="shared" si="5"/>
        <v>0.3166064965184453</v>
      </c>
      <c r="BW28" s="20">
        <f t="shared" si="6"/>
        <v>-1.1499972628214415E-3</v>
      </c>
      <c r="BX28" s="20">
        <f t="shared" si="0"/>
        <v>2.5190369021150946E-2</v>
      </c>
      <c r="BY28">
        <v>97699.233800000002</v>
      </c>
      <c r="BZ28" s="20">
        <f t="shared" si="1"/>
        <v>8.1207466616817811E-2</v>
      </c>
      <c r="CA28" s="41" t="str" cm="1">
        <f t="array" ref="CA28">_xlfn.IFS(BZ28&gt;$BZ$62,"Very High",BZ28&gt;$BZ$61,"High",BZ28&gt;$BZ$60,"Low",BZ28&lt;=$BZ$60,"Very Low")</f>
        <v>Very Low</v>
      </c>
      <c r="CB28" t="s">
        <v>479</v>
      </c>
    </row>
    <row r="29" spans="1:80">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c r="BS29" s="20">
        <f t="shared" si="2"/>
        <v>0.12142822776073769</v>
      </c>
      <c r="BT29" s="20">
        <f t="shared" si="3"/>
        <v>0.58282935740305952</v>
      </c>
      <c r="BU29" s="20">
        <f t="shared" si="4"/>
        <v>6.5118478572240406E-6</v>
      </c>
      <c r="BV29" s="20">
        <f t="shared" si="5"/>
        <v>0.28858522725894398</v>
      </c>
      <c r="BW29" s="20">
        <f t="shared" si="6"/>
        <v>1.8641525968011885E-3</v>
      </c>
      <c r="BX29" s="20">
        <f t="shared" si="0"/>
        <v>5.2865231326003738E-3</v>
      </c>
      <c r="BY29">
        <v>177470.5404</v>
      </c>
      <c r="BZ29" s="20">
        <f t="shared" si="1"/>
        <v>0.42520370809232583</v>
      </c>
      <c r="CA29" s="41" t="str" cm="1">
        <f t="array" ref="CA29">_xlfn.IFS(BZ29&gt;$BZ$62,"Very High",BZ29&gt;$BZ$61,"High",BZ29&gt;$BZ$60,"Low",BZ29&lt;=$BZ$60,"Very Low")</f>
        <v>Low</v>
      </c>
      <c r="CB29" t="s">
        <v>479</v>
      </c>
    </row>
    <row r="30" spans="1:80">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c r="BS30" s="20">
        <f t="shared" si="2"/>
        <v>0.76333574357913536</v>
      </c>
      <c r="BT30" s="20">
        <f t="shared" si="3"/>
        <v>0.24647696564179972</v>
      </c>
      <c r="BU30" s="20">
        <f t="shared" si="4"/>
        <v>3.9874480866822006E-7</v>
      </c>
      <c r="BV30" s="20">
        <f t="shared" si="5"/>
        <v>1.6084756810975742E-3</v>
      </c>
      <c r="BW30" s="20">
        <f t="shared" si="6"/>
        <v>-1.1859276082985161E-2</v>
      </c>
      <c r="BX30" s="20">
        <f t="shared" si="0"/>
        <v>4.3769243614390105E-4</v>
      </c>
      <c r="BY30">
        <v>305483.60940000002</v>
      </c>
      <c r="BZ30" s="20">
        <f t="shared" si="1"/>
        <v>0.38743639752379222</v>
      </c>
      <c r="CA30" s="41" t="str" cm="1">
        <f t="array" ref="CA30">_xlfn.IFS(BZ30&gt;$BZ$62,"Very High",BZ30&gt;$BZ$61,"High",BZ30&gt;$BZ$60,"Low",BZ30&lt;=$BZ$60,"Very Low")</f>
        <v>Low</v>
      </c>
      <c r="CB30" t="s">
        <v>479</v>
      </c>
    </row>
    <row r="31" spans="1:80">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c r="BS31" s="20">
        <f t="shared" si="2"/>
        <v>0.60520113041617773</v>
      </c>
      <c r="BT31" s="20">
        <f t="shared" si="3"/>
        <v>0.38581429901314551</v>
      </c>
      <c r="BU31" s="20">
        <f t="shared" si="4"/>
        <v>8.9845705706768173E-3</v>
      </c>
      <c r="BV31" s="20">
        <f t="shared" si="5"/>
        <v>0</v>
      </c>
      <c r="BW31" s="20">
        <f t="shared" si="6"/>
        <v>0</v>
      </c>
      <c r="BX31" s="20">
        <f t="shared" si="0"/>
        <v>0</v>
      </c>
      <c r="BY31">
        <v>756108.59450000001</v>
      </c>
      <c r="BZ31" s="20">
        <f t="shared" si="1"/>
        <v>0.12404027797971334</v>
      </c>
      <c r="CA31" s="41" t="str" cm="1">
        <f t="array" ref="CA31">_xlfn.IFS(BZ31&gt;$BZ$62,"Very High",BZ31&gt;$BZ$61,"High",BZ31&gt;$BZ$60,"Low",BZ31&lt;=$BZ$60,"Very Low")</f>
        <v>Very Low</v>
      </c>
      <c r="CB31" t="s">
        <v>475</v>
      </c>
    </row>
    <row r="32" spans="1:80">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c r="BS32" s="20">
        <f t="shared" si="2"/>
        <v>0.74359563946770568</v>
      </c>
      <c r="BT32" s="20">
        <f t="shared" si="3"/>
        <v>0.25640436053229426</v>
      </c>
      <c r="BU32" s="20">
        <f t="shared" si="4"/>
        <v>0</v>
      </c>
      <c r="BV32" s="20">
        <f t="shared" si="5"/>
        <v>0</v>
      </c>
      <c r="BW32" s="20">
        <f t="shared" si="6"/>
        <v>0</v>
      </c>
      <c r="BX32" s="20">
        <f t="shared" si="0"/>
        <v>0</v>
      </c>
      <c r="BY32">
        <v>123810.0722</v>
      </c>
      <c r="BZ32" s="20">
        <f t="shared" si="1"/>
        <v>0.70286897174567842</v>
      </c>
      <c r="CA32" s="41" t="str" cm="1">
        <f t="array" ref="CA32">_xlfn.IFS(BZ32&gt;$BZ$62,"Very High",BZ32&gt;$BZ$61,"High",BZ32&gt;$BZ$60,"Low",BZ32&lt;=$BZ$60,"Very Low")</f>
        <v>Very High</v>
      </c>
      <c r="CB32" t="s">
        <v>473</v>
      </c>
    </row>
    <row r="33" spans="1:80">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c r="BS33" s="20">
        <f t="shared" si="2"/>
        <v>0.30182823426261329</v>
      </c>
      <c r="BT33" s="20">
        <f t="shared" si="3"/>
        <v>0.68579978607569936</v>
      </c>
      <c r="BU33" s="20">
        <f t="shared" si="4"/>
        <v>1.2140209914643063E-2</v>
      </c>
      <c r="BV33" s="20">
        <f t="shared" si="5"/>
        <v>2.3176974704429483E-4</v>
      </c>
      <c r="BW33" s="20">
        <f t="shared" si="6"/>
        <v>0</v>
      </c>
      <c r="BX33" s="20">
        <f t="shared" si="0"/>
        <v>0</v>
      </c>
      <c r="BY33">
        <v>605713.00120000006</v>
      </c>
      <c r="BZ33" s="20">
        <f t="shared" si="1"/>
        <v>0.57753956303181297</v>
      </c>
      <c r="CA33" s="41" t="str" cm="1">
        <f t="array" ref="CA33">_xlfn.IFS(BZ33&gt;$BZ$62,"Very High",BZ33&gt;$BZ$61,"High",BZ33&gt;$BZ$60,"Low",BZ33&lt;=$BZ$60,"Very Low")</f>
        <v>High</v>
      </c>
      <c r="CB33" t="s">
        <v>479</v>
      </c>
    </row>
    <row r="34" spans="1:80">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c r="BS34" s="20">
        <f t="shared" si="2"/>
        <v>0.11983974398132315</v>
      </c>
      <c r="BT34" s="20">
        <f t="shared" si="3"/>
        <v>6.4096684129368031E-3</v>
      </c>
      <c r="BU34" s="20">
        <f t="shared" si="4"/>
        <v>6.2581870100307709E-8</v>
      </c>
      <c r="BV34" s="20">
        <f t="shared" si="5"/>
        <v>0.8737505250244596</v>
      </c>
      <c r="BW34" s="20">
        <f t="shared" si="6"/>
        <v>0</v>
      </c>
      <c r="BX34" s="20">
        <f t="shared" ref="BX34:BX56" si="7">IFERROR(BK34/BM34,0)</f>
        <v>0</v>
      </c>
      <c r="BY34">
        <v>67207973.317000002</v>
      </c>
      <c r="BZ34" s="20">
        <f t="shared" ref="BZ34:BZ56" si="8">IFERROR(BY34/BM34,0)</f>
        <v>0.39631021264964722</v>
      </c>
      <c r="CA34" s="41" t="str" cm="1">
        <f t="array" ref="CA34">_xlfn.IFS(BZ34&gt;$BZ$62,"Very High",BZ34&gt;$BZ$61,"High",BZ34&gt;$BZ$60,"Low",BZ34&lt;=$BZ$60,"Very Low")</f>
        <v>Low</v>
      </c>
      <c r="CB34" t="s">
        <v>475</v>
      </c>
    </row>
    <row r="35" spans="1:80">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c r="BS35" s="20">
        <f t="shared" si="2"/>
        <v>0.54156918034443713</v>
      </c>
      <c r="BT35" s="20">
        <f t="shared" si="3"/>
        <v>0.35001613763058659</v>
      </c>
      <c r="BU35" s="20">
        <f t="shared" si="4"/>
        <v>5.4147085480579749E-4</v>
      </c>
      <c r="BV35" s="20">
        <f t="shared" si="5"/>
        <v>5.6508014856133541E-2</v>
      </c>
      <c r="BW35" s="20">
        <f t="shared" si="6"/>
        <v>0</v>
      </c>
      <c r="BX35" s="20">
        <f t="shared" si="7"/>
        <v>5.1365196314036875E-2</v>
      </c>
      <c r="BY35">
        <v>10652541.5649</v>
      </c>
      <c r="BZ35" s="20">
        <f t="shared" si="8"/>
        <v>0.69356303706950273</v>
      </c>
      <c r="CA35" s="41" t="str" cm="1">
        <f t="array" ref="CA35">_xlfn.IFS(BZ35&gt;$BZ$62,"Very High",BZ35&gt;$BZ$61,"High",BZ35&gt;$BZ$60,"Low",BZ35&lt;=$BZ$60,"Very Low")</f>
        <v>Very High</v>
      </c>
      <c r="CB35" t="s">
        <v>477</v>
      </c>
    </row>
    <row r="36" spans="1:80">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c r="BS36" s="20">
        <f t="shared" si="2"/>
        <v>0.36621678853941403</v>
      </c>
      <c r="BT36" s="20">
        <f t="shared" si="3"/>
        <v>0.28728964433176457</v>
      </c>
      <c r="BU36" s="20">
        <f t="shared" si="4"/>
        <v>6.9373857000821029E-4</v>
      </c>
      <c r="BV36" s="20">
        <f t="shared" si="5"/>
        <v>0.11280775318110713</v>
      </c>
      <c r="BW36" s="20">
        <f t="shared" si="6"/>
        <v>0</v>
      </c>
      <c r="BX36" s="20">
        <f t="shared" si="7"/>
        <v>0.23299207537770611</v>
      </c>
      <c r="BY36">
        <v>81154296.609300002</v>
      </c>
      <c r="BZ36" s="20">
        <f t="shared" si="8"/>
        <v>0.66054274594206519</v>
      </c>
      <c r="CA36" s="41" t="str" cm="1">
        <f t="array" ref="CA36">_xlfn.IFS(BZ36&gt;$BZ$62,"Very High",BZ36&gt;$BZ$61,"High",BZ36&gt;$BZ$60,"Low",BZ36&lt;=$BZ$60,"Very Low")</f>
        <v>High</v>
      </c>
      <c r="CB36" t="s">
        <v>477</v>
      </c>
    </row>
    <row r="37" spans="1:80">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c r="BS37" s="20">
        <f t="shared" si="2"/>
        <v>0.11005250378855715</v>
      </c>
      <c r="BT37" s="20">
        <f t="shared" si="3"/>
        <v>0.5079696532761443</v>
      </c>
      <c r="BU37" s="20">
        <f t="shared" si="4"/>
        <v>1.2841931473532969E-5</v>
      </c>
      <c r="BV37" s="20">
        <f t="shared" si="5"/>
        <v>1.7434676060463482E-3</v>
      </c>
      <c r="BW37" s="20">
        <f t="shared" si="6"/>
        <v>0</v>
      </c>
      <c r="BX37" s="20">
        <f t="shared" si="7"/>
        <v>0.38022153339777875</v>
      </c>
      <c r="BY37">
        <v>1499337.4180999999</v>
      </c>
      <c r="BZ37" s="20">
        <f t="shared" si="8"/>
        <v>0.41772005855304484</v>
      </c>
      <c r="CA37" s="41" t="str" cm="1">
        <f t="array" ref="CA37">_xlfn.IFS(BZ37&gt;$BZ$62,"Very High",BZ37&gt;$BZ$61,"High",BZ37&gt;$BZ$60,"Low",BZ37&lt;=$BZ$60,"Very Low")</f>
        <v>Low</v>
      </c>
      <c r="CB37" t="s">
        <v>479</v>
      </c>
    </row>
    <row r="38" spans="1:80">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c r="BS38" s="20">
        <f t="shared" si="2"/>
        <v>0.55995420313011346</v>
      </c>
      <c r="BT38" s="20">
        <f t="shared" si="3"/>
        <v>0.33073518685120823</v>
      </c>
      <c r="BU38" s="20">
        <f t="shared" si="4"/>
        <v>4.1449331789610112E-2</v>
      </c>
      <c r="BV38" s="20">
        <f t="shared" si="5"/>
        <v>5.215174558101484E-2</v>
      </c>
      <c r="BW38" s="20">
        <f t="shared" si="6"/>
        <v>0</v>
      </c>
      <c r="BX38" s="20">
        <f t="shared" si="7"/>
        <v>1.5709532648053286E-2</v>
      </c>
      <c r="BY38">
        <v>6239838.2265999997</v>
      </c>
      <c r="BZ38" s="20">
        <f t="shared" si="8"/>
        <v>0.50306513514939222</v>
      </c>
      <c r="CA38" s="41" t="str" cm="1">
        <f t="array" ref="CA38">_xlfn.IFS(BZ38&gt;$BZ$62,"Very High",BZ38&gt;$BZ$61,"High",BZ38&gt;$BZ$60,"Low",BZ38&lt;=$BZ$60,"Very Low")</f>
        <v>Low</v>
      </c>
      <c r="CB38" t="s">
        <v>479</v>
      </c>
    </row>
    <row r="39" spans="1:80">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c r="BS39" s="20">
        <f t="shared" si="2"/>
        <v>0.59163026229779581</v>
      </c>
      <c r="BT39" s="20">
        <f t="shared" si="3"/>
        <v>0.28417756931618426</v>
      </c>
      <c r="BU39" s="20">
        <f t="shared" si="4"/>
        <v>4.039327667361724E-4</v>
      </c>
      <c r="BV39" s="20">
        <f t="shared" si="5"/>
        <v>4.7061779584506754E-2</v>
      </c>
      <c r="BW39" s="20">
        <f t="shared" si="6"/>
        <v>0</v>
      </c>
      <c r="BX39" s="20">
        <f t="shared" si="7"/>
        <v>7.6726456104750179E-2</v>
      </c>
      <c r="BY39">
        <v>418202.82199999999</v>
      </c>
      <c r="BZ39" s="20">
        <f t="shared" si="8"/>
        <v>0.29262975547641557</v>
      </c>
      <c r="CA39" s="41" t="str" cm="1">
        <f t="array" ref="CA39">_xlfn.IFS(BZ39&gt;$BZ$62,"Very High",BZ39&gt;$BZ$61,"High",BZ39&gt;$BZ$60,"Low",BZ39&lt;=$BZ$60,"Very Low")</f>
        <v>Very Low</v>
      </c>
      <c r="CB39" t="s">
        <v>479</v>
      </c>
    </row>
    <row r="40" spans="1:80">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c r="BS40" s="20">
        <f t="shared" si="2"/>
        <v>0.34248704815880998</v>
      </c>
      <c r="BT40" s="20">
        <f t="shared" si="3"/>
        <v>0.6071886488862952</v>
      </c>
      <c r="BU40" s="20">
        <f t="shared" si="4"/>
        <v>8.8252782631722824E-5</v>
      </c>
      <c r="BV40" s="20">
        <f t="shared" si="5"/>
        <v>1.0307397354295591E-2</v>
      </c>
      <c r="BW40" s="20">
        <f t="shared" si="6"/>
        <v>0</v>
      </c>
      <c r="BX40" s="20">
        <f t="shared" si="7"/>
        <v>3.99286527433384E-2</v>
      </c>
      <c r="BY40">
        <v>578770.76989999996</v>
      </c>
      <c r="BZ40" s="20">
        <f t="shared" si="8"/>
        <v>0.43193100816267482</v>
      </c>
      <c r="CA40" s="41" t="str" cm="1">
        <f t="array" ref="CA40">_xlfn.IFS(BZ40&gt;$BZ$62,"Very High",BZ40&gt;$BZ$61,"High",BZ40&gt;$BZ$60,"Low",BZ40&lt;=$BZ$60,"Very Low")</f>
        <v>Low</v>
      </c>
      <c r="CB40" t="s">
        <v>479</v>
      </c>
    </row>
    <row r="41" spans="1:80">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c r="BS41" s="20">
        <f t="shared" si="2"/>
        <v>0.40851138847166907</v>
      </c>
      <c r="BT41" s="20">
        <f t="shared" si="3"/>
        <v>0.57144379241157728</v>
      </c>
      <c r="BU41" s="20">
        <f t="shared" si="4"/>
        <v>5.3143925055194521E-3</v>
      </c>
      <c r="BV41" s="20">
        <f t="shared" si="5"/>
        <v>1.663957331171802E-3</v>
      </c>
      <c r="BW41" s="20">
        <f t="shared" si="6"/>
        <v>0</v>
      </c>
      <c r="BX41" s="20">
        <f t="shared" si="7"/>
        <v>1.3066469289800405E-2</v>
      </c>
      <c r="BY41">
        <v>3875508.3530000001</v>
      </c>
      <c r="BZ41" s="20">
        <f t="shared" si="8"/>
        <v>0.37739719359958052</v>
      </c>
      <c r="CA41" s="41" t="str" cm="1">
        <f t="array" ref="CA41">_xlfn.IFS(BZ41&gt;$BZ$62,"Very High",BZ41&gt;$BZ$61,"High",BZ41&gt;$BZ$60,"Low",BZ41&lt;=$BZ$60,"Very Low")</f>
        <v>Very Low</v>
      </c>
      <c r="CB41" t="s">
        <v>479</v>
      </c>
    </row>
    <row r="42" spans="1:80">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c r="BS42" s="20">
        <f t="shared" si="2"/>
        <v>0.45840985639756915</v>
      </c>
      <c r="BT42" s="20">
        <f t="shared" si="3"/>
        <v>0.53086312379932965</v>
      </c>
      <c r="BU42" s="20">
        <f t="shared" si="4"/>
        <v>1.0727019842505346E-2</v>
      </c>
      <c r="BV42" s="20">
        <f t="shared" si="5"/>
        <v>0</v>
      </c>
      <c r="BW42" s="20">
        <f t="shared" si="6"/>
        <v>0</v>
      </c>
      <c r="BX42" s="20">
        <f t="shared" si="7"/>
        <v>0</v>
      </c>
      <c r="BY42">
        <v>1463249.4748</v>
      </c>
      <c r="BZ42" s="20">
        <f t="shared" si="8"/>
        <v>0.57658079303339727</v>
      </c>
      <c r="CA42" s="41" t="str" cm="1">
        <f t="array" ref="CA42">_xlfn.IFS(BZ42&gt;$BZ$62,"Very High",BZ42&gt;$BZ$61,"High",BZ42&gt;$BZ$60,"Low",BZ42&lt;=$BZ$60,"Very Low")</f>
        <v>Low</v>
      </c>
      <c r="CB42" t="s">
        <v>479</v>
      </c>
    </row>
    <row r="43" spans="1:80">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c r="BS43" s="20">
        <f t="shared" si="2"/>
        <v>0.66867325230633812</v>
      </c>
      <c r="BT43" s="20">
        <f t="shared" si="3"/>
        <v>0.28677891963661423</v>
      </c>
      <c r="BU43" s="20">
        <f t="shared" si="4"/>
        <v>1.7028894196430239E-3</v>
      </c>
      <c r="BV43" s="20">
        <f t="shared" si="5"/>
        <v>0</v>
      </c>
      <c r="BW43" s="20">
        <f t="shared" si="6"/>
        <v>0</v>
      </c>
      <c r="BX43" s="20">
        <f t="shared" si="7"/>
        <v>4.2844938637404663E-2</v>
      </c>
      <c r="BY43">
        <v>1563970.3318</v>
      </c>
      <c r="BZ43" s="20">
        <f t="shared" si="8"/>
        <v>0.61640091826788057</v>
      </c>
      <c r="CA43" s="41" t="str" cm="1">
        <f t="array" ref="CA43">_xlfn.IFS(BZ43&gt;$BZ$62,"Very High",BZ43&gt;$BZ$61,"High",BZ43&gt;$BZ$60,"Low",BZ43&lt;=$BZ$60,"Very Low")</f>
        <v>High</v>
      </c>
      <c r="CB43" t="s">
        <v>479</v>
      </c>
    </row>
    <row r="44" spans="1:80">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c r="BS44" s="20">
        <f t="shared" si="2"/>
        <v>0.11492054031954733</v>
      </c>
      <c r="BT44" s="20">
        <f t="shared" si="3"/>
        <v>0.84893442884427872</v>
      </c>
      <c r="BU44" s="20">
        <f t="shared" si="4"/>
        <v>2.7358632718222746E-2</v>
      </c>
      <c r="BV44" s="20">
        <f t="shared" si="5"/>
        <v>0</v>
      </c>
      <c r="BW44" s="20">
        <f t="shared" si="6"/>
        <v>0</v>
      </c>
      <c r="BX44" s="20">
        <f t="shared" si="7"/>
        <v>8.7863981179513058E-3</v>
      </c>
      <c r="BY44">
        <v>12404749.294</v>
      </c>
      <c r="BZ44" s="20">
        <f t="shared" si="8"/>
        <v>0.40913296190090109</v>
      </c>
      <c r="CA44" s="41" t="str" cm="1">
        <f t="array" ref="CA44">_xlfn.IFS(BZ44&gt;$BZ$62,"Very High",BZ44&gt;$BZ$61,"High",BZ44&gt;$BZ$60,"Low",BZ44&lt;=$BZ$60,"Very Low")</f>
        <v>Low</v>
      </c>
      <c r="CB44" t="s">
        <v>479</v>
      </c>
    </row>
    <row r="45" spans="1:80">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c r="BS45" s="20">
        <f t="shared" si="2"/>
        <v>0.46181932915154422</v>
      </c>
      <c r="BT45" s="20">
        <f t="shared" si="3"/>
        <v>0.4868499464609618</v>
      </c>
      <c r="BU45" s="20">
        <f t="shared" si="4"/>
        <v>4.2693550379871305E-2</v>
      </c>
      <c r="BV45" s="20">
        <f t="shared" si="5"/>
        <v>0</v>
      </c>
      <c r="BW45" s="20">
        <f t="shared" si="6"/>
        <v>0</v>
      </c>
      <c r="BX45" s="20">
        <f t="shared" si="7"/>
        <v>8.6371740105647046E-3</v>
      </c>
      <c r="BY45">
        <v>21031257.872200001</v>
      </c>
      <c r="BZ45" s="20">
        <f t="shared" si="8"/>
        <v>0.61875219334198772</v>
      </c>
      <c r="CA45" s="41" t="str" cm="1">
        <f t="array" ref="CA45">_xlfn.IFS(BZ45&gt;$BZ$62,"Very High",BZ45&gt;$BZ$61,"High",BZ45&gt;$BZ$60,"Low",BZ45&lt;=$BZ$60,"Very Low")</f>
        <v>High</v>
      </c>
      <c r="CB45" t="s">
        <v>477</v>
      </c>
    </row>
    <row r="46" spans="1:80">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c r="BS46" s="20">
        <f t="shared" si="2"/>
        <v>0.73622136508592517</v>
      </c>
      <c r="BT46" s="20">
        <f t="shared" si="3"/>
        <v>0.24957587830781855</v>
      </c>
      <c r="BU46" s="20">
        <f t="shared" si="4"/>
        <v>1.0379288153959424E-2</v>
      </c>
      <c r="BV46" s="20">
        <f t="shared" si="5"/>
        <v>0</v>
      </c>
      <c r="BW46" s="20">
        <f t="shared" si="6"/>
        <v>0</v>
      </c>
      <c r="BX46" s="20">
        <f t="shared" si="7"/>
        <v>3.8234684522967803E-3</v>
      </c>
      <c r="BY46">
        <v>8257684.9891999997</v>
      </c>
      <c r="BZ46" s="20">
        <f t="shared" si="8"/>
        <v>0.8325450408321764</v>
      </c>
      <c r="CA46" s="41" t="str" cm="1">
        <f t="array" ref="CA46">_xlfn.IFS(BZ46&gt;$BZ$62,"Very High",BZ46&gt;$BZ$61,"High",BZ46&gt;$BZ$60,"Low",BZ46&lt;=$BZ$60,"Very Low")</f>
        <v>Very High</v>
      </c>
      <c r="CB46" t="s">
        <v>477</v>
      </c>
    </row>
    <row r="47" spans="1:80">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c r="BS47" s="20">
        <f t="shared" si="2"/>
        <v>0.29313434043736336</v>
      </c>
      <c r="BT47" s="20">
        <f t="shared" si="3"/>
        <v>0.7022006505431827</v>
      </c>
      <c r="BU47" s="20">
        <f t="shared" si="4"/>
        <v>0</v>
      </c>
      <c r="BV47" s="20">
        <f t="shared" si="5"/>
        <v>0</v>
      </c>
      <c r="BW47" s="20">
        <f t="shared" si="6"/>
        <v>0</v>
      </c>
      <c r="BX47" s="20">
        <f t="shared" si="7"/>
        <v>4.6650090194539241E-3</v>
      </c>
      <c r="BY47">
        <v>3359774.3964</v>
      </c>
      <c r="BZ47" s="20">
        <f t="shared" si="8"/>
        <v>0.67006461979107534</v>
      </c>
      <c r="CA47" s="41" t="str" cm="1">
        <f t="array" ref="CA47">_xlfn.IFS(BZ47&gt;$BZ$62,"Very High",BZ47&gt;$BZ$61,"High",BZ47&gt;$BZ$60,"Low",BZ47&lt;=$BZ$60,"Very Low")</f>
        <v>High</v>
      </c>
      <c r="CB47" t="s">
        <v>473</v>
      </c>
    </row>
    <row r="48" spans="1:80">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c r="BS48" s="20">
        <f t="shared" si="2"/>
        <v>0.80953462458273484</v>
      </c>
      <c r="BT48" s="20">
        <f t="shared" si="3"/>
        <v>0.19019609891833378</v>
      </c>
      <c r="BU48" s="20">
        <f t="shared" si="4"/>
        <v>2.1801075297123426E-6</v>
      </c>
      <c r="BV48" s="20">
        <f t="shared" si="5"/>
        <v>0</v>
      </c>
      <c r="BW48" s="20">
        <f t="shared" si="6"/>
        <v>0</v>
      </c>
      <c r="BX48" s="20">
        <f t="shared" si="7"/>
        <v>2.6709639140159351E-4</v>
      </c>
      <c r="BY48">
        <v>1584157.4489</v>
      </c>
      <c r="BZ48" s="20">
        <f t="shared" si="8"/>
        <v>0.64768178508275709</v>
      </c>
      <c r="CA48" s="41" t="str" cm="1">
        <f t="array" ref="CA48">_xlfn.IFS(BZ48&gt;$BZ$62,"Very High",BZ48&gt;$BZ$61,"High",BZ48&gt;$BZ$60,"Low",BZ48&lt;=$BZ$60,"Very Low")</f>
        <v>High</v>
      </c>
      <c r="CB48" t="s">
        <v>473</v>
      </c>
    </row>
    <row r="49" spans="1:84">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c r="BS49" s="20">
        <f t="shared" si="2"/>
        <v>0.74207828170626677</v>
      </c>
      <c r="BT49" s="20">
        <f t="shared" si="3"/>
        <v>0.25792171190268653</v>
      </c>
      <c r="BU49" s="20">
        <f t="shared" si="4"/>
        <v>0</v>
      </c>
      <c r="BV49" s="20">
        <f t="shared" si="5"/>
        <v>0</v>
      </c>
      <c r="BW49" s="20">
        <f t="shared" si="6"/>
        <v>0</v>
      </c>
      <c r="BX49" s="20">
        <f t="shared" si="7"/>
        <v>0</v>
      </c>
      <c r="BY49">
        <v>9744.3904999999995</v>
      </c>
      <c r="BZ49" s="20">
        <f t="shared" si="8"/>
        <v>0.62276854209757493</v>
      </c>
      <c r="CA49" s="41" t="str" cm="1">
        <f t="array" ref="CA49">_xlfn.IFS(BZ49&gt;$BZ$62,"Very High",BZ49&gt;$BZ$61,"High",BZ49&gt;$BZ$60,"Low",BZ49&lt;=$BZ$60,"Very Low")</f>
        <v>High</v>
      </c>
      <c r="CB49" t="s">
        <v>473</v>
      </c>
    </row>
    <row r="50" spans="1:84">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c r="BS50" s="20">
        <f t="shared" si="2"/>
        <v>0.18913150617521576</v>
      </c>
      <c r="BT50" s="20">
        <f t="shared" si="3"/>
        <v>0.80652256624100027</v>
      </c>
      <c r="BU50" s="20">
        <f t="shared" si="4"/>
        <v>0</v>
      </c>
      <c r="BV50" s="20">
        <f t="shared" si="5"/>
        <v>0</v>
      </c>
      <c r="BW50" s="20">
        <f t="shared" si="6"/>
        <v>0</v>
      </c>
      <c r="BX50" s="20">
        <f t="shared" si="7"/>
        <v>4.3459275837840084E-3</v>
      </c>
      <c r="BY50">
        <v>20580129.695999999</v>
      </c>
      <c r="BZ50" s="20">
        <f t="shared" si="8"/>
        <v>0.81920263425975504</v>
      </c>
      <c r="CA50" s="41" t="str" cm="1">
        <f t="array" ref="CA50">_xlfn.IFS(BZ50&gt;$BZ$62,"Very High",BZ50&gt;$BZ$61,"High",BZ50&gt;$BZ$60,"Low",BZ50&lt;=$BZ$60,"Very Low")</f>
        <v>Very High</v>
      </c>
      <c r="CB50" t="s">
        <v>473</v>
      </c>
    </row>
    <row r="51" spans="1:84">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c r="BS51" s="20">
        <f t="shared" si="2"/>
        <v>0.71898499691325712</v>
      </c>
      <c r="BT51" s="20">
        <f t="shared" si="3"/>
        <v>0.19622772914358813</v>
      </c>
      <c r="BU51" s="20">
        <f t="shared" si="4"/>
        <v>4.2721971069957204E-2</v>
      </c>
      <c r="BV51" s="20">
        <f t="shared" si="5"/>
        <v>0</v>
      </c>
      <c r="BW51" s="20">
        <f t="shared" si="6"/>
        <v>0</v>
      </c>
      <c r="BX51" s="20">
        <f t="shared" si="7"/>
        <v>4.2065302873197437E-2</v>
      </c>
      <c r="BY51">
        <v>726780.17440000002</v>
      </c>
      <c r="BZ51" s="20">
        <f t="shared" si="8"/>
        <v>0.56460138194023812</v>
      </c>
      <c r="CA51" s="41" t="str" cm="1">
        <f t="array" ref="CA51">_xlfn.IFS(BZ51&gt;$BZ$62,"Very High",BZ51&gt;$BZ$61,"High",BZ51&gt;$BZ$60,"Low",BZ51&lt;=$BZ$60,"Very Low")</f>
        <v>Low</v>
      </c>
      <c r="CB51" t="s">
        <v>473</v>
      </c>
    </row>
    <row r="52" spans="1:84">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c r="BS52" s="20">
        <f t="shared" si="2"/>
        <v>0.14518682158177446</v>
      </c>
      <c r="BT52" s="20">
        <f t="shared" si="3"/>
        <v>1.1915089699975187E-3</v>
      </c>
      <c r="BU52" s="20">
        <f t="shared" si="4"/>
        <v>0.85329532263534758</v>
      </c>
      <c r="BV52" s="20">
        <f t="shared" si="5"/>
        <v>0</v>
      </c>
      <c r="BW52" s="20">
        <f t="shared" si="6"/>
        <v>0</v>
      </c>
      <c r="BX52" s="20">
        <f t="shared" si="7"/>
        <v>3.2634681658214542E-4</v>
      </c>
      <c r="BY52">
        <v>16676072.775800001</v>
      </c>
      <c r="BZ52" s="20">
        <f t="shared" si="8"/>
        <v>0.61729219067902852</v>
      </c>
      <c r="CA52" s="41" t="str" cm="1">
        <f t="array" ref="CA52">_xlfn.IFS(BZ52&gt;$BZ$62,"Very High",BZ52&gt;$BZ$61,"High",BZ52&gt;$BZ$60,"Low",BZ52&lt;=$BZ$60,"Very Low")</f>
        <v>High</v>
      </c>
      <c r="CB52" t="s">
        <v>473</v>
      </c>
      <c r="CC52">
        <v>302</v>
      </c>
      <c r="CD52">
        <v>51</v>
      </c>
      <c r="CE52">
        <v>33</v>
      </c>
      <c r="CF52">
        <v>37</v>
      </c>
    </row>
    <row r="53" spans="1:84">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c r="BS53" s="20">
        <f t="shared" si="2"/>
        <v>1.2943815006874139E-2</v>
      </c>
      <c r="BT53" s="20">
        <f t="shared" si="3"/>
        <v>0.58579284841666279</v>
      </c>
      <c r="BU53" s="20">
        <f t="shared" si="4"/>
        <v>0.40073110518730765</v>
      </c>
      <c r="BV53" s="20">
        <f t="shared" si="5"/>
        <v>0</v>
      </c>
      <c r="BW53" s="20">
        <f t="shared" si="6"/>
        <v>0</v>
      </c>
      <c r="BX53" s="20">
        <f t="shared" si="7"/>
        <v>5.3223138915551508E-4</v>
      </c>
      <c r="BY53">
        <v>13568093.8621</v>
      </c>
      <c r="BZ53" s="20">
        <f t="shared" si="8"/>
        <v>0.68279770758540026</v>
      </c>
      <c r="CA53" s="41" t="str" cm="1">
        <f t="array" ref="CA53">_xlfn.IFS(BZ53&gt;$BZ$62,"Very High",BZ53&gt;$BZ$61,"High",BZ53&gt;$BZ$60,"Low",BZ53&lt;=$BZ$60,"Very Low")</f>
        <v>Very High</v>
      </c>
      <c r="CB53" t="s">
        <v>473</v>
      </c>
    </row>
    <row r="54" spans="1:84">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c r="BS54" s="20">
        <f t="shared" si="2"/>
        <v>7.3408099693692302E-2</v>
      </c>
      <c r="BT54" s="20">
        <f t="shared" si="3"/>
        <v>0.59709046587476089</v>
      </c>
      <c r="BU54" s="20">
        <f t="shared" si="4"/>
        <v>0.32390334913628316</v>
      </c>
      <c r="BV54" s="20">
        <f t="shared" si="5"/>
        <v>0</v>
      </c>
      <c r="BW54" s="20">
        <f t="shared" si="6"/>
        <v>0</v>
      </c>
      <c r="BX54" s="20">
        <f t="shared" si="7"/>
        <v>5.598085295263738E-3</v>
      </c>
      <c r="BY54">
        <v>4065505.7091999999</v>
      </c>
      <c r="BZ54" s="20">
        <f t="shared" si="8"/>
        <v>0.50261612543657586</v>
      </c>
      <c r="CA54" s="41" t="str" cm="1">
        <f t="array" ref="CA54">_xlfn.IFS(BZ54&gt;$BZ$62,"Very High",BZ54&gt;$BZ$61,"High",BZ54&gt;$BZ$60,"Low",BZ54&lt;=$BZ$60,"Very Low")</f>
        <v>Low</v>
      </c>
      <c r="CB54" t="s">
        <v>479</v>
      </c>
    </row>
    <row r="55" spans="1:84">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c r="BS55" s="20">
        <f t="shared" si="2"/>
        <v>0.42878139581481528</v>
      </c>
      <c r="BT55" s="20">
        <f t="shared" si="3"/>
        <v>0.41283510147900876</v>
      </c>
      <c r="BU55" s="20">
        <f t="shared" si="4"/>
        <v>0.14509165686176914</v>
      </c>
      <c r="BV55" s="20">
        <f t="shared" si="5"/>
        <v>0</v>
      </c>
      <c r="BW55" s="20">
        <f t="shared" si="6"/>
        <v>0</v>
      </c>
      <c r="BX55" s="20">
        <f t="shared" si="7"/>
        <v>1.3291845829719321E-2</v>
      </c>
      <c r="BY55">
        <v>4426895.7226999998</v>
      </c>
      <c r="BZ55" s="20">
        <f t="shared" si="8"/>
        <v>0.65020163294554478</v>
      </c>
      <c r="CA55" s="41" t="str" cm="1">
        <f t="array" ref="CA55">_xlfn.IFS(BZ55&gt;$BZ$62,"Very High",BZ55&gt;$BZ$61,"High",BZ55&gt;$BZ$60,"Low",BZ55&lt;=$BZ$60,"Very Low")</f>
        <v>High</v>
      </c>
      <c r="CB55" t="s">
        <v>473</v>
      </c>
    </row>
    <row r="56" spans="1:84">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c r="BS56" s="20">
        <f t="shared" si="2"/>
        <v>0</v>
      </c>
      <c r="BT56" s="20">
        <f t="shared" si="3"/>
        <v>0</v>
      </c>
      <c r="BU56" s="20">
        <f t="shared" si="4"/>
        <v>0</v>
      </c>
      <c r="BV56" s="20">
        <f t="shared" si="5"/>
        <v>0</v>
      </c>
      <c r="BW56" s="20">
        <f t="shared" si="6"/>
        <v>0</v>
      </c>
      <c r="BX56" s="20">
        <f t="shared" si="7"/>
        <v>0</v>
      </c>
      <c r="BY56">
        <v>0</v>
      </c>
      <c r="BZ56" s="20">
        <f t="shared" si="8"/>
        <v>0</v>
      </c>
      <c r="CA56" s="41" t="str" cm="1">
        <f t="array" ref="CA56">_xlfn.IFS(BZ56&gt;$BZ$62,"Very High",BZ56&gt;$BZ$61,"High",BZ56&gt;$BZ$60,"Low",BZ56&lt;=$BZ$60,"Very Low")</f>
        <v>Very Low</v>
      </c>
      <c r="CB56" t="s">
        <v>473</v>
      </c>
    </row>
    <row r="57" spans="1:84">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84">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c r="BY58" t="s">
        <v>459</v>
      </c>
      <c r="BZ58" s="40">
        <f>MEDIAN(BZ2:BZ56)</f>
        <v>0.57658079303339727</v>
      </c>
    </row>
    <row r="59" spans="1:84">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c r="BY59" t="s">
        <v>460</v>
      </c>
      <c r="BZ59" s="40">
        <f>MIN(BZ2:BZ56)</f>
        <v>0</v>
      </c>
    </row>
    <row r="60" spans="1:84">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c r="BY60" t="s">
        <v>461</v>
      </c>
      <c r="BZ60" s="20">
        <f>_xlfn.QUARTILE.INC(BZ2:BZ56,1)</f>
        <v>0.3824167955616864</v>
      </c>
    </row>
    <row r="61" spans="1:84">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c r="BY61" t="s">
        <v>462</v>
      </c>
      <c r="BZ61" s="20">
        <f>_xlfn.QUARTILE.INC(BZ2:BZ56,2)</f>
        <v>0.57658079303339727</v>
      </c>
    </row>
    <row r="62" spans="1:84">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c r="BY62" t="s">
        <v>463</v>
      </c>
      <c r="BZ62" s="20">
        <f>_xlfn.QUARTILE.INC(BZ2:BZ56,3)</f>
        <v>0.67643116368823786</v>
      </c>
    </row>
    <row r="63" spans="1:84">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c r="BY63" t="s">
        <v>464</v>
      </c>
      <c r="BZ63" s="40">
        <f>MAX(BZ2:BZ56)</f>
        <v>0.88130927467379638</v>
      </c>
    </row>
    <row r="64" spans="1:84">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mergeCells count="3">
    <mergeCell ref="CE1:CG1"/>
    <mergeCell ref="CJ1:CL1"/>
    <mergeCell ref="CO1:CQ1"/>
  </mergeCells>
  <conditionalFormatting sqref="BS2:BX56">
    <cfRule type="colorScale" priority="1">
      <colorScale>
        <cfvo type="min"/>
        <cfvo type="max"/>
        <color rgb="FFFCFCFF"/>
        <color rgb="FFF8696B"/>
      </colorScale>
    </cfRule>
  </conditionalFormatting>
  <conditionalFormatting sqref="BX2:BX56">
    <cfRule type="colorScale" priority="5">
      <colorScale>
        <cfvo type="min"/>
        <cfvo type="max"/>
        <color rgb="FFFCFCFF"/>
        <color rgb="FFF8696B"/>
      </colorScale>
    </cfRule>
  </conditionalFormatting>
  <conditionalFormatting sqref="CA2:CA56">
    <cfRule type="cellIs" dxfId="2" priority="2" operator="equal">
      <formula>"LOW"</formula>
    </cfRule>
    <cfRule type="cellIs" dxfId="1" priority="6" operator="equal">
      <formula>"very low"</formula>
    </cfRule>
  </conditionalFormatting>
  <conditionalFormatting sqref="CB2:CC56">
    <cfRule type="cellIs" dxfId="0" priority="3" operator="equal">
      <formula>"K1 (BL Tinggi, FL Tinggi)"</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8CE1E-1794-4236-86BC-AA630B4A6D97}">
  <sheetPr>
    <tabColor rgb="FFFFFF00"/>
  </sheetPr>
  <dimension ref="A1:I56"/>
  <sheetViews>
    <sheetView topLeftCell="A12" zoomScale="48" workbookViewId="0">
      <selection sqref="A1:B56"/>
    </sheetView>
  </sheetViews>
  <sheetFormatPr defaultRowHeight="14.5"/>
  <cols>
    <col min="1" max="1" width="8.36328125" bestFit="1" customWidth="1"/>
    <col min="2" max="2" width="87.08984375" bestFit="1" customWidth="1"/>
    <col min="3" max="3" width="11" customWidth="1"/>
    <col min="4" max="4" width="31" customWidth="1"/>
    <col min="5" max="5" width="58.90625" customWidth="1"/>
    <col min="6" max="6" width="11.36328125" bestFit="1" customWidth="1"/>
    <col min="7" max="7" width="13.54296875" bestFit="1" customWidth="1"/>
    <col min="8" max="8" width="17.6328125" bestFit="1" customWidth="1"/>
    <col min="9" max="9" width="11.54296875" style="4" bestFit="1" customWidth="1"/>
  </cols>
  <sheetData>
    <row r="1" spans="1:9" s="1" customFormat="1">
      <c r="A1" t="s">
        <v>263</v>
      </c>
      <c r="B1" t="s">
        <v>264</v>
      </c>
      <c r="C1" s="1" t="s">
        <v>265</v>
      </c>
      <c r="D1" s="1" t="s">
        <v>266</v>
      </c>
      <c r="E1" s="1" t="s">
        <v>267</v>
      </c>
      <c r="F1" t="s">
        <v>314</v>
      </c>
      <c r="G1" t="s">
        <v>315</v>
      </c>
      <c r="H1" t="s">
        <v>316</v>
      </c>
      <c r="I1" s="4" t="s">
        <v>317</v>
      </c>
    </row>
    <row r="2" spans="1:9">
      <c r="A2">
        <v>1</v>
      </c>
      <c r="B2" t="s">
        <v>69</v>
      </c>
      <c r="C2" t="s">
        <v>368</v>
      </c>
      <c r="D2" t="s">
        <v>369</v>
      </c>
      <c r="E2" t="s">
        <v>269</v>
      </c>
      <c r="F2">
        <v>1</v>
      </c>
      <c r="G2">
        <v>0</v>
      </c>
      <c r="H2">
        <v>0</v>
      </c>
      <c r="I2" s="4">
        <v>301420</v>
      </c>
    </row>
    <row r="3" spans="1:9">
      <c r="A3">
        <v>2</v>
      </c>
      <c r="B3" t="s">
        <v>70</v>
      </c>
      <c r="C3" t="s">
        <v>370</v>
      </c>
      <c r="D3" t="s">
        <v>270</v>
      </c>
      <c r="E3" t="s">
        <v>269</v>
      </c>
      <c r="F3">
        <v>1</v>
      </c>
      <c r="G3">
        <v>0</v>
      </c>
      <c r="H3">
        <v>0</v>
      </c>
      <c r="I3" s="4">
        <v>106345</v>
      </c>
    </row>
    <row r="4" spans="1:9">
      <c r="A4">
        <v>3</v>
      </c>
      <c r="B4" t="s">
        <v>71</v>
      </c>
      <c r="C4" t="s">
        <v>271</v>
      </c>
      <c r="D4" t="s">
        <v>71</v>
      </c>
      <c r="E4" t="s">
        <v>269</v>
      </c>
      <c r="F4">
        <v>1</v>
      </c>
      <c r="G4">
        <v>0</v>
      </c>
      <c r="H4">
        <v>0</v>
      </c>
      <c r="I4" s="4">
        <v>208167</v>
      </c>
    </row>
    <row r="5" spans="1:9">
      <c r="A5">
        <v>4</v>
      </c>
      <c r="B5" t="s">
        <v>72</v>
      </c>
      <c r="C5" t="s">
        <v>272</v>
      </c>
      <c r="D5" t="s">
        <v>371</v>
      </c>
      <c r="E5" t="s">
        <v>269</v>
      </c>
      <c r="F5">
        <v>1</v>
      </c>
      <c r="G5">
        <v>0</v>
      </c>
      <c r="H5">
        <v>0</v>
      </c>
      <c r="I5" s="4">
        <v>375145</v>
      </c>
    </row>
    <row r="6" spans="1:9">
      <c r="A6">
        <v>5</v>
      </c>
      <c r="B6" t="s">
        <v>73</v>
      </c>
      <c r="C6" t="s">
        <v>273</v>
      </c>
      <c r="D6" t="s">
        <v>372</v>
      </c>
      <c r="E6" t="s">
        <v>269</v>
      </c>
      <c r="F6">
        <v>1</v>
      </c>
      <c r="G6">
        <v>0</v>
      </c>
      <c r="H6">
        <v>0</v>
      </c>
      <c r="I6" s="4">
        <v>71359</v>
      </c>
    </row>
    <row r="7" spans="1:9">
      <c r="A7">
        <v>6</v>
      </c>
      <c r="B7" t="s">
        <v>74</v>
      </c>
      <c r="C7" t="s">
        <v>274</v>
      </c>
      <c r="D7" t="s">
        <v>74</v>
      </c>
      <c r="E7" t="s">
        <v>269</v>
      </c>
      <c r="F7">
        <v>1</v>
      </c>
      <c r="G7">
        <v>0</v>
      </c>
      <c r="H7">
        <v>0</v>
      </c>
      <c r="I7" s="4">
        <v>211536</v>
      </c>
    </row>
    <row r="8" spans="1:9">
      <c r="A8">
        <v>7</v>
      </c>
      <c r="B8" t="s">
        <v>75</v>
      </c>
      <c r="C8" t="s">
        <v>275</v>
      </c>
      <c r="D8" t="s">
        <v>373</v>
      </c>
      <c r="E8" t="s">
        <v>269</v>
      </c>
      <c r="F8">
        <v>0</v>
      </c>
      <c r="G8">
        <v>1</v>
      </c>
      <c r="H8" s="21">
        <v>2.2891362553301596E-3</v>
      </c>
      <c r="I8" s="4">
        <v>45609</v>
      </c>
    </row>
    <row r="9" spans="1:9">
      <c r="A9">
        <v>8</v>
      </c>
      <c r="B9" t="s">
        <v>76</v>
      </c>
      <c r="C9" t="s">
        <v>276</v>
      </c>
      <c r="D9" t="s">
        <v>374</v>
      </c>
      <c r="E9" t="s">
        <v>269</v>
      </c>
      <c r="F9">
        <v>1</v>
      </c>
      <c r="G9">
        <v>0</v>
      </c>
      <c r="H9">
        <v>0</v>
      </c>
      <c r="I9" s="4">
        <v>196766</v>
      </c>
    </row>
    <row r="10" spans="1:9">
      <c r="A10">
        <v>9</v>
      </c>
      <c r="B10" t="s">
        <v>77</v>
      </c>
      <c r="C10" t="s">
        <v>375</v>
      </c>
      <c r="D10" t="s">
        <v>77</v>
      </c>
      <c r="E10" t="s">
        <v>269</v>
      </c>
      <c r="F10">
        <v>1</v>
      </c>
      <c r="G10">
        <v>0</v>
      </c>
      <c r="H10">
        <v>0</v>
      </c>
      <c r="I10" s="4">
        <v>365350</v>
      </c>
    </row>
    <row r="11" spans="1:9">
      <c r="A11">
        <v>10</v>
      </c>
      <c r="B11" t="s">
        <v>78</v>
      </c>
      <c r="C11" t="s">
        <v>277</v>
      </c>
      <c r="D11" t="s">
        <v>376</v>
      </c>
      <c r="E11" t="s">
        <v>278</v>
      </c>
      <c r="F11">
        <v>0</v>
      </c>
      <c r="G11">
        <v>1</v>
      </c>
      <c r="H11" s="3">
        <v>-1.18E-2</v>
      </c>
      <c r="I11" s="4">
        <v>50788</v>
      </c>
    </row>
    <row r="12" spans="1:9">
      <c r="A12">
        <v>11</v>
      </c>
      <c r="B12" t="s">
        <v>79</v>
      </c>
      <c r="C12" t="s">
        <v>279</v>
      </c>
      <c r="D12" t="s">
        <v>377</v>
      </c>
      <c r="E12" t="s">
        <v>278</v>
      </c>
      <c r="F12">
        <v>0</v>
      </c>
      <c r="G12">
        <v>1</v>
      </c>
      <c r="H12" s="3">
        <v>0.13589999999999999</v>
      </c>
      <c r="I12" s="4">
        <v>31620</v>
      </c>
    </row>
    <row r="13" spans="1:9">
      <c r="A13">
        <v>12</v>
      </c>
      <c r="B13" t="s">
        <v>80</v>
      </c>
      <c r="C13" t="s">
        <v>378</v>
      </c>
      <c r="D13" t="s">
        <v>379</v>
      </c>
      <c r="E13" t="s">
        <v>278</v>
      </c>
      <c r="F13">
        <v>0</v>
      </c>
      <c r="G13">
        <v>1</v>
      </c>
      <c r="H13" s="3">
        <v>0</v>
      </c>
      <c r="I13" s="4">
        <v>0</v>
      </c>
    </row>
    <row r="14" spans="1:9">
      <c r="A14">
        <v>13</v>
      </c>
      <c r="B14" t="s">
        <v>81</v>
      </c>
      <c r="C14" t="s">
        <v>280</v>
      </c>
      <c r="D14" t="s">
        <v>380</v>
      </c>
      <c r="E14" t="s">
        <v>278</v>
      </c>
      <c r="F14">
        <v>0</v>
      </c>
      <c r="G14">
        <v>1</v>
      </c>
      <c r="H14" s="3">
        <v>2.5399999999999999E-2</v>
      </c>
      <c r="I14" s="4">
        <v>119112</v>
      </c>
    </row>
    <row r="15" spans="1:9">
      <c r="A15">
        <v>14</v>
      </c>
      <c r="B15" t="s">
        <v>82</v>
      </c>
      <c r="C15" t="s">
        <v>281</v>
      </c>
      <c r="D15" t="s">
        <v>381</v>
      </c>
      <c r="E15" t="s">
        <v>282</v>
      </c>
      <c r="F15">
        <v>0</v>
      </c>
      <c r="G15">
        <v>1</v>
      </c>
      <c r="H15" s="3">
        <v>2.7199999999999998E-2</v>
      </c>
      <c r="I15" s="4">
        <v>32076</v>
      </c>
    </row>
    <row r="16" spans="1:9">
      <c r="A16">
        <v>15</v>
      </c>
      <c r="B16" t="s">
        <v>83</v>
      </c>
      <c r="C16" t="s">
        <v>283</v>
      </c>
      <c r="D16" t="s">
        <v>382</v>
      </c>
      <c r="E16" t="s">
        <v>282</v>
      </c>
      <c r="F16">
        <v>0</v>
      </c>
      <c r="G16">
        <v>1</v>
      </c>
      <c r="H16" s="3">
        <v>5.28E-2</v>
      </c>
      <c r="I16" s="4">
        <v>181781</v>
      </c>
    </row>
    <row r="17" spans="1:9">
      <c r="A17">
        <v>16</v>
      </c>
      <c r="B17" t="s">
        <v>84</v>
      </c>
      <c r="C17" t="s">
        <v>284</v>
      </c>
      <c r="D17" t="s">
        <v>383</v>
      </c>
      <c r="E17" t="s">
        <v>282</v>
      </c>
      <c r="F17">
        <v>0</v>
      </c>
      <c r="G17">
        <v>1</v>
      </c>
      <c r="H17" s="3">
        <v>-2.6700000000000002E-2</v>
      </c>
      <c r="I17" s="4">
        <v>2</v>
      </c>
    </row>
    <row r="18" spans="1:9">
      <c r="A18">
        <v>17</v>
      </c>
      <c r="B18" t="s">
        <v>85</v>
      </c>
      <c r="C18" t="s">
        <v>285</v>
      </c>
      <c r="D18" t="s">
        <v>384</v>
      </c>
      <c r="E18" t="s">
        <v>282</v>
      </c>
      <c r="F18">
        <v>0</v>
      </c>
      <c r="G18">
        <v>1</v>
      </c>
      <c r="H18" s="3">
        <v>2.1999999999999999E-2</v>
      </c>
      <c r="I18" s="4">
        <v>895</v>
      </c>
    </row>
    <row r="19" spans="1:9">
      <c r="A19">
        <v>18</v>
      </c>
      <c r="B19" t="s">
        <v>86</v>
      </c>
      <c r="C19" t="s">
        <v>385</v>
      </c>
      <c r="D19" t="s">
        <v>386</v>
      </c>
      <c r="E19" t="s">
        <v>282</v>
      </c>
      <c r="F19">
        <v>0</v>
      </c>
      <c r="G19">
        <v>1</v>
      </c>
      <c r="H19" s="3">
        <v>5.5999999999999999E-3</v>
      </c>
      <c r="I19" s="4">
        <v>8</v>
      </c>
    </row>
    <row r="20" spans="1:9">
      <c r="A20">
        <v>19</v>
      </c>
      <c r="B20" t="s">
        <v>87</v>
      </c>
      <c r="C20" t="s">
        <v>387</v>
      </c>
      <c r="D20" t="s">
        <v>388</v>
      </c>
      <c r="E20" t="s">
        <v>282</v>
      </c>
      <c r="F20">
        <v>0</v>
      </c>
      <c r="G20">
        <v>1</v>
      </c>
      <c r="H20" s="3">
        <v>2.0500000000000001E-2</v>
      </c>
      <c r="I20" s="4">
        <v>4111</v>
      </c>
    </row>
    <row r="21" spans="1:9">
      <c r="A21">
        <v>20</v>
      </c>
      <c r="B21" t="s">
        <v>88</v>
      </c>
      <c r="C21" t="s">
        <v>286</v>
      </c>
      <c r="D21" t="s">
        <v>389</v>
      </c>
      <c r="E21" t="s">
        <v>282</v>
      </c>
      <c r="F21">
        <v>0</v>
      </c>
      <c r="G21">
        <v>1</v>
      </c>
      <c r="H21" s="3">
        <v>4.8899999999999999E-2</v>
      </c>
      <c r="I21" s="4">
        <v>33226</v>
      </c>
    </row>
    <row r="22" spans="1:9">
      <c r="A22">
        <v>21</v>
      </c>
      <c r="B22" t="s">
        <v>89</v>
      </c>
      <c r="C22" t="s">
        <v>287</v>
      </c>
      <c r="D22" t="s">
        <v>390</v>
      </c>
      <c r="E22" t="s">
        <v>282</v>
      </c>
      <c r="F22">
        <v>0</v>
      </c>
      <c r="G22">
        <v>1</v>
      </c>
      <c r="H22" s="3">
        <v>4.7E-2</v>
      </c>
      <c r="I22" s="4">
        <v>17467</v>
      </c>
    </row>
    <row r="23" spans="1:9">
      <c r="A23">
        <v>22</v>
      </c>
      <c r="B23" t="s">
        <v>90</v>
      </c>
      <c r="C23" t="s">
        <v>391</v>
      </c>
      <c r="D23" t="s">
        <v>392</v>
      </c>
      <c r="E23" t="s">
        <v>282</v>
      </c>
      <c r="F23">
        <v>0</v>
      </c>
      <c r="G23">
        <v>1</v>
      </c>
      <c r="H23" s="3">
        <v>2.18E-2</v>
      </c>
      <c r="I23" s="4">
        <v>39168</v>
      </c>
    </row>
    <row r="24" spans="1:9">
      <c r="A24">
        <v>23</v>
      </c>
      <c r="B24" t="s">
        <v>91</v>
      </c>
      <c r="C24" t="s">
        <v>288</v>
      </c>
      <c r="D24" t="s">
        <v>393</v>
      </c>
      <c r="E24" t="s">
        <v>282</v>
      </c>
      <c r="F24">
        <v>0</v>
      </c>
      <c r="G24">
        <v>1</v>
      </c>
      <c r="H24" s="3">
        <v>1.8800000000000001E-2</v>
      </c>
      <c r="I24" s="4">
        <v>7961</v>
      </c>
    </row>
    <row r="25" spans="1:9">
      <c r="A25">
        <v>24</v>
      </c>
      <c r="B25" t="s">
        <v>92</v>
      </c>
      <c r="C25" t="s">
        <v>289</v>
      </c>
      <c r="D25" t="s">
        <v>394</v>
      </c>
      <c r="E25" t="s">
        <v>282</v>
      </c>
      <c r="F25">
        <v>0</v>
      </c>
      <c r="G25">
        <v>1</v>
      </c>
      <c r="H25" s="3">
        <v>-5.7000000000000002E-3</v>
      </c>
      <c r="I25" s="4">
        <v>155</v>
      </c>
    </row>
    <row r="26" spans="1:9">
      <c r="A26">
        <v>25</v>
      </c>
      <c r="B26" t="s">
        <v>93</v>
      </c>
      <c r="C26" t="s">
        <v>290</v>
      </c>
      <c r="D26" t="s">
        <v>395</v>
      </c>
      <c r="E26" t="s">
        <v>282</v>
      </c>
      <c r="F26">
        <v>0</v>
      </c>
      <c r="G26">
        <v>1</v>
      </c>
      <c r="H26" s="3">
        <v>-4.0000000000000001E-3</v>
      </c>
      <c r="I26" s="4">
        <v>3136</v>
      </c>
    </row>
    <row r="27" spans="1:9">
      <c r="A27">
        <v>26</v>
      </c>
      <c r="B27" t="s">
        <v>94</v>
      </c>
      <c r="C27" t="s">
        <v>396</v>
      </c>
      <c r="D27" t="s">
        <v>397</v>
      </c>
      <c r="E27" t="s">
        <v>282</v>
      </c>
      <c r="F27">
        <v>0</v>
      </c>
      <c r="G27">
        <v>1</v>
      </c>
      <c r="H27" s="3">
        <v>1.06E-2</v>
      </c>
      <c r="I27" s="4">
        <v>76</v>
      </c>
    </row>
    <row r="28" spans="1:9">
      <c r="A28">
        <v>27</v>
      </c>
      <c r="B28" t="s">
        <v>95</v>
      </c>
      <c r="C28" t="s">
        <v>291</v>
      </c>
      <c r="D28" t="s">
        <v>398</v>
      </c>
      <c r="E28" t="s">
        <v>282</v>
      </c>
      <c r="F28">
        <v>0</v>
      </c>
      <c r="G28">
        <v>1</v>
      </c>
      <c r="H28" s="3">
        <v>1.01E-2</v>
      </c>
      <c r="I28" s="4">
        <v>486</v>
      </c>
    </row>
    <row r="29" spans="1:9">
      <c r="A29">
        <v>28</v>
      </c>
      <c r="B29" t="s">
        <v>96</v>
      </c>
      <c r="C29" t="s">
        <v>292</v>
      </c>
      <c r="D29" t="s">
        <v>399</v>
      </c>
      <c r="E29" t="s">
        <v>282</v>
      </c>
      <c r="F29">
        <v>0</v>
      </c>
      <c r="G29">
        <v>1</v>
      </c>
      <c r="H29" s="3">
        <v>5.7000000000000002E-3</v>
      </c>
      <c r="I29" s="4">
        <v>885</v>
      </c>
    </row>
    <row r="30" spans="1:9">
      <c r="A30">
        <v>29</v>
      </c>
      <c r="B30" t="s">
        <v>97</v>
      </c>
      <c r="C30" t="s">
        <v>400</v>
      </c>
      <c r="D30" t="s">
        <v>401</v>
      </c>
      <c r="E30" t="s">
        <v>282</v>
      </c>
      <c r="F30">
        <v>0</v>
      </c>
      <c r="G30">
        <v>1</v>
      </c>
      <c r="H30" s="3">
        <v>-5.8999999999999999E-3</v>
      </c>
      <c r="I30" s="4">
        <v>1629</v>
      </c>
    </row>
    <row r="31" spans="1:9">
      <c r="A31">
        <v>30</v>
      </c>
      <c r="B31" t="s">
        <v>98</v>
      </c>
      <c r="C31" t="s">
        <v>402</v>
      </c>
      <c r="D31" t="s">
        <v>98</v>
      </c>
      <c r="E31" t="s">
        <v>293</v>
      </c>
      <c r="F31">
        <v>0</v>
      </c>
      <c r="G31">
        <v>1</v>
      </c>
      <c r="H31" s="3">
        <v>4.8300000000000003E-2</v>
      </c>
      <c r="I31" s="4">
        <v>4840</v>
      </c>
    </row>
    <row r="32" spans="1:9">
      <c r="A32">
        <v>31</v>
      </c>
      <c r="B32" t="s">
        <v>99</v>
      </c>
      <c r="C32" t="s">
        <v>294</v>
      </c>
      <c r="D32" t="s">
        <v>403</v>
      </c>
      <c r="E32" t="s">
        <v>293</v>
      </c>
      <c r="F32">
        <v>0</v>
      </c>
      <c r="G32">
        <v>1</v>
      </c>
      <c r="H32" s="3">
        <v>0.1095</v>
      </c>
      <c r="I32" s="4">
        <v>204</v>
      </c>
    </row>
    <row r="33" spans="1:9">
      <c r="A33">
        <v>32</v>
      </c>
      <c r="B33" t="s">
        <v>100</v>
      </c>
      <c r="C33" t="s">
        <v>404</v>
      </c>
      <c r="D33" t="s">
        <v>405</v>
      </c>
      <c r="E33" t="s">
        <v>406</v>
      </c>
      <c r="F33">
        <v>0</v>
      </c>
      <c r="G33">
        <v>1</v>
      </c>
      <c r="H33" s="3">
        <v>2.0000000000000001E-4</v>
      </c>
      <c r="I33" s="4">
        <v>3234</v>
      </c>
    </row>
    <row r="34" spans="1:9">
      <c r="A34">
        <v>33</v>
      </c>
      <c r="B34" t="s">
        <v>101</v>
      </c>
      <c r="C34" t="s">
        <v>295</v>
      </c>
      <c r="D34" t="s">
        <v>101</v>
      </c>
      <c r="E34" t="s">
        <v>101</v>
      </c>
      <c r="F34">
        <v>0</v>
      </c>
      <c r="G34">
        <v>1</v>
      </c>
      <c r="H34" s="3">
        <v>3.3399999999999999E-2</v>
      </c>
      <c r="I34" s="4">
        <v>464275</v>
      </c>
    </row>
    <row r="35" spans="1:9">
      <c r="A35">
        <v>34</v>
      </c>
      <c r="B35" t="s">
        <v>102</v>
      </c>
      <c r="C35" t="s">
        <v>407</v>
      </c>
      <c r="D35" t="s">
        <v>408</v>
      </c>
      <c r="E35" t="s">
        <v>297</v>
      </c>
      <c r="F35">
        <v>0</v>
      </c>
      <c r="G35">
        <v>1</v>
      </c>
      <c r="H35" s="3">
        <v>3.1300000000000001E-2</v>
      </c>
      <c r="I35" s="4">
        <v>76982</v>
      </c>
    </row>
    <row r="36" spans="1:9">
      <c r="A36">
        <v>35</v>
      </c>
      <c r="B36" t="s">
        <v>103</v>
      </c>
      <c r="C36" t="s">
        <v>298</v>
      </c>
      <c r="D36" t="s">
        <v>409</v>
      </c>
      <c r="E36" t="s">
        <v>297</v>
      </c>
      <c r="F36">
        <v>0</v>
      </c>
      <c r="G36">
        <v>1</v>
      </c>
      <c r="H36" s="3">
        <v>8.8400000000000006E-2</v>
      </c>
      <c r="I36" s="4">
        <v>423327</v>
      </c>
    </row>
    <row r="37" spans="1:9">
      <c r="A37">
        <v>36</v>
      </c>
      <c r="B37" t="s">
        <v>104</v>
      </c>
      <c r="C37" t="s">
        <v>299</v>
      </c>
      <c r="D37" t="s">
        <v>410</v>
      </c>
      <c r="E37" t="s">
        <v>300</v>
      </c>
      <c r="F37">
        <v>0</v>
      </c>
      <c r="G37">
        <v>1</v>
      </c>
      <c r="H37" s="3">
        <v>0.16880000000000001</v>
      </c>
      <c r="I37" s="4">
        <v>12892</v>
      </c>
    </row>
    <row r="38" spans="1:9">
      <c r="A38">
        <v>37</v>
      </c>
      <c r="B38" t="s">
        <v>105</v>
      </c>
      <c r="C38" t="s">
        <v>301</v>
      </c>
      <c r="D38" t="s">
        <v>411</v>
      </c>
      <c r="E38" t="s">
        <v>300</v>
      </c>
      <c r="F38">
        <v>0</v>
      </c>
      <c r="G38">
        <v>1</v>
      </c>
      <c r="H38" s="3">
        <v>2.53E-2</v>
      </c>
      <c r="I38" s="4">
        <v>24022</v>
      </c>
    </row>
    <row r="39" spans="1:9">
      <c r="A39">
        <v>38</v>
      </c>
      <c r="B39" t="s">
        <v>106</v>
      </c>
      <c r="C39" t="s">
        <v>302</v>
      </c>
      <c r="D39" t="s">
        <v>412</v>
      </c>
      <c r="E39" t="s">
        <v>300</v>
      </c>
      <c r="F39">
        <v>0</v>
      </c>
      <c r="G39">
        <v>1</v>
      </c>
      <c r="H39" s="3">
        <v>1.0999999999999999E-2</v>
      </c>
      <c r="I39" s="4">
        <v>2092</v>
      </c>
    </row>
    <row r="40" spans="1:9">
      <c r="A40">
        <v>39</v>
      </c>
      <c r="B40" t="s">
        <v>107</v>
      </c>
      <c r="C40" t="s">
        <v>413</v>
      </c>
      <c r="D40" t="s">
        <v>414</v>
      </c>
      <c r="E40" t="s">
        <v>300</v>
      </c>
      <c r="F40">
        <v>0</v>
      </c>
      <c r="G40">
        <v>1</v>
      </c>
      <c r="H40" s="3">
        <v>3.4500000000000003E-2</v>
      </c>
      <c r="I40" s="4">
        <v>3335</v>
      </c>
    </row>
    <row r="41" spans="1:9">
      <c r="A41">
        <v>40</v>
      </c>
      <c r="B41" t="s">
        <v>108</v>
      </c>
      <c r="C41" t="s">
        <v>303</v>
      </c>
      <c r="D41" t="s">
        <v>415</v>
      </c>
      <c r="E41" t="s">
        <v>300</v>
      </c>
      <c r="F41">
        <v>0</v>
      </c>
      <c r="G41">
        <v>1</v>
      </c>
      <c r="H41" s="3">
        <v>9.8799999999999999E-2</v>
      </c>
      <c r="I41" s="4">
        <v>18227</v>
      </c>
    </row>
    <row r="42" spans="1:9">
      <c r="A42">
        <v>41</v>
      </c>
      <c r="B42" t="s">
        <v>109</v>
      </c>
      <c r="C42" t="s">
        <v>416</v>
      </c>
      <c r="D42" t="s">
        <v>417</v>
      </c>
      <c r="E42" t="s">
        <v>300</v>
      </c>
      <c r="F42">
        <v>0</v>
      </c>
      <c r="G42">
        <v>1</v>
      </c>
      <c r="H42" s="3">
        <v>6.5100000000000005E-2</v>
      </c>
      <c r="I42" s="4">
        <v>7305</v>
      </c>
    </row>
    <row r="43" spans="1:9">
      <c r="A43">
        <v>42</v>
      </c>
      <c r="B43" t="s">
        <v>110</v>
      </c>
      <c r="C43" t="s">
        <v>418</v>
      </c>
      <c r="D43" t="s">
        <v>419</v>
      </c>
      <c r="E43" t="s">
        <v>304</v>
      </c>
      <c r="F43">
        <v>0</v>
      </c>
      <c r="G43">
        <v>1</v>
      </c>
      <c r="H43" s="3">
        <v>0.1036</v>
      </c>
      <c r="I43" s="4">
        <v>5612</v>
      </c>
    </row>
    <row r="44" spans="1:9">
      <c r="A44">
        <v>43</v>
      </c>
      <c r="B44" t="s">
        <v>111</v>
      </c>
      <c r="C44" t="s">
        <v>296</v>
      </c>
      <c r="D44" t="s">
        <v>420</v>
      </c>
      <c r="E44" t="s">
        <v>304</v>
      </c>
      <c r="F44">
        <v>0</v>
      </c>
      <c r="G44">
        <v>1</v>
      </c>
      <c r="H44" s="3">
        <v>0.10249999999999999</v>
      </c>
      <c r="I44" s="4">
        <v>67186</v>
      </c>
    </row>
    <row r="45" spans="1:9">
      <c r="A45">
        <v>44</v>
      </c>
      <c r="B45" t="s">
        <v>112</v>
      </c>
      <c r="C45" t="s">
        <v>421</v>
      </c>
      <c r="D45" t="s">
        <v>422</v>
      </c>
      <c r="E45" t="s">
        <v>305</v>
      </c>
      <c r="F45">
        <v>0</v>
      </c>
      <c r="G45">
        <v>1</v>
      </c>
      <c r="H45" s="3">
        <v>7.0900000000000005E-2</v>
      </c>
      <c r="I45" s="4">
        <v>76503</v>
      </c>
    </row>
    <row r="46" spans="1:9">
      <c r="A46">
        <v>45</v>
      </c>
      <c r="B46" t="s">
        <v>113</v>
      </c>
      <c r="C46" t="s">
        <v>306</v>
      </c>
      <c r="D46" t="s">
        <v>423</v>
      </c>
      <c r="E46" t="s">
        <v>307</v>
      </c>
      <c r="F46">
        <v>0</v>
      </c>
      <c r="G46">
        <v>1</v>
      </c>
      <c r="H46" s="3">
        <v>4.7300000000000002E-2</v>
      </c>
      <c r="I46" s="4">
        <v>56514</v>
      </c>
    </row>
    <row r="47" spans="1:9">
      <c r="A47">
        <v>46</v>
      </c>
      <c r="B47" t="s">
        <v>114</v>
      </c>
      <c r="C47" t="s">
        <v>308</v>
      </c>
      <c r="D47" t="s">
        <v>424</v>
      </c>
      <c r="E47" t="s">
        <v>307</v>
      </c>
      <c r="F47">
        <v>0</v>
      </c>
      <c r="G47">
        <v>1</v>
      </c>
      <c r="H47" s="3">
        <v>1.6E-2</v>
      </c>
      <c r="I47" s="4">
        <v>22869</v>
      </c>
    </row>
    <row r="48" spans="1:9">
      <c r="A48">
        <v>47</v>
      </c>
      <c r="B48" t="s">
        <v>115</v>
      </c>
      <c r="C48" t="s">
        <v>309</v>
      </c>
      <c r="D48" t="s">
        <v>425</v>
      </c>
      <c r="E48" t="s">
        <v>307</v>
      </c>
      <c r="F48">
        <v>0</v>
      </c>
      <c r="G48">
        <v>1</v>
      </c>
      <c r="H48" s="3">
        <v>5.8400000000000001E-2</v>
      </c>
      <c r="I48" s="4">
        <v>11050</v>
      </c>
    </row>
    <row r="49" spans="1:9">
      <c r="A49">
        <v>48</v>
      </c>
      <c r="B49" t="s">
        <v>116</v>
      </c>
      <c r="C49" t="s">
        <v>426</v>
      </c>
      <c r="D49" t="s">
        <v>427</v>
      </c>
      <c r="E49" t="s">
        <v>307</v>
      </c>
      <c r="F49">
        <v>0</v>
      </c>
      <c r="G49">
        <v>1</v>
      </c>
      <c r="H49" s="3">
        <v>3.9E-2</v>
      </c>
      <c r="I49" s="4">
        <v>62</v>
      </c>
    </row>
    <row r="50" spans="1:9">
      <c r="A50">
        <v>49</v>
      </c>
      <c r="B50" t="s">
        <v>117</v>
      </c>
      <c r="C50" t="s">
        <v>310</v>
      </c>
      <c r="D50" t="s">
        <v>428</v>
      </c>
      <c r="E50" t="s">
        <v>429</v>
      </c>
      <c r="F50">
        <v>0</v>
      </c>
      <c r="G50">
        <v>1</v>
      </c>
      <c r="H50" s="3">
        <v>6.25E-2</v>
      </c>
      <c r="I50" s="4">
        <v>21718</v>
      </c>
    </row>
    <row r="51" spans="1:9">
      <c r="A51">
        <v>50</v>
      </c>
      <c r="B51" t="s">
        <v>118</v>
      </c>
      <c r="C51" t="s">
        <v>430</v>
      </c>
      <c r="D51" t="s">
        <v>431</v>
      </c>
      <c r="E51" t="s">
        <v>118</v>
      </c>
      <c r="F51">
        <v>0</v>
      </c>
      <c r="G51">
        <v>1</v>
      </c>
      <c r="H51" s="3">
        <v>3.3700000000000001E-2</v>
      </c>
      <c r="I51" s="4">
        <v>5467</v>
      </c>
    </row>
    <row r="52" spans="1:9">
      <c r="A52">
        <v>51</v>
      </c>
      <c r="B52" t="s">
        <v>119</v>
      </c>
      <c r="C52" t="s">
        <v>432</v>
      </c>
      <c r="D52" t="s">
        <v>433</v>
      </c>
      <c r="E52" t="s">
        <v>434</v>
      </c>
      <c r="F52">
        <v>0</v>
      </c>
      <c r="G52">
        <v>1</v>
      </c>
      <c r="H52" s="3">
        <v>4.8099999999999997E-2</v>
      </c>
      <c r="I52" s="4">
        <v>163082</v>
      </c>
    </row>
    <row r="53" spans="1:9">
      <c r="A53">
        <v>52</v>
      </c>
      <c r="B53" t="s">
        <v>120</v>
      </c>
      <c r="C53" t="s">
        <v>435</v>
      </c>
      <c r="D53" t="s">
        <v>436</v>
      </c>
      <c r="E53" t="s">
        <v>120</v>
      </c>
      <c r="F53">
        <v>0</v>
      </c>
      <c r="G53">
        <v>1</v>
      </c>
      <c r="H53" s="3">
        <v>4.4200000000000003E-2</v>
      </c>
      <c r="I53" s="4">
        <v>147611</v>
      </c>
    </row>
    <row r="54" spans="1:9">
      <c r="A54">
        <v>53</v>
      </c>
      <c r="B54" t="s">
        <v>121</v>
      </c>
      <c r="C54" t="s">
        <v>437</v>
      </c>
      <c r="D54" t="s">
        <v>438</v>
      </c>
      <c r="E54" t="s">
        <v>121</v>
      </c>
      <c r="F54">
        <v>0</v>
      </c>
      <c r="G54">
        <v>1</v>
      </c>
      <c r="H54" s="3">
        <v>4.58E-2</v>
      </c>
      <c r="I54" s="4">
        <v>31163</v>
      </c>
    </row>
    <row r="55" spans="1:9">
      <c r="A55">
        <v>54</v>
      </c>
      <c r="B55" t="s">
        <v>122</v>
      </c>
      <c r="C55" t="s">
        <v>311</v>
      </c>
      <c r="D55" t="s">
        <v>313</v>
      </c>
      <c r="E55" t="s">
        <v>312</v>
      </c>
      <c r="F55">
        <v>0</v>
      </c>
      <c r="G55">
        <v>1</v>
      </c>
      <c r="H55" s="3">
        <v>2.63E-2</v>
      </c>
      <c r="I55" s="4">
        <v>35532</v>
      </c>
    </row>
    <row r="56" spans="1:9">
      <c r="A56">
        <v>55</v>
      </c>
      <c r="B56" t="s">
        <v>123</v>
      </c>
      <c r="C56" t="s">
        <v>439</v>
      </c>
      <c r="D56" t="s">
        <v>440</v>
      </c>
      <c r="E56" t="s">
        <v>312</v>
      </c>
      <c r="F56">
        <v>0</v>
      </c>
      <c r="G56">
        <v>1</v>
      </c>
      <c r="H56" s="3">
        <v>0</v>
      </c>
      <c r="I56" s="4">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F889A-B6E3-4C1E-9BC7-327F4DC31974}">
  <sheetPr>
    <tabColor rgb="FFFFFF00"/>
  </sheetPr>
  <dimension ref="A1:L31"/>
  <sheetViews>
    <sheetView workbookViewId="0">
      <selection activeCell="A31" sqref="A31:E31"/>
    </sheetView>
  </sheetViews>
  <sheetFormatPr defaultRowHeight="14.5"/>
  <cols>
    <col min="2" max="2" width="43.08984375" customWidth="1"/>
    <col min="3" max="11" width="16.08984375" customWidth="1"/>
    <col min="12" max="12" width="4.90625" bestFit="1" customWidth="1"/>
  </cols>
  <sheetData>
    <row r="1" spans="1:12" s="22" customFormat="1" ht="43.5">
      <c r="A1" s="26" t="s">
        <v>362</v>
      </c>
      <c r="B1" s="26" t="s">
        <v>363</v>
      </c>
      <c r="C1" s="27" t="s">
        <v>268</v>
      </c>
      <c r="D1" s="27" t="s">
        <v>441</v>
      </c>
      <c r="E1" s="27" t="s">
        <v>71</v>
      </c>
      <c r="F1" s="27" t="s">
        <v>72</v>
      </c>
      <c r="G1" s="27" t="s">
        <v>73</v>
      </c>
      <c r="H1" s="27" t="s">
        <v>74</v>
      </c>
      <c r="I1" s="27" t="s">
        <v>442</v>
      </c>
      <c r="J1" s="27" t="s">
        <v>77</v>
      </c>
      <c r="K1" s="27" t="s">
        <v>445</v>
      </c>
      <c r="L1" s="28" t="s">
        <v>444</v>
      </c>
    </row>
    <row r="2" spans="1:12">
      <c r="A2" s="24">
        <v>1</v>
      </c>
      <c r="B2" s="24" t="s">
        <v>335</v>
      </c>
      <c r="C2" s="24"/>
      <c r="D2" s="24"/>
      <c r="E2" s="24"/>
      <c r="F2" s="24"/>
      <c r="G2" s="24"/>
      <c r="H2" s="24"/>
      <c r="I2" s="24"/>
      <c r="J2" s="24"/>
      <c r="K2" s="24"/>
      <c r="L2" s="24"/>
    </row>
    <row r="3" spans="1:12">
      <c r="A3" s="24">
        <v>2</v>
      </c>
      <c r="B3" s="24" t="s">
        <v>336</v>
      </c>
      <c r="C3" s="24"/>
      <c r="D3" s="24"/>
      <c r="E3" s="24"/>
      <c r="F3" s="24"/>
      <c r="G3" s="24"/>
      <c r="H3" s="24"/>
      <c r="I3" s="24"/>
      <c r="J3" s="24"/>
      <c r="K3" s="24"/>
      <c r="L3" s="24"/>
    </row>
    <row r="4" spans="1:12">
      <c r="A4" s="24">
        <v>3</v>
      </c>
      <c r="B4" s="24" t="s">
        <v>337</v>
      </c>
      <c r="C4" s="24"/>
      <c r="D4" s="24"/>
      <c r="E4" s="24"/>
      <c r="F4" s="24"/>
      <c r="G4" s="24"/>
      <c r="H4" s="24"/>
      <c r="I4" s="24"/>
      <c r="J4" s="24"/>
      <c r="K4" s="24"/>
      <c r="L4" s="24"/>
    </row>
    <row r="5" spans="1:12">
      <c r="A5" s="24">
        <v>4</v>
      </c>
      <c r="B5" s="24" t="s">
        <v>338</v>
      </c>
      <c r="C5" s="24"/>
      <c r="D5" s="24"/>
      <c r="E5" s="24"/>
      <c r="F5" s="24"/>
      <c r="G5" s="24"/>
      <c r="H5" s="24"/>
      <c r="I5" s="24"/>
      <c r="J5" s="24"/>
      <c r="K5" s="24"/>
      <c r="L5" s="24"/>
    </row>
    <row r="6" spans="1:12">
      <c r="A6" s="24">
        <v>5</v>
      </c>
      <c r="B6" s="24" t="s">
        <v>339</v>
      </c>
      <c r="C6" s="24"/>
      <c r="D6" s="24"/>
      <c r="E6" s="24"/>
      <c r="F6" s="24"/>
      <c r="G6" s="24"/>
      <c r="H6" s="24"/>
      <c r="I6" s="24"/>
      <c r="J6" s="24"/>
      <c r="K6" s="24"/>
      <c r="L6" s="24"/>
    </row>
    <row r="7" spans="1:12">
      <c r="A7" s="24">
        <v>6</v>
      </c>
      <c r="B7" s="24" t="s">
        <v>340</v>
      </c>
      <c r="C7" s="24"/>
      <c r="D7" s="24"/>
      <c r="E7" s="24"/>
      <c r="F7" s="24"/>
      <c r="G7" s="24"/>
      <c r="H7" s="24"/>
      <c r="I7" s="24"/>
      <c r="J7" s="24"/>
      <c r="K7" s="24"/>
      <c r="L7" s="24"/>
    </row>
    <row r="8" spans="1:12">
      <c r="A8" s="24">
        <v>7</v>
      </c>
      <c r="B8" s="24" t="s">
        <v>341</v>
      </c>
      <c r="C8" s="24"/>
      <c r="D8" s="24"/>
      <c r="E8" s="24"/>
      <c r="F8" s="24"/>
      <c r="G8" s="24"/>
      <c r="H8" s="24"/>
      <c r="I8" s="24"/>
      <c r="J8" s="24"/>
      <c r="K8" s="24"/>
      <c r="L8" s="24"/>
    </row>
    <row r="9" spans="1:12">
      <c r="A9" s="24">
        <v>8</v>
      </c>
      <c r="B9" s="24" t="s">
        <v>342</v>
      </c>
      <c r="C9" s="24"/>
      <c r="D9" s="24"/>
      <c r="E9" s="24"/>
      <c r="F9" s="24"/>
      <c r="G9" s="24"/>
      <c r="H9" s="24"/>
      <c r="I9" s="24"/>
      <c r="J9" s="24"/>
      <c r="K9" s="24"/>
      <c r="L9" s="24"/>
    </row>
    <row r="10" spans="1:12">
      <c r="A10" s="24">
        <v>9</v>
      </c>
      <c r="B10" s="24" t="s">
        <v>343</v>
      </c>
      <c r="C10" s="24"/>
      <c r="D10" s="24"/>
      <c r="E10" s="24"/>
      <c r="F10" s="24"/>
      <c r="G10" s="24"/>
      <c r="H10" s="24"/>
      <c r="I10" s="24"/>
      <c r="J10" s="24"/>
      <c r="K10" s="24"/>
      <c r="L10" s="24"/>
    </row>
    <row r="11" spans="1:12">
      <c r="A11" s="24">
        <v>10</v>
      </c>
      <c r="B11" s="24" t="s">
        <v>344</v>
      </c>
      <c r="C11" s="24"/>
      <c r="D11" s="24"/>
      <c r="E11" s="24"/>
      <c r="F11" s="24"/>
      <c r="G11" s="24"/>
      <c r="H11" s="24"/>
      <c r="I11" s="24"/>
      <c r="J11" s="24"/>
      <c r="K11" s="24"/>
      <c r="L11" s="24"/>
    </row>
    <row r="12" spans="1:12">
      <c r="A12" s="24">
        <v>11</v>
      </c>
      <c r="B12" s="24" t="s">
        <v>345</v>
      </c>
      <c r="C12" s="25">
        <v>0.05</v>
      </c>
      <c r="D12" s="24"/>
      <c r="E12" s="25">
        <v>0.5</v>
      </c>
      <c r="F12" s="24"/>
      <c r="G12" s="25">
        <v>0.1</v>
      </c>
      <c r="H12" s="24"/>
      <c r="I12" s="24"/>
      <c r="J12" s="24"/>
      <c r="K12" s="25">
        <v>0.35</v>
      </c>
      <c r="L12" s="24">
        <f>SUM(C12:K12)</f>
        <v>1</v>
      </c>
    </row>
    <row r="13" spans="1:12">
      <c r="A13" s="24">
        <v>12</v>
      </c>
      <c r="B13" s="24" t="s">
        <v>346</v>
      </c>
      <c r="C13" s="24"/>
      <c r="D13" s="24"/>
      <c r="E13" s="24"/>
      <c r="F13" s="24"/>
      <c r="G13" s="24"/>
      <c r="H13" s="24"/>
      <c r="I13" s="24"/>
      <c r="J13" s="24"/>
      <c r="K13" s="24"/>
      <c r="L13" s="24"/>
    </row>
    <row r="14" spans="1:12">
      <c r="A14" s="24">
        <v>13</v>
      </c>
      <c r="B14" s="24" t="s">
        <v>347</v>
      </c>
      <c r="C14" s="24"/>
      <c r="D14" s="24"/>
      <c r="E14" s="24"/>
      <c r="F14" s="24"/>
      <c r="G14" s="24"/>
      <c r="H14" s="24"/>
      <c r="I14" s="24"/>
      <c r="J14" s="24"/>
      <c r="K14" s="24"/>
      <c r="L14" s="24"/>
    </row>
    <row r="15" spans="1:12">
      <c r="A15" s="24">
        <v>14</v>
      </c>
      <c r="B15" s="24" t="s">
        <v>348</v>
      </c>
      <c r="C15" s="24"/>
      <c r="D15" s="24"/>
      <c r="E15" s="24"/>
      <c r="F15" s="24"/>
      <c r="G15" s="24"/>
      <c r="H15" s="24"/>
      <c r="I15" s="24"/>
      <c r="J15" s="24"/>
      <c r="K15" s="24"/>
      <c r="L15" s="24"/>
    </row>
    <row r="16" spans="1:12">
      <c r="A16" s="24">
        <v>15</v>
      </c>
      <c r="B16" s="24" t="s">
        <v>349</v>
      </c>
      <c r="C16" s="24"/>
      <c r="D16" s="24"/>
      <c r="E16" s="24"/>
      <c r="F16" s="24"/>
      <c r="G16" s="24"/>
      <c r="H16" s="24"/>
      <c r="I16" s="24"/>
      <c r="J16" s="24"/>
      <c r="K16" s="24"/>
      <c r="L16" s="24"/>
    </row>
    <row r="17" spans="1:12">
      <c r="A17" s="24">
        <v>16</v>
      </c>
      <c r="B17" s="24" t="s">
        <v>350</v>
      </c>
      <c r="C17" s="24"/>
      <c r="D17" s="24"/>
      <c r="E17" s="24"/>
      <c r="F17" s="24"/>
      <c r="G17" s="24"/>
      <c r="H17" s="24"/>
      <c r="I17" s="24"/>
      <c r="J17" s="24"/>
      <c r="K17" s="24"/>
      <c r="L17" s="24"/>
    </row>
    <row r="18" spans="1:12">
      <c r="A18" s="24">
        <v>17</v>
      </c>
      <c r="B18" s="24" t="s">
        <v>351</v>
      </c>
      <c r="C18" s="24"/>
      <c r="D18" s="24"/>
      <c r="E18" s="24"/>
      <c r="F18" s="24"/>
      <c r="G18" s="24"/>
      <c r="H18" s="24"/>
      <c r="I18" s="24"/>
      <c r="J18" s="24"/>
      <c r="K18" s="24"/>
      <c r="L18" s="24"/>
    </row>
    <row r="19" spans="1:12">
      <c r="A19" s="24">
        <v>18</v>
      </c>
      <c r="B19" s="24" t="s">
        <v>352</v>
      </c>
      <c r="C19" s="24"/>
      <c r="D19" s="24"/>
      <c r="E19" s="24"/>
      <c r="F19" s="24"/>
      <c r="G19" s="24"/>
      <c r="H19" s="24"/>
      <c r="I19" s="24"/>
      <c r="J19" s="24"/>
      <c r="K19" s="24"/>
      <c r="L19" s="24"/>
    </row>
    <row r="20" spans="1:12">
      <c r="A20" s="24">
        <v>19</v>
      </c>
      <c r="B20" s="24" t="s">
        <v>353</v>
      </c>
      <c r="C20" s="24"/>
      <c r="D20" s="24"/>
      <c r="E20" s="24"/>
      <c r="F20" s="24"/>
      <c r="G20" s="24"/>
      <c r="H20" s="24"/>
      <c r="I20" s="24"/>
      <c r="J20" s="24"/>
      <c r="K20" s="24"/>
      <c r="L20" s="24"/>
    </row>
    <row r="21" spans="1:12">
      <c r="A21" s="24">
        <v>20</v>
      </c>
      <c r="B21" s="24" t="s">
        <v>354</v>
      </c>
      <c r="C21" s="24"/>
      <c r="D21" s="24"/>
      <c r="E21" s="24"/>
      <c r="F21" s="24"/>
      <c r="G21" s="24"/>
      <c r="H21" s="24"/>
      <c r="I21" s="24"/>
      <c r="J21" s="24"/>
      <c r="K21" s="24"/>
      <c r="L21" s="24"/>
    </row>
    <row r="22" spans="1:12">
      <c r="A22" s="24">
        <v>21</v>
      </c>
      <c r="B22" s="24" t="s">
        <v>355</v>
      </c>
      <c r="C22" s="24"/>
      <c r="D22" s="24"/>
      <c r="E22" s="24"/>
      <c r="F22" s="24"/>
      <c r="G22" s="24"/>
      <c r="H22" s="24"/>
      <c r="I22" s="24"/>
      <c r="J22" s="24"/>
      <c r="K22" s="24"/>
      <c r="L22" s="24"/>
    </row>
    <row r="23" spans="1:12">
      <c r="A23" s="24">
        <v>22</v>
      </c>
      <c r="B23" s="24" t="s">
        <v>356</v>
      </c>
      <c r="C23" s="24"/>
      <c r="D23" s="24"/>
      <c r="E23" s="24"/>
      <c r="F23" s="24"/>
      <c r="G23" s="24"/>
      <c r="H23" s="24"/>
      <c r="I23" s="24"/>
      <c r="J23" s="24"/>
      <c r="K23" s="24"/>
      <c r="L23" s="24"/>
    </row>
    <row r="24" spans="1:12">
      <c r="A24" s="24">
        <v>23</v>
      </c>
      <c r="B24" s="24" t="s">
        <v>357</v>
      </c>
      <c r="C24" s="24"/>
      <c r="D24" s="24"/>
      <c r="E24" s="24"/>
      <c r="F24" s="24"/>
      <c r="G24" s="24"/>
      <c r="H24" s="24"/>
      <c r="I24" s="24"/>
      <c r="J24" s="24"/>
      <c r="K24" s="24"/>
      <c r="L24" s="24"/>
    </row>
    <row r="25" spans="1:12">
      <c r="A25" s="24">
        <v>24</v>
      </c>
      <c r="B25" s="24" t="s">
        <v>358</v>
      </c>
      <c r="C25" s="24"/>
      <c r="D25" s="24"/>
      <c r="E25" s="24"/>
      <c r="F25" s="24"/>
      <c r="G25" s="24"/>
      <c r="H25" s="24"/>
      <c r="I25" s="24"/>
      <c r="J25" s="24"/>
      <c r="K25" s="24"/>
      <c r="L25" s="24"/>
    </row>
    <row r="26" spans="1:12">
      <c r="A26" s="24">
        <v>25</v>
      </c>
      <c r="B26" s="24" t="s">
        <v>359</v>
      </c>
      <c r="C26" s="24"/>
      <c r="D26" s="24"/>
      <c r="E26" s="24"/>
      <c r="F26" s="24"/>
      <c r="G26" s="24"/>
      <c r="H26" s="24"/>
      <c r="I26" s="24"/>
      <c r="J26" s="24"/>
      <c r="K26" s="24"/>
      <c r="L26" s="24"/>
    </row>
    <row r="27" spans="1:12">
      <c r="A27" s="24">
        <v>26</v>
      </c>
      <c r="B27" s="24" t="s">
        <v>360</v>
      </c>
      <c r="C27" s="24"/>
      <c r="D27" s="24"/>
      <c r="E27" s="24"/>
      <c r="F27" s="24"/>
      <c r="G27" s="24"/>
      <c r="H27" s="24"/>
      <c r="I27" s="24"/>
      <c r="J27" s="24"/>
      <c r="K27" s="24"/>
      <c r="L27" s="24"/>
    </row>
    <row r="28" spans="1:12">
      <c r="A28" s="24">
        <v>27</v>
      </c>
      <c r="B28" s="24" t="s">
        <v>361</v>
      </c>
      <c r="C28" s="24"/>
      <c r="D28" s="24"/>
      <c r="E28" s="24"/>
      <c r="F28" s="24"/>
      <c r="G28" s="24"/>
      <c r="H28" s="24"/>
      <c r="I28" s="24"/>
      <c r="J28" s="24"/>
      <c r="K28" s="24"/>
      <c r="L28" s="24"/>
    </row>
    <row r="29" spans="1:12">
      <c r="A29" s="24"/>
      <c r="B29" s="24"/>
      <c r="C29" s="24"/>
      <c r="D29" s="24"/>
      <c r="E29" s="24"/>
      <c r="F29" s="24"/>
      <c r="G29" s="24"/>
      <c r="H29" s="24"/>
      <c r="I29" s="24"/>
      <c r="J29" s="24"/>
      <c r="K29" s="24"/>
      <c r="L29" s="24"/>
    </row>
    <row r="30" spans="1:12">
      <c r="A30" s="23" t="s">
        <v>443</v>
      </c>
      <c r="B30" s="23"/>
      <c r="C30" s="23"/>
      <c r="D30" s="23"/>
      <c r="E30" s="23"/>
    </row>
    <row r="31" spans="1:12" ht="286.5" customHeight="1">
      <c r="A31" s="53" t="s">
        <v>446</v>
      </c>
      <c r="B31" s="53"/>
      <c r="C31" s="53"/>
      <c r="D31" s="53"/>
      <c r="E31" s="53"/>
    </row>
  </sheetData>
  <mergeCells count="1">
    <mergeCell ref="A31:E3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4AB82-9C6F-461A-AAAC-ED42FE2D8842}">
  <sheetPr>
    <tabColor rgb="FFFFFF00"/>
  </sheetPr>
  <dimension ref="A1:AF60"/>
  <sheetViews>
    <sheetView topLeftCell="C34" workbookViewId="0">
      <selection activeCell="A33" sqref="A33:W60"/>
    </sheetView>
  </sheetViews>
  <sheetFormatPr defaultRowHeight="14.5"/>
  <cols>
    <col min="2" max="2" width="30.81640625" bestFit="1" customWidth="1"/>
    <col min="28" max="32" width="12.90625"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248530</v>
      </c>
      <c r="E2">
        <v>234183</v>
      </c>
      <c r="F2">
        <v>226435</v>
      </c>
      <c r="G2">
        <v>221810</v>
      </c>
      <c r="H2" s="9">
        <f>((D2/C2)^(1/5))-1</f>
        <v>-2.4361177844621107E-2</v>
      </c>
      <c r="I2" s="10">
        <f t="shared" ref="H2:J28" si="0">((E2/D2)^(1/5))-1</f>
        <v>-1.1821708291462674E-2</v>
      </c>
      <c r="J2" s="11">
        <f t="shared" si="0"/>
        <v>-6.7063976603292108E-3</v>
      </c>
      <c r="K2" s="12">
        <f>((G2/F2)^(1/5))-1</f>
        <v>-4.1188478734577316E-3</v>
      </c>
      <c r="L2" s="17">
        <f>C2</f>
        <v>281147</v>
      </c>
      <c r="M2" s="18">
        <f>C2*(1+H2)</f>
        <v>274297.9279325183</v>
      </c>
      <c r="N2" s="18">
        <f>M2*(1+$H2)</f>
        <v>267615.70732774318</v>
      </c>
      <c r="O2" s="18">
        <f t="shared" ref="N2:Q26" si="1">N2*(1+$H2)</f>
        <v>261096.27348751796</v>
      </c>
      <c r="P2" s="18">
        <f t="shared" si="1"/>
        <v>254735.6607345207</v>
      </c>
      <c r="Q2" s="18">
        <f t="shared" si="1"/>
        <v>248529.99999999997</v>
      </c>
      <c r="R2" s="14">
        <f>D2*(1+I2)</f>
        <v>245591.95083832278</v>
      </c>
      <c r="S2" s="14">
        <f t="shared" ref="S2:V26" si="2">R2*(1+$I2)</f>
        <v>242688.63443678088</v>
      </c>
      <c r="T2" s="14">
        <f>S2*(1+$I2)</f>
        <v>239819.64019481585</v>
      </c>
      <c r="U2" s="14">
        <f>T2*(1+$I2)</f>
        <v>236984.56236586921</v>
      </c>
      <c r="V2" s="14">
        <f>U2*(1+$I2)</f>
        <v>234182.99999999997</v>
      </c>
      <c r="W2" s="15">
        <f t="shared" ref="W2:W28" si="3">E2*(1+J2)</f>
        <v>232612.47567671112</v>
      </c>
      <c r="X2" s="15">
        <f t="shared" ref="X2:AA26" si="4">W2*(1+$J2)</f>
        <v>231052.48391406945</v>
      </c>
      <c r="Y2" s="15">
        <f t="shared" si="4"/>
        <v>229502.95407653489</v>
      </c>
      <c r="Z2" s="15">
        <f t="shared" si="4"/>
        <v>227963.81600227737</v>
      </c>
      <c r="AA2" s="15">
        <f t="shared" si="4"/>
        <v>226434.99999999997</v>
      </c>
      <c r="AB2" s="19">
        <f t="shared" ref="AB2:AB28" si="5">F2*(1+K2)</f>
        <v>225502.34868177361</v>
      </c>
      <c r="AC2" s="19">
        <f t="shared" ref="AC2:AF26" si="6">AB2*(1+$K2)</f>
        <v>224573.53881244597</v>
      </c>
      <c r="AD2" s="19">
        <f t="shared" si="6"/>
        <v>223648.55456967346</v>
      </c>
      <c r="AE2" s="19">
        <f t="shared" si="6"/>
        <v>222727.38019628226</v>
      </c>
      <c r="AF2" s="19">
        <f t="shared" si="6"/>
        <v>221810</v>
      </c>
    </row>
    <row r="3" spans="1:32">
      <c r="A3">
        <v>2</v>
      </c>
      <c r="B3" t="s">
        <v>336</v>
      </c>
      <c r="C3">
        <v>268650</v>
      </c>
      <c r="D3">
        <v>262724</v>
      </c>
      <c r="E3">
        <v>254254</v>
      </c>
      <c r="F3">
        <v>243165</v>
      </c>
      <c r="G3">
        <v>231391</v>
      </c>
      <c r="H3" s="9">
        <f t="shared" si="0"/>
        <v>-4.4511373318474323E-3</v>
      </c>
      <c r="I3" s="10">
        <f t="shared" si="0"/>
        <v>-6.5326258413830329E-3</v>
      </c>
      <c r="J3" s="11">
        <f t="shared" si="0"/>
        <v>-8.879054712249479E-3</v>
      </c>
      <c r="K3" s="12">
        <f>((G3/F3)^(1/5))-1</f>
        <v>-9.8771582643129019E-3</v>
      </c>
      <c r="L3" s="17">
        <f t="shared" ref="L3:L28" si="7">C3</f>
        <v>268650</v>
      </c>
      <c r="M3" s="18">
        <f t="shared" ref="M3:M28" si="8">C3*(1+H3)</f>
        <v>267454.20195579919</v>
      </c>
      <c r="N3" s="18">
        <f t="shared" si="1"/>
        <v>266263.72657291428</v>
      </c>
      <c r="O3" s="18">
        <f t="shared" si="1"/>
        <v>265078.55015944876</v>
      </c>
      <c r="P3" s="18">
        <f t="shared" si="1"/>
        <v>263898.64912896202</v>
      </c>
      <c r="Q3" s="18">
        <f t="shared" si="1"/>
        <v>262724</v>
      </c>
      <c r="R3" s="14">
        <f t="shared" ref="R3:R28" si="9">D3*(1+I3)</f>
        <v>261007.72240844849</v>
      </c>
      <c r="S3" s="14">
        <f t="shared" si="2"/>
        <v>259302.65661624254</v>
      </c>
      <c r="T3" s="14">
        <f t="shared" si="2"/>
        <v>257608.72938089201</v>
      </c>
      <c r="U3" s="14">
        <f t="shared" si="2"/>
        <v>255925.86793837254</v>
      </c>
      <c r="V3" s="14">
        <f t="shared" si="2"/>
        <v>254253.99999999994</v>
      </c>
      <c r="W3" s="15">
        <f t="shared" si="3"/>
        <v>251996.46482319172</v>
      </c>
      <c r="X3" s="15">
        <f t="shared" si="4"/>
        <v>249758.97442473314</v>
      </c>
      <c r="Y3" s="15">
        <f t="shared" si="4"/>
        <v>247541.35082594061</v>
      </c>
      <c r="Z3" s="15">
        <f t="shared" si="4"/>
        <v>245343.41762841295</v>
      </c>
      <c r="AA3" s="15">
        <f t="shared" si="4"/>
        <v>243165</v>
      </c>
      <c r="AB3" s="19">
        <f t="shared" si="5"/>
        <v>240763.22081065836</v>
      </c>
      <c r="AC3" s="19">
        <f t="shared" si="6"/>
        <v>238385.16437448576</v>
      </c>
      <c r="AD3" s="19">
        <f t="shared" si="6"/>
        <v>236030.59637809472</v>
      </c>
      <c r="AE3" s="19">
        <f t="shared" si="6"/>
        <v>233699.28482244813</v>
      </c>
      <c r="AF3" s="19">
        <f t="shared" si="6"/>
        <v>231391.00000000006</v>
      </c>
    </row>
    <row r="4" spans="1:32">
      <c r="A4">
        <v>3</v>
      </c>
      <c r="B4" t="s">
        <v>337</v>
      </c>
      <c r="C4">
        <v>182483</v>
      </c>
      <c r="D4">
        <v>203346</v>
      </c>
      <c r="E4">
        <v>221991</v>
      </c>
      <c r="F4">
        <v>234159</v>
      </c>
      <c r="G4">
        <v>244359</v>
      </c>
      <c r="H4" s="9">
        <f t="shared" si="0"/>
        <v>2.1886458987240065E-2</v>
      </c>
      <c r="I4" s="10">
        <f t="shared" si="0"/>
        <v>1.7700403577207258E-2</v>
      </c>
      <c r="J4" s="11">
        <f t="shared" si="0"/>
        <v>1.0729862742638208E-2</v>
      </c>
      <c r="K4" s="12">
        <f t="shared" ref="K4:K28" si="10">((G4/F4)^(1/5))-1</f>
        <v>8.5640804313684704E-3</v>
      </c>
      <c r="L4" s="17">
        <f t="shared" si="7"/>
        <v>182483</v>
      </c>
      <c r="M4" s="18">
        <f t="shared" si="8"/>
        <v>186476.90669536853</v>
      </c>
      <c r="N4" s="18">
        <f t="shared" si="1"/>
        <v>190558.22586582409</v>
      </c>
      <c r="O4" s="18">
        <f t="shared" si="1"/>
        <v>194728.87066091769</v>
      </c>
      <c r="P4" s="18">
        <f t="shared" si="1"/>
        <v>198990.79610226944</v>
      </c>
      <c r="Q4" s="18">
        <f t="shared" si="1"/>
        <v>203346</v>
      </c>
      <c r="R4" s="14">
        <f t="shared" si="9"/>
        <v>206945.3062658108</v>
      </c>
      <c r="S4" s="14">
        <f t="shared" si="2"/>
        <v>210608.3217051244</v>
      </c>
      <c r="T4" s="14">
        <f t="shared" si="2"/>
        <v>214336.1739960234</v>
      </c>
      <c r="U4" s="14">
        <f t="shared" si="2"/>
        <v>218130.01077694751</v>
      </c>
      <c r="V4" s="14">
        <f t="shared" si="2"/>
        <v>221991.00000000006</v>
      </c>
      <c r="W4" s="15">
        <f t="shared" si="3"/>
        <v>224372.932960101</v>
      </c>
      <c r="X4" s="15">
        <f t="shared" si="4"/>
        <v>226780.42373392606</v>
      </c>
      <c r="Y4" s="15">
        <f t="shared" si="4"/>
        <v>229213.74655330842</v>
      </c>
      <c r="Z4" s="15">
        <f t="shared" si="4"/>
        <v>231673.17859255127</v>
      </c>
      <c r="AA4" s="15">
        <f t="shared" si="4"/>
        <v>234159.00000000006</v>
      </c>
      <c r="AB4" s="19">
        <f t="shared" si="5"/>
        <v>236164.35650972882</v>
      </c>
      <c r="AC4" s="19">
        <f t="shared" si="6"/>
        <v>238186.88705390051</v>
      </c>
      <c r="AD4" s="19">
        <f t="shared" si="6"/>
        <v>240226.73871232741</v>
      </c>
      <c r="AE4" s="19">
        <f t="shared" si="6"/>
        <v>242284.05982442512</v>
      </c>
      <c r="AF4" s="19">
        <f t="shared" si="6"/>
        <v>244358.99999999997</v>
      </c>
    </row>
    <row r="5" spans="1:32">
      <c r="A5">
        <v>4</v>
      </c>
      <c r="B5" t="s">
        <v>338</v>
      </c>
      <c r="C5">
        <v>34376</v>
      </c>
      <c r="D5">
        <v>32885</v>
      </c>
      <c r="E5">
        <v>31890</v>
      </c>
      <c r="F5">
        <v>31143</v>
      </c>
      <c r="G5">
        <v>30486</v>
      </c>
      <c r="H5" s="9">
        <f t="shared" si="0"/>
        <v>-8.8291956402519745E-3</v>
      </c>
      <c r="I5" s="10">
        <f t="shared" si="0"/>
        <v>-6.1259882946758104E-3</v>
      </c>
      <c r="J5" s="11">
        <f t="shared" si="0"/>
        <v>-4.7293771382734828E-3</v>
      </c>
      <c r="K5" s="12">
        <f t="shared" si="10"/>
        <v>-4.2553082171093992E-3</v>
      </c>
      <c r="L5" s="17">
        <f t="shared" si="7"/>
        <v>34376</v>
      </c>
      <c r="M5" s="18">
        <f t="shared" si="8"/>
        <v>34072.487570670695</v>
      </c>
      <c r="N5" s="18">
        <f t="shared" si="1"/>
        <v>33771.654911959187</v>
      </c>
      <c r="O5" s="18">
        <f t="shared" si="1"/>
        <v>33473.47836364642</v>
      </c>
      <c r="P5" s="18">
        <f t="shared" si="1"/>
        <v>33177.934474414047</v>
      </c>
      <c r="Q5" s="18">
        <f t="shared" si="1"/>
        <v>32884.999999999985</v>
      </c>
      <c r="R5" s="14">
        <f t="shared" si="9"/>
        <v>32683.546874929587</v>
      </c>
      <c r="S5" s="14">
        <f t="shared" si="2"/>
        <v>32483.327849345282</v>
      </c>
      <c r="T5" s="14">
        <f t="shared" si="2"/>
        <v>32284.335363168077</v>
      </c>
      <c r="U5" s="14">
        <f t="shared" si="2"/>
        <v>32086.561902631922</v>
      </c>
      <c r="V5" s="14">
        <f t="shared" si="2"/>
        <v>31890.000000000007</v>
      </c>
      <c r="W5" s="15">
        <f t="shared" si="3"/>
        <v>31739.180163060457</v>
      </c>
      <c r="X5" s="15">
        <f t="shared" si="4"/>
        <v>31589.073610009735</v>
      </c>
      <c r="Y5" s="15">
        <f t="shared" si="4"/>
        <v>31439.676967459316</v>
      </c>
      <c r="Z5" s="15">
        <f t="shared" si="4"/>
        <v>31290.986877974712</v>
      </c>
      <c r="AA5" s="15">
        <f t="shared" si="4"/>
        <v>31143.000000000004</v>
      </c>
      <c r="AB5" s="19">
        <f t="shared" si="5"/>
        <v>31010.476936194562</v>
      </c>
      <c r="AC5" s="19">
        <f t="shared" si="6"/>
        <v>30878.517798871493</v>
      </c>
      <c r="AD5" s="19">
        <f t="shared" si="6"/>
        <v>30747.120188349796</v>
      </c>
      <c r="AE5" s="19">
        <f t="shared" si="6"/>
        <v>30616.281715159861</v>
      </c>
      <c r="AF5" s="19">
        <f t="shared" si="6"/>
        <v>30486.000000000004</v>
      </c>
    </row>
    <row r="6" spans="1:32">
      <c r="A6">
        <v>5</v>
      </c>
      <c r="B6" t="s">
        <v>339</v>
      </c>
      <c r="C6">
        <v>436939</v>
      </c>
      <c r="D6">
        <v>434757</v>
      </c>
      <c r="E6">
        <v>432589</v>
      </c>
      <c r="F6">
        <v>430441</v>
      </c>
      <c r="G6">
        <v>428303</v>
      </c>
      <c r="H6" s="9">
        <f t="shared" si="0"/>
        <v>-1.0007674857109849E-3</v>
      </c>
      <c r="I6" s="10">
        <f t="shared" si="0"/>
        <v>-9.9933408547070446E-4</v>
      </c>
      <c r="J6" s="11">
        <f t="shared" si="0"/>
        <v>-9.9506879342192711E-4</v>
      </c>
      <c r="K6" s="12">
        <f t="shared" si="10"/>
        <v>-9.9537938110794144E-4</v>
      </c>
      <c r="L6" s="17">
        <f t="shared" si="7"/>
        <v>436939</v>
      </c>
      <c r="M6" s="18">
        <f t="shared" si="8"/>
        <v>436501.72565556091</v>
      </c>
      <c r="N6" s="18">
        <f t="shared" si="1"/>
        <v>436064.88892106811</v>
      </c>
      <c r="O6" s="18">
        <f t="shared" si="1"/>
        <v>435628.48935857572</v>
      </c>
      <c r="P6" s="18">
        <f t="shared" si="1"/>
        <v>435192.52653057629</v>
      </c>
      <c r="Q6" s="18">
        <f t="shared" si="1"/>
        <v>434757.00000000006</v>
      </c>
      <c r="R6" s="14">
        <f t="shared" si="9"/>
        <v>434322.53251100302</v>
      </c>
      <c r="S6" s="14">
        <f t="shared" si="2"/>
        <v>433888.4992001768</v>
      </c>
      <c r="T6" s="14">
        <f t="shared" si="2"/>
        <v>433454.89963363233</v>
      </c>
      <c r="U6" s="14">
        <f t="shared" si="2"/>
        <v>433021.73337791418</v>
      </c>
      <c r="V6" s="14">
        <f t="shared" si="2"/>
        <v>432589</v>
      </c>
      <c r="W6" s="15">
        <f t="shared" si="3"/>
        <v>432158.54418572242</v>
      </c>
      <c r="X6" s="15">
        <f t="shared" si="4"/>
        <v>431728.51670459256</v>
      </c>
      <c r="Y6" s="15">
        <f t="shared" si="4"/>
        <v>431298.91713038948</v>
      </c>
      <c r="Z6" s="15">
        <f t="shared" si="4"/>
        <v>430869.74503731634</v>
      </c>
      <c r="AA6" s="15">
        <f t="shared" si="4"/>
        <v>430441.00000000006</v>
      </c>
      <c r="AB6" s="19">
        <f t="shared" si="5"/>
        <v>430012.54790381651</v>
      </c>
      <c r="AC6" s="19">
        <f t="shared" si="6"/>
        <v>429584.52228001534</v>
      </c>
      <c r="AD6" s="19">
        <f t="shared" si="6"/>
        <v>429156.92270409473</v>
      </c>
      <c r="AE6" s="19">
        <f t="shared" si="6"/>
        <v>428729.74875197536</v>
      </c>
      <c r="AF6" s="19">
        <f t="shared" si="6"/>
        <v>428303.00000000006</v>
      </c>
    </row>
    <row r="7" spans="1:32">
      <c r="A7">
        <v>6</v>
      </c>
      <c r="B7" t="s">
        <v>340</v>
      </c>
      <c r="C7">
        <v>99848</v>
      </c>
      <c r="D7">
        <v>100046</v>
      </c>
      <c r="E7">
        <v>98372</v>
      </c>
      <c r="F7">
        <v>96947</v>
      </c>
      <c r="G7">
        <v>95654</v>
      </c>
      <c r="H7" s="9">
        <f t="shared" si="0"/>
        <v>3.9628862247198526E-4</v>
      </c>
      <c r="I7" s="10">
        <f t="shared" si="0"/>
        <v>-3.3690857512371775E-3</v>
      </c>
      <c r="J7" s="11">
        <f t="shared" si="0"/>
        <v>-2.9141004016057792E-3</v>
      </c>
      <c r="K7" s="12">
        <f t="shared" si="10"/>
        <v>-2.6817822360369892E-3</v>
      </c>
      <c r="L7" s="17">
        <f t="shared" si="7"/>
        <v>99848</v>
      </c>
      <c r="M7" s="18">
        <f t="shared" si="8"/>
        <v>99887.568626376582</v>
      </c>
      <c r="N7" s="18">
        <f t="shared" si="1"/>
        <v>99927.1529333496</v>
      </c>
      <c r="O7" s="18">
        <f t="shared" si="1"/>
        <v>99966.7529271331</v>
      </c>
      <c r="P7" s="18">
        <f t="shared" si="1"/>
        <v>100006.36861394359</v>
      </c>
      <c r="Q7" s="18">
        <f t="shared" si="1"/>
        <v>100046.00000000003</v>
      </c>
      <c r="R7" s="14">
        <f t="shared" si="9"/>
        <v>99708.936446931722</v>
      </c>
      <c r="S7" s="14">
        <f t="shared" si="2"/>
        <v>99373.008489877349</v>
      </c>
      <c r="T7" s="14">
        <f t="shared" si="2"/>
        <v>99038.212302916538</v>
      </c>
      <c r="U7" s="14">
        <f t="shared" si="2"/>
        <v>98704.544073018784</v>
      </c>
      <c r="V7" s="14">
        <f t="shared" si="2"/>
        <v>98372.000000000015</v>
      </c>
      <c r="W7" s="15">
        <f t="shared" si="3"/>
        <v>98085.334115293241</v>
      </c>
      <c r="X7" s="15">
        <f t="shared" si="4"/>
        <v>97799.503603756224</v>
      </c>
      <c r="Y7" s="15">
        <f t="shared" si="4"/>
        <v>97514.506031027675</v>
      </c>
      <c r="Z7" s="15">
        <f t="shared" si="4"/>
        <v>97230.338969840275</v>
      </c>
      <c r="AA7" s="15">
        <f t="shared" si="4"/>
        <v>96947</v>
      </c>
      <c r="AB7" s="19">
        <f t="shared" si="5"/>
        <v>96687.009257562924</v>
      </c>
      <c r="AC7" s="19">
        <f t="shared" si="6"/>
        <v>96427.715753680444</v>
      </c>
      <c r="AD7" s="19">
        <f t="shared" si="6"/>
        <v>96169.117618510601</v>
      </c>
      <c r="AE7" s="19">
        <f t="shared" si="6"/>
        <v>95911.212987225925</v>
      </c>
      <c r="AF7" s="19">
        <f t="shared" si="6"/>
        <v>95654.000000000029</v>
      </c>
    </row>
    <row r="8" spans="1:32">
      <c r="A8">
        <v>7</v>
      </c>
      <c r="B8" t="s">
        <v>341</v>
      </c>
      <c r="C8">
        <v>109515</v>
      </c>
      <c r="D8">
        <v>93939</v>
      </c>
      <c r="E8">
        <v>85489</v>
      </c>
      <c r="F8">
        <v>78874</v>
      </c>
      <c r="G8">
        <v>73381</v>
      </c>
      <c r="H8" s="9">
        <f t="shared" si="0"/>
        <v>-3.021722721362019E-2</v>
      </c>
      <c r="I8" s="10">
        <f t="shared" si="0"/>
        <v>-1.8675004774651338E-2</v>
      </c>
      <c r="J8" s="11">
        <f t="shared" si="0"/>
        <v>-1.5978186555091534E-2</v>
      </c>
      <c r="K8" s="12">
        <f t="shared" si="10"/>
        <v>-1.4333600838889349E-2</v>
      </c>
      <c r="L8" s="17">
        <f t="shared" si="7"/>
        <v>109515</v>
      </c>
      <c r="M8" s="18">
        <f t="shared" si="8"/>
        <v>106205.76036170039</v>
      </c>
      <c r="N8" s="18">
        <f t="shared" si="1"/>
        <v>102996.5167694556</v>
      </c>
      <c r="O8" s="18">
        <f t="shared" si="1"/>
        <v>99884.247620021517</v>
      </c>
      <c r="P8" s="18">
        <f t="shared" si="1"/>
        <v>96866.022614625821</v>
      </c>
      <c r="Q8" s="18">
        <f t="shared" si="1"/>
        <v>93939</v>
      </c>
      <c r="R8" s="14">
        <f t="shared" si="9"/>
        <v>92184.688726474022</v>
      </c>
      <c r="S8" s="14">
        <f t="shared" si="2"/>
        <v>90463.139224357379</v>
      </c>
      <c r="T8" s="14">
        <f t="shared" si="2"/>
        <v>88773.739667412563</v>
      </c>
      <c r="U8" s="14">
        <f t="shared" si="2"/>
        <v>87115.889655259976</v>
      </c>
      <c r="V8" s="14">
        <f t="shared" si="2"/>
        <v>85489</v>
      </c>
      <c r="W8" s="15">
        <f t="shared" si="3"/>
        <v>84123.040809591781</v>
      </c>
      <c r="X8" s="15">
        <f t="shared" si="4"/>
        <v>82778.907169954546</v>
      </c>
      <c r="Y8" s="15">
        <f t="shared" si="4"/>
        <v>81456.250348366404</v>
      </c>
      <c r="Z8" s="15">
        <f t="shared" si="4"/>
        <v>80154.727184221963</v>
      </c>
      <c r="AA8" s="15">
        <f t="shared" si="4"/>
        <v>78874</v>
      </c>
      <c r="AB8" s="19">
        <f t="shared" si="5"/>
        <v>77743.45156743344</v>
      </c>
      <c r="AC8" s="19">
        <f t="shared" si="6"/>
        <v>76629.107964828319</v>
      </c>
      <c r="AD8" s="19">
        <f t="shared" si="6"/>
        <v>75530.736918620314</v>
      </c>
      <c r="AE8" s="19">
        <f t="shared" si="6"/>
        <v>74448.109484561646</v>
      </c>
      <c r="AF8" s="19">
        <f t="shared" si="6"/>
        <v>73381.000000000015</v>
      </c>
    </row>
    <row r="9" spans="1:32">
      <c r="A9">
        <v>8</v>
      </c>
      <c r="B9" t="s">
        <v>342</v>
      </c>
      <c r="C9">
        <v>417121</v>
      </c>
      <c r="D9">
        <v>446937</v>
      </c>
      <c r="E9">
        <v>449729</v>
      </c>
      <c r="F9">
        <v>445014</v>
      </c>
      <c r="G9">
        <v>434627</v>
      </c>
      <c r="H9" s="9">
        <f t="shared" si="0"/>
        <v>1.3904033835007379E-2</v>
      </c>
      <c r="I9" s="10">
        <f t="shared" si="0"/>
        <v>1.2462827757644401E-3</v>
      </c>
      <c r="J9" s="11">
        <f t="shared" si="0"/>
        <v>-2.1056673231754086E-3</v>
      </c>
      <c r="K9" s="12">
        <f t="shared" si="10"/>
        <v>-4.7123718423763838E-3</v>
      </c>
      <c r="L9" s="17">
        <f t="shared" si="7"/>
        <v>417121</v>
      </c>
      <c r="M9" s="18">
        <f t="shared" si="8"/>
        <v>422920.66449729213</v>
      </c>
      <c r="N9" s="18">
        <f t="shared" si="1"/>
        <v>428800.96772598627</v>
      </c>
      <c r="O9" s="18">
        <f t="shared" si="1"/>
        <v>434763.0308897323</v>
      </c>
      <c r="P9" s="18">
        <f t="shared" si="1"/>
        <v>440807.99078143347</v>
      </c>
      <c r="Q9" s="18">
        <f t="shared" si="1"/>
        <v>446937.00000000012</v>
      </c>
      <c r="R9" s="14">
        <f t="shared" si="9"/>
        <v>447494.00988495181</v>
      </c>
      <c r="S9" s="14">
        <f t="shared" si="2"/>
        <v>448051.7139617292</v>
      </c>
      <c r="T9" s="14">
        <f t="shared" si="2"/>
        <v>448610.11309549143</v>
      </c>
      <c r="U9" s="14">
        <f t="shared" si="2"/>
        <v>449169.20815247606</v>
      </c>
      <c r="V9" s="14">
        <f t="shared" si="2"/>
        <v>449729.00000000023</v>
      </c>
      <c r="W9" s="15">
        <f t="shared" si="3"/>
        <v>448782.02034041565</v>
      </c>
      <c r="X9" s="15">
        <f t="shared" si="4"/>
        <v>447837.03470495617</v>
      </c>
      <c r="Y9" s="15">
        <f t="shared" si="4"/>
        <v>446894.03889487014</v>
      </c>
      <c r="Z9" s="15">
        <f t="shared" si="4"/>
        <v>445953.02872024733</v>
      </c>
      <c r="AA9" s="15">
        <f t="shared" si="4"/>
        <v>445014</v>
      </c>
      <c r="AB9" s="19">
        <f t="shared" si="5"/>
        <v>442916.92855693673</v>
      </c>
      <c r="AC9" s="19">
        <f t="shared" si="6"/>
        <v>440829.73929429322</v>
      </c>
      <c r="AD9" s="19">
        <f t="shared" si="6"/>
        <v>438752.38564356067</v>
      </c>
      <c r="AE9" s="19">
        <f t="shared" si="6"/>
        <v>436684.82125567849</v>
      </c>
      <c r="AF9" s="19">
        <f t="shared" si="6"/>
        <v>434627.00000000006</v>
      </c>
    </row>
    <row r="10" spans="1:32">
      <c r="A10">
        <v>9</v>
      </c>
      <c r="B10" t="s">
        <v>343</v>
      </c>
      <c r="C10">
        <v>204935</v>
      </c>
      <c r="D10">
        <v>184899</v>
      </c>
      <c r="E10">
        <v>185130</v>
      </c>
      <c r="F10">
        <v>187579</v>
      </c>
      <c r="G10">
        <v>188722</v>
      </c>
      <c r="H10" s="9">
        <f t="shared" si="0"/>
        <v>-2.0366370953635582E-2</v>
      </c>
      <c r="I10" s="10">
        <f t="shared" si="0"/>
        <v>2.4974137047628631E-4</v>
      </c>
      <c r="J10" s="11">
        <f t="shared" si="0"/>
        <v>2.6318189724643393E-3</v>
      </c>
      <c r="K10" s="12">
        <f t="shared" si="10"/>
        <v>1.2157269468702214E-3</v>
      </c>
      <c r="L10" s="17">
        <f t="shared" si="7"/>
        <v>204935</v>
      </c>
      <c r="M10" s="18">
        <f t="shared" si="8"/>
        <v>200761.21776861668</v>
      </c>
      <c r="N10" s="18">
        <f t="shared" si="1"/>
        <v>196672.44033443742</v>
      </c>
      <c r="O10" s="18">
        <f t="shared" si="1"/>
        <v>192666.93645822949</v>
      </c>
      <c r="P10" s="18">
        <f t="shared" si="1"/>
        <v>188743.01015982067</v>
      </c>
      <c r="Q10" s="18">
        <f t="shared" si="1"/>
        <v>184898.99999999994</v>
      </c>
      <c r="R10" s="14">
        <f t="shared" si="9"/>
        <v>184945.1769296597</v>
      </c>
      <c r="S10" s="14">
        <f t="shared" si="2"/>
        <v>184991.36539160908</v>
      </c>
      <c r="T10" s="14">
        <f t="shared" si="2"/>
        <v>185037.56538872825</v>
      </c>
      <c r="U10" s="14">
        <f t="shared" si="2"/>
        <v>185083.77692389803</v>
      </c>
      <c r="V10" s="14">
        <f t="shared" si="2"/>
        <v>185129.99999999991</v>
      </c>
      <c r="W10" s="15">
        <f t="shared" si="3"/>
        <v>185617.22864637233</v>
      </c>
      <c r="X10" s="15">
        <f t="shared" si="4"/>
        <v>186105.73959034009</v>
      </c>
      <c r="Y10" s="15">
        <f t="shared" si="4"/>
        <v>186595.53620667846</v>
      </c>
      <c r="Z10" s="15">
        <f t="shared" si="4"/>
        <v>187086.62187904434</v>
      </c>
      <c r="AA10" s="15">
        <f t="shared" si="4"/>
        <v>187578.99999999985</v>
      </c>
      <c r="AB10" s="19">
        <f t="shared" si="5"/>
        <v>187807.04484496696</v>
      </c>
      <c r="AC10" s="19">
        <f t="shared" si="6"/>
        <v>188035.36693019705</v>
      </c>
      <c r="AD10" s="19">
        <f t="shared" si="6"/>
        <v>188263.96659273873</v>
      </c>
      <c r="AE10" s="19">
        <f t="shared" si="6"/>
        <v>188492.8441700502</v>
      </c>
      <c r="AF10" s="19">
        <f t="shared" si="6"/>
        <v>188721.99999999994</v>
      </c>
    </row>
    <row r="11" spans="1:32">
      <c r="A11">
        <v>10</v>
      </c>
      <c r="B11" t="s">
        <v>344</v>
      </c>
      <c r="C11">
        <v>532082</v>
      </c>
      <c r="D11">
        <v>562951</v>
      </c>
      <c r="E11">
        <v>585693</v>
      </c>
      <c r="F11">
        <v>603593</v>
      </c>
      <c r="G11">
        <v>617303</v>
      </c>
      <c r="H11" s="9">
        <f t="shared" si="0"/>
        <v>1.1342843250951473E-2</v>
      </c>
      <c r="I11" s="10">
        <f t="shared" si="0"/>
        <v>7.9520853877250719E-3</v>
      </c>
      <c r="J11" s="11">
        <f t="shared" si="0"/>
        <v>6.0390355373811655E-3</v>
      </c>
      <c r="K11" s="12">
        <f t="shared" si="10"/>
        <v>4.5020759330125504E-3</v>
      </c>
      <c r="L11" s="17">
        <f t="shared" si="7"/>
        <v>532082</v>
      </c>
      <c r="M11" s="18">
        <f t="shared" si="8"/>
        <v>538117.32272265281</v>
      </c>
      <c r="N11" s="18">
        <f t="shared" si="1"/>
        <v>544221.10316491756</v>
      </c>
      <c r="O11" s="18">
        <f t="shared" si="1"/>
        <v>550394.11783197708</v>
      </c>
      <c r="P11" s="18">
        <f t="shared" si="1"/>
        <v>556637.15203679097</v>
      </c>
      <c r="Q11" s="18">
        <f t="shared" si="1"/>
        <v>562951.00000000035</v>
      </c>
      <c r="R11" s="14">
        <f t="shared" si="9"/>
        <v>567427.63442110526</v>
      </c>
      <c r="S11" s="14">
        <f t="shared" si="2"/>
        <v>571939.86742137675</v>
      </c>
      <c r="T11" s="14">
        <f t="shared" si="2"/>
        <v>576487.98208375566</v>
      </c>
      <c r="U11" s="14">
        <f t="shared" si="2"/>
        <v>581072.26374228299</v>
      </c>
      <c r="V11" s="14">
        <f t="shared" si="2"/>
        <v>585693.00000000035</v>
      </c>
      <c r="W11" s="15">
        <f t="shared" si="3"/>
        <v>589230.02084099536</v>
      </c>
      <c r="X11" s="15">
        <f t="shared" si="4"/>
        <v>592788.40187654598</v>
      </c>
      <c r="Y11" s="15">
        <f t="shared" si="4"/>
        <v>596368.2721016258</v>
      </c>
      <c r="Z11" s="15">
        <f t="shared" si="4"/>
        <v>599969.76129021414</v>
      </c>
      <c r="AA11" s="15">
        <f t="shared" si="4"/>
        <v>603592.99999999988</v>
      </c>
      <c r="AB11" s="19">
        <f t="shared" si="5"/>
        <v>606310.42151863489</v>
      </c>
      <c r="AC11" s="19">
        <f t="shared" si="6"/>
        <v>609040.07707528863</v>
      </c>
      <c r="AD11" s="19">
        <f t="shared" si="6"/>
        <v>611782.0217485294</v>
      </c>
      <c r="AE11" s="19">
        <f t="shared" si="6"/>
        <v>614536.31086489325</v>
      </c>
      <c r="AF11" s="19">
        <f t="shared" si="6"/>
        <v>617303.00000000047</v>
      </c>
    </row>
    <row r="12" spans="1:32">
      <c r="A12">
        <v>11</v>
      </c>
      <c r="B12" t="s">
        <v>345</v>
      </c>
      <c r="C12">
        <v>341390</v>
      </c>
      <c r="D12">
        <v>299519</v>
      </c>
      <c r="E12">
        <v>276889</v>
      </c>
      <c r="F12">
        <v>270500</v>
      </c>
      <c r="G12">
        <v>266435</v>
      </c>
      <c r="H12" s="9">
        <f t="shared" si="0"/>
        <v>-2.5830078178953442E-2</v>
      </c>
      <c r="I12" s="10">
        <f t="shared" si="0"/>
        <v>-1.5589437021656716E-2</v>
      </c>
      <c r="J12" s="11">
        <f t="shared" si="0"/>
        <v>-4.6580386445911337E-3</v>
      </c>
      <c r="K12" s="12">
        <f t="shared" si="10"/>
        <v>-3.0237765248640747E-3</v>
      </c>
      <c r="L12" s="17">
        <f t="shared" si="7"/>
        <v>341390</v>
      </c>
      <c r="M12" s="18">
        <f t="shared" si="8"/>
        <v>332571.86961048708</v>
      </c>
      <c r="N12" s="18">
        <f t="shared" si="1"/>
        <v>323981.51221832749</v>
      </c>
      <c r="O12" s="18">
        <f t="shared" si="1"/>
        <v>315613.04442919255</v>
      </c>
      <c r="P12" s="18">
        <f t="shared" si="1"/>
        <v>307460.73481728899</v>
      </c>
      <c r="Q12" s="18">
        <f t="shared" si="1"/>
        <v>299518.99999999994</v>
      </c>
      <c r="R12" s="14">
        <f t="shared" si="9"/>
        <v>294849.66741271038</v>
      </c>
      <c r="S12" s="14">
        <f t="shared" si="2"/>
        <v>290253.12709172349</v>
      </c>
      <c r="T12" s="14">
        <f t="shared" si="2"/>
        <v>285728.24424658815</v>
      </c>
      <c r="U12" s="14">
        <f t="shared" si="2"/>
        <v>281273.90177759744</v>
      </c>
      <c r="V12" s="14">
        <f t="shared" si="2"/>
        <v>276888.99999999994</v>
      </c>
      <c r="W12" s="15">
        <f t="shared" si="3"/>
        <v>275599.24033773778</v>
      </c>
      <c r="X12" s="15">
        <f t="shared" si="4"/>
        <v>274315.48842582462</v>
      </c>
      <c r="Y12" s="15">
        <f t="shared" si="4"/>
        <v>273037.71627992723</v>
      </c>
      <c r="Z12" s="15">
        <f t="shared" si="4"/>
        <v>271765.89604606444</v>
      </c>
      <c r="AA12" s="15">
        <f t="shared" si="4"/>
        <v>270499.99999999994</v>
      </c>
      <c r="AB12" s="19">
        <f t="shared" si="5"/>
        <v>269682.06845002429</v>
      </c>
      <c r="AC12" s="19">
        <f t="shared" si="6"/>
        <v>268866.6101422683</v>
      </c>
      <c r="AD12" s="19">
        <f t="shared" si="6"/>
        <v>268053.61759820033</v>
      </c>
      <c r="AE12" s="19">
        <f t="shared" si="6"/>
        <v>267243.08336190198</v>
      </c>
      <c r="AF12" s="19">
        <f t="shared" si="6"/>
        <v>266435</v>
      </c>
    </row>
    <row r="13" spans="1:32">
      <c r="A13">
        <v>12</v>
      </c>
      <c r="B13" t="s">
        <v>346</v>
      </c>
      <c r="C13">
        <v>1483502</v>
      </c>
      <c r="D13">
        <v>1483939</v>
      </c>
      <c r="E13">
        <v>1444479</v>
      </c>
      <c r="F13">
        <v>1401662</v>
      </c>
      <c r="G13">
        <v>1363497</v>
      </c>
      <c r="H13" s="9">
        <f t="shared" si="0"/>
        <v>5.890770861038952E-5</v>
      </c>
      <c r="I13" s="10">
        <f t="shared" si="0"/>
        <v>-5.3757657497118805E-3</v>
      </c>
      <c r="J13" s="11">
        <f t="shared" si="0"/>
        <v>-5.9999335822719102E-3</v>
      </c>
      <c r="K13" s="12">
        <f t="shared" si="10"/>
        <v>-5.5059767002642035E-3</v>
      </c>
      <c r="L13" s="17">
        <f t="shared" si="7"/>
        <v>1483502</v>
      </c>
      <c r="M13" s="18">
        <f t="shared" si="8"/>
        <v>1483589.389703539</v>
      </c>
      <c r="N13" s="18">
        <f t="shared" si="1"/>
        <v>1483676.7845550051</v>
      </c>
      <c r="O13" s="18">
        <f t="shared" si="1"/>
        <v>1483764.1845547017</v>
      </c>
      <c r="P13" s="18">
        <f t="shared" si="1"/>
        <v>1483851.5897029319</v>
      </c>
      <c r="Q13" s="18">
        <f t="shared" si="1"/>
        <v>1483938.9999999993</v>
      </c>
      <c r="R13" s="14">
        <f t="shared" si="9"/>
        <v>1475961.6915491384</v>
      </c>
      <c r="S13" s="14">
        <f t="shared" si="2"/>
        <v>1468027.2672398218</v>
      </c>
      <c r="T13" s="14">
        <f t="shared" si="2"/>
        <v>1460135.4965369508</v>
      </c>
      <c r="U13" s="14">
        <f t="shared" si="2"/>
        <v>1452286.1501447288</v>
      </c>
      <c r="V13" s="14">
        <f t="shared" si="2"/>
        <v>1444478.9999999998</v>
      </c>
      <c r="W13" s="15">
        <f t="shared" si="3"/>
        <v>1435812.2219390133</v>
      </c>
      <c r="X13" s="15">
        <f t="shared" si="4"/>
        <v>1427197.443970765</v>
      </c>
      <c r="Y13" s="15">
        <f t="shared" si="4"/>
        <v>1418634.3540981521</v>
      </c>
      <c r="Z13" s="15">
        <f t="shared" si="4"/>
        <v>1410122.6421960341</v>
      </c>
      <c r="AA13" s="15">
        <f t="shared" si="4"/>
        <v>1401662</v>
      </c>
      <c r="AB13" s="19">
        <f t="shared" si="5"/>
        <v>1393944.4816863544</v>
      </c>
      <c r="AC13" s="19">
        <f t="shared" si="6"/>
        <v>1386269.4558487274</v>
      </c>
      <c r="AD13" s="19">
        <f t="shared" si="6"/>
        <v>1378636.6885245363</v>
      </c>
      <c r="AE13" s="19">
        <f t="shared" si="6"/>
        <v>1371045.9470393909</v>
      </c>
      <c r="AF13" s="19">
        <f t="shared" si="6"/>
        <v>1363497.0000000005</v>
      </c>
    </row>
    <row r="14" spans="1:32">
      <c r="A14">
        <v>13</v>
      </c>
      <c r="B14" t="s">
        <v>347</v>
      </c>
      <c r="C14">
        <v>1014499</v>
      </c>
      <c r="D14">
        <v>1041809</v>
      </c>
      <c r="E14">
        <v>1066268</v>
      </c>
      <c r="F14">
        <v>1084316</v>
      </c>
      <c r="G14">
        <v>1099122</v>
      </c>
      <c r="H14" s="9">
        <f t="shared" si="0"/>
        <v>5.3268837831632609E-3</v>
      </c>
      <c r="I14" s="10">
        <f t="shared" si="0"/>
        <v>4.652002339297967E-3</v>
      </c>
      <c r="J14" s="11">
        <f t="shared" si="0"/>
        <v>3.3625752496462269E-3</v>
      </c>
      <c r="K14" s="12">
        <f t="shared" si="10"/>
        <v>2.716143214865685E-3</v>
      </c>
      <c r="L14" s="17">
        <f t="shared" si="7"/>
        <v>1014499</v>
      </c>
      <c r="M14" s="18">
        <f t="shared" si="8"/>
        <v>1019903.1182711354</v>
      </c>
      <c r="N14" s="18">
        <f t="shared" si="1"/>
        <v>1025336.0236522516</v>
      </c>
      <c r="O14" s="18">
        <f t="shared" si="1"/>
        <v>1030797.8694889379</v>
      </c>
      <c r="P14" s="18">
        <f t="shared" si="1"/>
        <v>1036288.8099436378</v>
      </c>
      <c r="Q14" s="18">
        <f t="shared" si="1"/>
        <v>1041809.0000000001</v>
      </c>
      <c r="R14" s="14">
        <f t="shared" si="9"/>
        <v>1046655.4979051016</v>
      </c>
      <c r="S14" s="14">
        <f t="shared" si="2"/>
        <v>1051524.5417297953</v>
      </c>
      <c r="T14" s="14">
        <f t="shared" si="2"/>
        <v>1056416.2363577515</v>
      </c>
      <c r="U14" s="14">
        <f t="shared" si="2"/>
        <v>1061330.6871605602</v>
      </c>
      <c r="V14" s="14">
        <f t="shared" si="2"/>
        <v>1066267.9999999998</v>
      </c>
      <c r="W14" s="15">
        <f t="shared" si="3"/>
        <v>1069853.4063862897</v>
      </c>
      <c r="X14" s="15">
        <f t="shared" si="4"/>
        <v>1073450.8689713541</v>
      </c>
      <c r="Y14" s="15">
        <f t="shared" si="4"/>
        <v>1077060.4282950684</v>
      </c>
      <c r="Z14" s="15">
        <f t="shared" si="4"/>
        <v>1080682.1250336268</v>
      </c>
      <c r="AA14" s="15">
        <f t="shared" si="4"/>
        <v>1084316</v>
      </c>
      <c r="AB14" s="19">
        <f t="shared" si="5"/>
        <v>1087261.1575461703</v>
      </c>
      <c r="AC14" s="19">
        <f t="shared" si="6"/>
        <v>1090214.3145620264</v>
      </c>
      <c r="AD14" s="19">
        <f t="shared" si="6"/>
        <v>1093175.4927752735</v>
      </c>
      <c r="AE14" s="19">
        <f t="shared" si="6"/>
        <v>1096144.7139726325</v>
      </c>
      <c r="AF14" s="19">
        <f t="shared" si="6"/>
        <v>1099122.0000000002</v>
      </c>
    </row>
    <row r="15" spans="1:32">
      <c r="A15">
        <v>14</v>
      </c>
      <c r="B15" t="s">
        <v>348</v>
      </c>
      <c r="C15">
        <v>662075</v>
      </c>
      <c r="D15">
        <v>641658</v>
      </c>
      <c r="E15">
        <v>628332</v>
      </c>
      <c r="F15">
        <v>617856</v>
      </c>
      <c r="G15">
        <v>607968</v>
      </c>
      <c r="H15" s="9">
        <f t="shared" si="0"/>
        <v>-6.2450960371898123E-3</v>
      </c>
      <c r="I15" s="10">
        <f t="shared" si="0"/>
        <v>-4.1885558825712765E-3</v>
      </c>
      <c r="J15" s="11">
        <f t="shared" si="0"/>
        <v>-3.3570063313972387E-3</v>
      </c>
      <c r="K15" s="12">
        <f t="shared" si="10"/>
        <v>-3.2214343289796998E-3</v>
      </c>
      <c r="L15" s="17">
        <f t="shared" si="7"/>
        <v>662075</v>
      </c>
      <c r="M15" s="18">
        <f t="shared" si="8"/>
        <v>657940.27804117755</v>
      </c>
      <c r="N15" s="18">
        <f t="shared" si="1"/>
        <v>653831.37781807501</v>
      </c>
      <c r="O15" s="18">
        <f t="shared" si="1"/>
        <v>649748.13807147299</v>
      </c>
      <c r="P15" s="18">
        <f t="shared" si="1"/>
        <v>645690.39854923135</v>
      </c>
      <c r="Q15" s="18">
        <f t="shared" si="1"/>
        <v>641658</v>
      </c>
      <c r="R15" s="14">
        <f t="shared" si="9"/>
        <v>638970.37960950111</v>
      </c>
      <c r="S15" s="14">
        <f t="shared" si="2"/>
        <v>636294.01646719896</v>
      </c>
      <c r="T15" s="14">
        <f t="shared" si="2"/>
        <v>633628.8634214804</v>
      </c>
      <c r="U15" s="14">
        <f t="shared" si="2"/>
        <v>630974.87351822946</v>
      </c>
      <c r="V15" s="14">
        <f t="shared" si="2"/>
        <v>628332</v>
      </c>
      <c r="W15" s="15">
        <f t="shared" si="3"/>
        <v>626222.68549778056</v>
      </c>
      <c r="X15" s="15">
        <f t="shared" si="4"/>
        <v>624120.45197769988</v>
      </c>
      <c r="Y15" s="15">
        <f t="shared" si="4"/>
        <v>622025.27566885622</v>
      </c>
      <c r="Z15" s="15">
        <f t="shared" si="4"/>
        <v>619937.13288014673</v>
      </c>
      <c r="AA15" s="15">
        <f t="shared" si="4"/>
        <v>617855.99999999988</v>
      </c>
      <c r="AB15" s="19">
        <f t="shared" si="5"/>
        <v>615865.61747123394</v>
      </c>
      <c r="AC15" s="19">
        <f t="shared" si="6"/>
        <v>613881.64682907378</v>
      </c>
      <c r="AD15" s="19">
        <f t="shared" si="6"/>
        <v>611904.06741804804</v>
      </c>
      <c r="AE15" s="19">
        <f t="shared" si="6"/>
        <v>609932.85864922521</v>
      </c>
      <c r="AF15" s="19">
        <f t="shared" si="6"/>
        <v>607967.99999999988</v>
      </c>
    </row>
    <row r="16" spans="1:32">
      <c r="A16">
        <v>15</v>
      </c>
      <c r="B16" t="s">
        <v>349</v>
      </c>
      <c r="C16">
        <v>91437</v>
      </c>
      <c r="D16">
        <v>85895</v>
      </c>
      <c r="E16">
        <v>83536</v>
      </c>
      <c r="F16">
        <v>82776</v>
      </c>
      <c r="G16">
        <v>82650</v>
      </c>
      <c r="H16" s="9">
        <f t="shared" si="0"/>
        <v>-1.242705649482545E-2</v>
      </c>
      <c r="I16" s="10">
        <f t="shared" si="0"/>
        <v>-5.5541072780180833E-3</v>
      </c>
      <c r="J16" s="11">
        <f t="shared" si="0"/>
        <v>-1.8262328768251512E-3</v>
      </c>
      <c r="K16" s="12">
        <f t="shared" si="10"/>
        <v>-3.0462160053901233E-4</v>
      </c>
      <c r="L16" s="17">
        <f t="shared" si="7"/>
        <v>91437</v>
      </c>
      <c r="M16" s="18">
        <f t="shared" si="8"/>
        <v>90300.707235282651</v>
      </c>
      <c r="N16" s="18">
        <f t="shared" si="1"/>
        <v>89178.535244947096</v>
      </c>
      <c r="O16" s="18">
        <f t="shared" si="1"/>
        <v>88070.30854933236</v>
      </c>
      <c r="P16" s="18">
        <f t="shared" si="1"/>
        <v>86975.853849473104</v>
      </c>
      <c r="Q16" s="18">
        <f t="shared" si="1"/>
        <v>85895.000000000015</v>
      </c>
      <c r="R16" s="14">
        <f t="shared" si="9"/>
        <v>85417.92995535463</v>
      </c>
      <c r="S16" s="14">
        <f t="shared" si="2"/>
        <v>84943.509608916356</v>
      </c>
      <c r="T16" s="14">
        <f t="shared" si="2"/>
        <v>84471.724243977078</v>
      </c>
      <c r="U16" s="14">
        <f t="shared" si="2"/>
        <v>84002.559225566874</v>
      </c>
      <c r="V16" s="14">
        <f t="shared" si="2"/>
        <v>83536.000000000015</v>
      </c>
      <c r="W16" s="15">
        <f t="shared" si="3"/>
        <v>83383.443810401528</v>
      </c>
      <c r="X16" s="15">
        <f t="shared" si="4"/>
        <v>83231.166223932072</v>
      </c>
      <c r="Y16" s="15">
        <f t="shared" si="4"/>
        <v>83079.166731797435</v>
      </c>
      <c r="Z16" s="15">
        <f t="shared" si="4"/>
        <v>82927.444826132589</v>
      </c>
      <c r="AA16" s="15">
        <f t="shared" si="4"/>
        <v>82776</v>
      </c>
      <c r="AB16" s="19">
        <f t="shared" si="5"/>
        <v>82750.784642393788</v>
      </c>
      <c r="AC16" s="19">
        <f t="shared" si="6"/>
        <v>82725.576965930159</v>
      </c>
      <c r="AD16" s="19">
        <f t="shared" si="6"/>
        <v>82700.37696826928</v>
      </c>
      <c r="AE16" s="19">
        <f t="shared" si="6"/>
        <v>82675.184647072019</v>
      </c>
      <c r="AF16" s="19">
        <f t="shared" si="6"/>
        <v>82649.999999999971</v>
      </c>
    </row>
    <row r="17" spans="1:32">
      <c r="A17">
        <v>16</v>
      </c>
      <c r="B17" t="s">
        <v>350</v>
      </c>
      <c r="C17">
        <v>57076</v>
      </c>
      <c r="D17">
        <v>57202</v>
      </c>
      <c r="E17">
        <v>58329</v>
      </c>
      <c r="F17">
        <v>59523</v>
      </c>
      <c r="G17">
        <v>60812</v>
      </c>
      <c r="H17" s="9">
        <f t="shared" si="0"/>
        <v>4.4112721623168483E-4</v>
      </c>
      <c r="I17" s="10">
        <f t="shared" si="0"/>
        <v>3.9097299253849638E-3</v>
      </c>
      <c r="J17" s="11">
        <f t="shared" si="0"/>
        <v>4.0609023487570006E-3</v>
      </c>
      <c r="K17" s="12">
        <f t="shared" si="10"/>
        <v>4.2940622650089466E-3</v>
      </c>
      <c r="L17" s="17">
        <f t="shared" si="7"/>
        <v>57076</v>
      </c>
      <c r="M17" s="18">
        <f t="shared" si="8"/>
        <v>57101.177776993638</v>
      </c>
      <c r="N17" s="18">
        <f t="shared" si="1"/>
        <v>57126.366660589956</v>
      </c>
      <c r="O17" s="18">
        <f t="shared" si="1"/>
        <v>57151.566655688373</v>
      </c>
      <c r="P17" s="18">
        <f t="shared" si="1"/>
        <v>57176.777767190477</v>
      </c>
      <c r="Q17" s="18">
        <f t="shared" si="1"/>
        <v>57202.000000000015</v>
      </c>
      <c r="R17" s="14">
        <f t="shared" si="9"/>
        <v>57425.644371191869</v>
      </c>
      <c r="S17" s="14">
        <f t="shared" si="2"/>
        <v>57650.16313147443</v>
      </c>
      <c r="T17" s="14">
        <f t="shared" si="2"/>
        <v>57875.559699472884</v>
      </c>
      <c r="U17" s="14">
        <f t="shared" si="2"/>
        <v>58101.837507178316</v>
      </c>
      <c r="V17" s="14">
        <f t="shared" si="2"/>
        <v>58328.999999999985</v>
      </c>
      <c r="W17" s="15">
        <f t="shared" si="3"/>
        <v>58565.868373100646</v>
      </c>
      <c r="X17" s="15">
        <f t="shared" si="4"/>
        <v>58803.698645533965</v>
      </c>
      <c r="Y17" s="15">
        <f t="shared" si="4"/>
        <v>59042.494723479213</v>
      </c>
      <c r="Z17" s="15">
        <f t="shared" si="4"/>
        <v>59282.260528978259</v>
      </c>
      <c r="AA17" s="15">
        <f t="shared" si="4"/>
        <v>59523.000000000007</v>
      </c>
      <c r="AB17" s="19">
        <f t="shared" si="5"/>
        <v>59778.595468200125</v>
      </c>
      <c r="AC17" s="19">
        <f t="shared" si="6"/>
        <v>60035.28847925536</v>
      </c>
      <c r="AD17" s="19">
        <f t="shared" si="6"/>
        <v>60293.083746083059</v>
      </c>
      <c r="AE17" s="19">
        <f t="shared" si="6"/>
        <v>60551.986001838137</v>
      </c>
      <c r="AF17" s="19">
        <f t="shared" si="6"/>
        <v>60811.999999999978</v>
      </c>
    </row>
    <row r="18" spans="1:32">
      <c r="A18">
        <v>17</v>
      </c>
      <c r="B18" t="s">
        <v>351</v>
      </c>
      <c r="C18">
        <v>393253</v>
      </c>
      <c r="D18">
        <v>376198</v>
      </c>
      <c r="E18">
        <v>363929</v>
      </c>
      <c r="F18">
        <v>354205</v>
      </c>
      <c r="G18">
        <v>346287</v>
      </c>
      <c r="H18" s="9">
        <f t="shared" si="0"/>
        <v>-8.8283135757729614E-3</v>
      </c>
      <c r="I18" s="10">
        <f t="shared" si="0"/>
        <v>-6.609422418142219E-3</v>
      </c>
      <c r="J18" s="11">
        <f t="shared" si="0"/>
        <v>-5.4019471446035139E-3</v>
      </c>
      <c r="K18" s="12">
        <f t="shared" si="10"/>
        <v>-4.5113791330719799E-3</v>
      </c>
      <c r="L18" s="17">
        <f t="shared" si="7"/>
        <v>393253</v>
      </c>
      <c r="M18" s="18">
        <f t="shared" si="8"/>
        <v>389781.23920138658</v>
      </c>
      <c r="N18" s="18">
        <f t="shared" si="1"/>
        <v>386340.12819576339</v>
      </c>
      <c r="O18" s="18">
        <f t="shared" si="1"/>
        <v>382929.39639714686</v>
      </c>
      <c r="P18" s="18">
        <f t="shared" si="1"/>
        <v>379548.77560837136</v>
      </c>
      <c r="Q18" s="18">
        <f t="shared" si="1"/>
        <v>376197.99999999994</v>
      </c>
      <c r="R18" s="14">
        <f t="shared" si="9"/>
        <v>373711.54850513971</v>
      </c>
      <c r="S18" s="14">
        <f t="shared" si="2"/>
        <v>371241.53101853118</v>
      </c>
      <c r="T18" s="14">
        <f t="shared" si="2"/>
        <v>368787.83892087184</v>
      </c>
      <c r="U18" s="14">
        <f t="shared" si="2"/>
        <v>366350.36431077</v>
      </c>
      <c r="V18" s="14">
        <f t="shared" si="2"/>
        <v>363928.99999999983</v>
      </c>
      <c r="W18" s="15">
        <f t="shared" si="3"/>
        <v>361963.07477761159</v>
      </c>
      <c r="X18" s="15">
        <f t="shared" si="4"/>
        <v>360007.76937936473</v>
      </c>
      <c r="Y18" s="15">
        <f t="shared" si="4"/>
        <v>358063.02643753082</v>
      </c>
      <c r="Z18" s="15">
        <f t="shared" si="4"/>
        <v>356128.78889427852</v>
      </c>
      <c r="AA18" s="15">
        <f t="shared" si="4"/>
        <v>354204.99999999994</v>
      </c>
      <c r="AB18" s="19">
        <f t="shared" si="5"/>
        <v>352607.04695417022</v>
      </c>
      <c r="AC18" s="19">
        <f t="shared" si="6"/>
        <v>351016.30288036703</v>
      </c>
      <c r="AD18" s="19">
        <f t="shared" si="6"/>
        <v>349432.73525618447</v>
      </c>
      <c r="AE18" s="19">
        <f t="shared" si="6"/>
        <v>347856.31170593743</v>
      </c>
      <c r="AF18" s="19">
        <f t="shared" si="6"/>
        <v>346286.99999999988</v>
      </c>
    </row>
    <row r="19" spans="1:32">
      <c r="A19">
        <v>18</v>
      </c>
      <c r="B19" t="s">
        <v>352</v>
      </c>
      <c r="C19">
        <v>265014</v>
      </c>
      <c r="D19">
        <v>314668</v>
      </c>
      <c r="E19">
        <v>338230</v>
      </c>
      <c r="F19">
        <v>353898</v>
      </c>
      <c r="G19">
        <v>365042</v>
      </c>
      <c r="H19" s="9">
        <f t="shared" si="0"/>
        <v>3.4943765090591272E-2</v>
      </c>
      <c r="I19" s="10">
        <f t="shared" si="0"/>
        <v>1.4546388314903513E-2</v>
      </c>
      <c r="J19" s="11">
        <f t="shared" si="0"/>
        <v>9.0976540755070001E-3</v>
      </c>
      <c r="K19" s="12">
        <f t="shared" si="10"/>
        <v>6.2200002467722726E-3</v>
      </c>
      <c r="L19" s="17">
        <f t="shared" si="7"/>
        <v>265014</v>
      </c>
      <c r="M19" s="18">
        <f t="shared" si="8"/>
        <v>274274.58696171793</v>
      </c>
      <c r="N19" s="18">
        <f t="shared" si="1"/>
        <v>283858.77369882714</v>
      </c>
      <c r="O19" s="18">
        <f t="shared" si="1"/>
        <v>293777.86800586228</v>
      </c>
      <c r="P19" s="18">
        <f t="shared" si="1"/>
        <v>304043.57281427388</v>
      </c>
      <c r="Q19" s="18">
        <f t="shared" si="1"/>
        <v>314667.99999999994</v>
      </c>
      <c r="R19" s="14">
        <f t="shared" si="9"/>
        <v>319245.28291827405</v>
      </c>
      <c r="S19" s="14">
        <f t="shared" si="2"/>
        <v>323889.14877130452</v>
      </c>
      <c r="T19" s="14">
        <f t="shared" si="2"/>
        <v>328600.56610031548</v>
      </c>
      <c r="U19" s="14">
        <f t="shared" si="2"/>
        <v>333380.51753530779</v>
      </c>
      <c r="V19" s="14">
        <f t="shared" si="2"/>
        <v>338229.99999999988</v>
      </c>
      <c r="W19" s="15">
        <f t="shared" si="3"/>
        <v>341307.09953795874</v>
      </c>
      <c r="X19" s="15">
        <f t="shared" si="4"/>
        <v>344412.19346306974</v>
      </c>
      <c r="Y19" s="15">
        <f t="shared" si="4"/>
        <v>347545.53645858332</v>
      </c>
      <c r="Z19" s="15">
        <f t="shared" si="4"/>
        <v>350707.38552477001</v>
      </c>
      <c r="AA19" s="15">
        <f t="shared" si="4"/>
        <v>353897.99999999983</v>
      </c>
      <c r="AB19" s="19">
        <f t="shared" si="5"/>
        <v>356099.24564733222</v>
      </c>
      <c r="AC19" s="19">
        <f t="shared" si="6"/>
        <v>358314.18304313405</v>
      </c>
      <c r="AD19" s="19">
        <f t="shared" si="6"/>
        <v>360542.89735008433</v>
      </c>
      <c r="AE19" s="19">
        <f t="shared" si="6"/>
        <v>362785.47426057386</v>
      </c>
      <c r="AF19" s="19">
        <f t="shared" si="6"/>
        <v>365042</v>
      </c>
    </row>
    <row r="20" spans="1:32">
      <c r="A20">
        <v>19</v>
      </c>
      <c r="B20" t="s">
        <v>353</v>
      </c>
      <c r="C20">
        <v>279198</v>
      </c>
      <c r="D20">
        <v>291949</v>
      </c>
      <c r="E20">
        <v>304377</v>
      </c>
      <c r="F20">
        <v>313920</v>
      </c>
      <c r="G20">
        <v>321454</v>
      </c>
      <c r="H20" s="9">
        <f t="shared" si="0"/>
        <v>8.9715900038207508E-3</v>
      </c>
      <c r="I20" s="10">
        <f t="shared" si="0"/>
        <v>8.3724415143682229E-3</v>
      </c>
      <c r="J20" s="11">
        <f t="shared" si="0"/>
        <v>6.1933221433141394E-3</v>
      </c>
      <c r="K20" s="12">
        <f t="shared" si="10"/>
        <v>4.7545225933460777E-3</v>
      </c>
      <c r="L20" s="17">
        <f t="shared" si="7"/>
        <v>279198</v>
      </c>
      <c r="M20" s="18">
        <f t="shared" si="8"/>
        <v>281702.84998588677</v>
      </c>
      <c r="N20" s="18">
        <f t="shared" si="1"/>
        <v>284230.17245886795</v>
      </c>
      <c r="O20" s="18">
        <f t="shared" si="1"/>
        <v>286780.16903288418</v>
      </c>
      <c r="P20" s="18">
        <f t="shared" si="1"/>
        <v>289353.04313067364</v>
      </c>
      <c r="Q20" s="18">
        <f t="shared" si="1"/>
        <v>291948.99999999988</v>
      </c>
      <c r="R20" s="14">
        <f t="shared" si="9"/>
        <v>294393.32592767826</v>
      </c>
      <c r="S20" s="14">
        <f t="shared" si="2"/>
        <v>296858.11683122808</v>
      </c>
      <c r="T20" s="14">
        <f t="shared" si="2"/>
        <v>299343.54405246302</v>
      </c>
      <c r="U20" s="14">
        <f t="shared" si="2"/>
        <v>301849.78036774596</v>
      </c>
      <c r="V20" s="14">
        <f t="shared" si="2"/>
        <v>304376.99999999983</v>
      </c>
      <c r="W20" s="15">
        <f t="shared" si="3"/>
        <v>306262.1048140155</v>
      </c>
      <c r="X20" s="15">
        <f t="shared" si="4"/>
        <v>308158.88468941813</v>
      </c>
      <c r="Y20" s="15">
        <f t="shared" si="4"/>
        <v>310067.41193362407</v>
      </c>
      <c r="Z20" s="15">
        <f t="shared" si="4"/>
        <v>311987.75930187269</v>
      </c>
      <c r="AA20" s="15">
        <f t="shared" si="4"/>
        <v>313919.99999999994</v>
      </c>
      <c r="AB20" s="19">
        <f t="shared" si="5"/>
        <v>315412.53973250318</v>
      </c>
      <c r="AC20" s="19">
        <f t="shared" si="6"/>
        <v>316912.17577888601</v>
      </c>
      <c r="AD20" s="19">
        <f t="shared" si="6"/>
        <v>318418.94187873317</v>
      </c>
      <c r="AE20" s="19">
        <f t="shared" si="6"/>
        <v>319932.87193204497</v>
      </c>
      <c r="AF20" s="19">
        <f t="shared" si="6"/>
        <v>321454</v>
      </c>
    </row>
    <row r="21" spans="1:32">
      <c r="A21">
        <v>20</v>
      </c>
      <c r="B21" t="s">
        <v>354</v>
      </c>
      <c r="C21">
        <v>380150</v>
      </c>
      <c r="D21">
        <v>344727</v>
      </c>
      <c r="E21">
        <v>338843</v>
      </c>
      <c r="F21">
        <v>331279</v>
      </c>
      <c r="G21">
        <v>324274</v>
      </c>
      <c r="H21" s="9">
        <f t="shared" si="0"/>
        <v>-1.9372516027297837E-2</v>
      </c>
      <c r="I21" s="10">
        <f t="shared" si="0"/>
        <v>-3.4372642706376189E-3</v>
      </c>
      <c r="J21" s="11">
        <f t="shared" si="0"/>
        <v>-4.5050123762294669E-3</v>
      </c>
      <c r="K21" s="12">
        <f t="shared" si="10"/>
        <v>-4.2652943270458099E-3</v>
      </c>
      <c r="L21" s="17">
        <f t="shared" si="7"/>
        <v>380150</v>
      </c>
      <c r="M21" s="18">
        <f t="shared" si="8"/>
        <v>372785.53803222271</v>
      </c>
      <c r="N21" s="18">
        <f t="shared" si="1"/>
        <v>365563.74422194861</v>
      </c>
      <c r="O21" s="18">
        <f t="shared" si="1"/>
        <v>358481.8547280099</v>
      </c>
      <c r="P21" s="18">
        <f t="shared" si="1"/>
        <v>351537.15925179608</v>
      </c>
      <c r="Q21" s="18">
        <f t="shared" si="1"/>
        <v>344726.99999999988</v>
      </c>
      <c r="R21" s="14">
        <f t="shared" si="9"/>
        <v>343542.0821997759</v>
      </c>
      <c r="S21" s="14">
        <f t="shared" si="2"/>
        <v>342361.23727517016</v>
      </c>
      <c r="T21" s="14">
        <f t="shared" si="2"/>
        <v>341184.45122663293</v>
      </c>
      <c r="U21" s="14">
        <f t="shared" si="2"/>
        <v>340011.71010273451</v>
      </c>
      <c r="V21" s="14">
        <f t="shared" si="2"/>
        <v>338843</v>
      </c>
      <c r="W21" s="15">
        <f t="shared" si="3"/>
        <v>337316.50809140125</v>
      </c>
      <c r="X21" s="15">
        <f t="shared" si="4"/>
        <v>335796.89304774295</v>
      </c>
      <c r="Y21" s="15">
        <f t="shared" si="4"/>
        <v>334284.12388866348</v>
      </c>
      <c r="Z21" s="15">
        <f t="shared" si="4"/>
        <v>332778.16977336805</v>
      </c>
      <c r="AA21" s="15">
        <f t="shared" si="4"/>
        <v>331279.00000000006</v>
      </c>
      <c r="AB21" s="19">
        <f t="shared" si="5"/>
        <v>329865.99756063061</v>
      </c>
      <c r="AC21" s="19">
        <f t="shared" si="6"/>
        <v>328459.02199254994</v>
      </c>
      <c r="AD21" s="19">
        <f t="shared" si="6"/>
        <v>327058.04758937808</v>
      </c>
      <c r="AE21" s="19">
        <f t="shared" si="6"/>
        <v>325663.04875438043</v>
      </c>
      <c r="AF21" s="19">
        <f t="shared" si="6"/>
        <v>324273.99999999994</v>
      </c>
    </row>
    <row r="22" spans="1:32">
      <c r="A22">
        <v>21</v>
      </c>
      <c r="B22" t="s">
        <v>355</v>
      </c>
      <c r="C22">
        <v>368538</v>
      </c>
      <c r="D22">
        <v>350449</v>
      </c>
      <c r="E22">
        <v>337628</v>
      </c>
      <c r="F22">
        <v>338908</v>
      </c>
      <c r="G22">
        <v>346027</v>
      </c>
      <c r="H22" s="9">
        <f t="shared" si="0"/>
        <v>-1.0015237633456131E-2</v>
      </c>
      <c r="I22" s="10">
        <f t="shared" si="0"/>
        <v>-7.4263854691648534E-3</v>
      </c>
      <c r="J22" s="11">
        <f t="shared" si="0"/>
        <v>7.5708373264005147E-4</v>
      </c>
      <c r="K22" s="12">
        <f t="shared" si="10"/>
        <v>4.1662794267622871E-3</v>
      </c>
      <c r="L22" s="17">
        <f t="shared" si="7"/>
        <v>368538</v>
      </c>
      <c r="M22" s="18">
        <f t="shared" si="8"/>
        <v>364847.00435304135</v>
      </c>
      <c r="N22" s="18">
        <f t="shared" si="1"/>
        <v>361192.97490459104</v>
      </c>
      <c r="O22" s="18">
        <f t="shared" si="1"/>
        <v>357575.54142938659</v>
      </c>
      <c r="P22" s="18">
        <f t="shared" si="1"/>
        <v>353994.33741005952</v>
      </c>
      <c r="Q22" s="18">
        <f t="shared" si="1"/>
        <v>350448.99999999994</v>
      </c>
      <c r="R22" s="14">
        <f t="shared" si="9"/>
        <v>347846.43063871667</v>
      </c>
      <c r="S22" s="14">
        <f t="shared" si="2"/>
        <v>345263.18896072044</v>
      </c>
      <c r="T22" s="14">
        <f t="shared" si="2"/>
        <v>342699.131431185</v>
      </c>
      <c r="U22" s="14">
        <f t="shared" si="2"/>
        <v>340154.11558122904</v>
      </c>
      <c r="V22" s="14">
        <f t="shared" si="2"/>
        <v>337628</v>
      </c>
      <c r="W22" s="15">
        <f t="shared" si="3"/>
        <v>337883.61266648379</v>
      </c>
      <c r="X22" s="15">
        <f t="shared" si="4"/>
        <v>338139.41885315924</v>
      </c>
      <c r="Y22" s="15">
        <f t="shared" si="4"/>
        <v>338395.41870653734</v>
      </c>
      <c r="Z22" s="15">
        <f t="shared" si="4"/>
        <v>338651.61237324</v>
      </c>
      <c r="AA22" s="15">
        <f t="shared" si="4"/>
        <v>338908.00000000012</v>
      </c>
      <c r="AB22" s="19">
        <f t="shared" si="5"/>
        <v>340319.98542796518</v>
      </c>
      <c r="AC22" s="19">
        <f t="shared" si="6"/>
        <v>341737.85358176974</v>
      </c>
      <c r="AD22" s="19">
        <f t="shared" si="6"/>
        <v>343161.62897049339</v>
      </c>
      <c r="AE22" s="19">
        <f t="shared" si="6"/>
        <v>344591.33620532736</v>
      </c>
      <c r="AF22" s="19">
        <f t="shared" si="6"/>
        <v>346027.00000000012</v>
      </c>
    </row>
    <row r="23" spans="1:32">
      <c r="A23">
        <v>22</v>
      </c>
      <c r="B23" t="s">
        <v>356</v>
      </c>
      <c r="C23">
        <v>139266</v>
      </c>
      <c r="D23">
        <v>152939</v>
      </c>
      <c r="E23">
        <v>162953</v>
      </c>
      <c r="F23">
        <v>166463</v>
      </c>
      <c r="G23">
        <v>171539</v>
      </c>
      <c r="H23" s="9">
        <f t="shared" si="0"/>
        <v>1.8907194606452737E-2</v>
      </c>
      <c r="I23" s="10">
        <f t="shared" si="0"/>
        <v>1.2765323242844184E-2</v>
      </c>
      <c r="J23" s="11">
        <f t="shared" si="0"/>
        <v>4.2713456705676389E-3</v>
      </c>
      <c r="K23" s="12">
        <f t="shared" si="10"/>
        <v>6.0255980178332003E-3</v>
      </c>
      <c r="L23" s="17">
        <f t="shared" si="7"/>
        <v>139266</v>
      </c>
      <c r="M23" s="18">
        <f t="shared" si="8"/>
        <v>141899.12936406225</v>
      </c>
      <c r="N23" s="18">
        <f t="shared" si="1"/>
        <v>144582.04381743478</v>
      </c>
      <c r="O23" s="18">
        <f t="shared" si="1"/>
        <v>147315.6846564897</v>
      </c>
      <c r="P23" s="18">
        <f t="shared" si="1"/>
        <v>150101.01097487277</v>
      </c>
      <c r="Q23" s="18">
        <f t="shared" si="1"/>
        <v>152939</v>
      </c>
      <c r="R23" s="14">
        <f t="shared" si="9"/>
        <v>154891.31577143734</v>
      </c>
      <c r="S23" s="14">
        <f t="shared" si="2"/>
        <v>156868.55348476919</v>
      </c>
      <c r="T23" s="14">
        <f t="shared" si="2"/>
        <v>158871.03127663967</v>
      </c>
      <c r="U23" s="14">
        <f t="shared" si="2"/>
        <v>160899.07134480999</v>
      </c>
      <c r="V23" s="14">
        <f t="shared" si="2"/>
        <v>162952.99999999994</v>
      </c>
      <c r="W23" s="15">
        <f t="shared" si="3"/>
        <v>163649.02859105601</v>
      </c>
      <c r="X23" s="15">
        <f t="shared" si="4"/>
        <v>164348.03016082101</v>
      </c>
      <c r="Y23" s="15">
        <f t="shared" si="4"/>
        <v>165050.01740791477</v>
      </c>
      <c r="Z23" s="15">
        <f t="shared" si="4"/>
        <v>165755.00308519718</v>
      </c>
      <c r="AA23" s="15">
        <f t="shared" si="4"/>
        <v>166463.00000000006</v>
      </c>
      <c r="AB23" s="19">
        <f t="shared" si="5"/>
        <v>167466.03912284257</v>
      </c>
      <c r="AC23" s="19">
        <f t="shared" si="6"/>
        <v>168475.12215623556</v>
      </c>
      <c r="AD23" s="19">
        <f t="shared" si="6"/>
        <v>169490.28551835439</v>
      </c>
      <c r="AE23" s="19">
        <f t="shared" si="6"/>
        <v>170511.56584681576</v>
      </c>
      <c r="AF23" s="19">
        <f t="shared" si="6"/>
        <v>171538.99999999997</v>
      </c>
    </row>
    <row r="24" spans="1:32">
      <c r="A24">
        <v>23</v>
      </c>
      <c r="B24" t="s">
        <v>357</v>
      </c>
      <c r="C24">
        <v>34910</v>
      </c>
      <c r="D24">
        <v>39003</v>
      </c>
      <c r="E24">
        <v>42998</v>
      </c>
      <c r="F24">
        <v>46942</v>
      </c>
      <c r="G24">
        <v>50868</v>
      </c>
      <c r="H24" s="9">
        <f t="shared" si="0"/>
        <v>2.2420698068841505E-2</v>
      </c>
      <c r="I24" s="10">
        <f t="shared" si="0"/>
        <v>1.9694433431208802E-2</v>
      </c>
      <c r="J24" s="11">
        <f t="shared" si="0"/>
        <v>1.7706777504947535E-2</v>
      </c>
      <c r="K24" s="12">
        <f t="shared" si="10"/>
        <v>1.6193972767326148E-2</v>
      </c>
      <c r="L24" s="17">
        <f t="shared" si="7"/>
        <v>34910</v>
      </c>
      <c r="M24" s="18">
        <f t="shared" si="8"/>
        <v>35692.706569583257</v>
      </c>
      <c r="N24" s="18">
        <f t="shared" si="1"/>
        <v>36492.961966839641</v>
      </c>
      <c r="O24" s="18">
        <f t="shared" si="1"/>
        <v>37311.159648735869</v>
      </c>
      <c r="P24" s="18">
        <f t="shared" si="1"/>
        <v>38147.701893818521</v>
      </c>
      <c r="Q24" s="18">
        <f t="shared" si="1"/>
        <v>39003</v>
      </c>
      <c r="R24" s="14">
        <f t="shared" si="9"/>
        <v>39771.141987117437</v>
      </c>
      <c r="S24" s="14">
        <f t="shared" si="2"/>
        <v>40554.412095465872</v>
      </c>
      <c r="T24" s="14">
        <f t="shared" si="2"/>
        <v>41353.108264821836</v>
      </c>
      <c r="U24" s="14">
        <f t="shared" si="2"/>
        <v>42167.534302716944</v>
      </c>
      <c r="V24" s="14">
        <f t="shared" si="2"/>
        <v>42998.000000000015</v>
      </c>
      <c r="W24" s="15">
        <f t="shared" si="3"/>
        <v>43759.356019157734</v>
      </c>
      <c r="X24" s="15">
        <f t="shared" si="4"/>
        <v>44534.19319994875</v>
      </c>
      <c r="Y24" s="15">
        <f t="shared" si="4"/>
        <v>45322.75025030259</v>
      </c>
      <c r="Z24" s="15">
        <f t="shared" si="4"/>
        <v>46125.270104897005</v>
      </c>
      <c r="AA24" s="15">
        <f t="shared" si="4"/>
        <v>46942.000000000022</v>
      </c>
      <c r="AB24" s="19">
        <f t="shared" si="5"/>
        <v>47702.177469643822</v>
      </c>
      <c r="AC24" s="19">
        <f t="shared" si="6"/>
        <v>48474.665232529391</v>
      </c>
      <c r="AD24" s="19">
        <f t="shared" si="6"/>
        <v>49259.662641210227</v>
      </c>
      <c r="AE24" s="19">
        <f t="shared" si="6"/>
        <v>50057.372276549657</v>
      </c>
      <c r="AF24" s="19">
        <f t="shared" si="6"/>
        <v>50868.000000000007</v>
      </c>
    </row>
    <row r="25" spans="1:32">
      <c r="A25">
        <v>24</v>
      </c>
      <c r="B25" t="s">
        <v>358</v>
      </c>
      <c r="C25">
        <v>110096</v>
      </c>
      <c r="D25">
        <v>111171</v>
      </c>
      <c r="E25">
        <v>110383</v>
      </c>
      <c r="F25">
        <v>111745</v>
      </c>
      <c r="G25">
        <v>115434</v>
      </c>
      <c r="H25" s="9">
        <f t="shared" si="0"/>
        <v>1.9452583604737672E-3</v>
      </c>
      <c r="I25" s="10">
        <f t="shared" si="0"/>
        <v>-1.4216724566510353E-3</v>
      </c>
      <c r="J25" s="11">
        <f t="shared" si="0"/>
        <v>2.4556809141536018E-3</v>
      </c>
      <c r="K25" s="12">
        <f t="shared" si="10"/>
        <v>6.5170337094810904E-3</v>
      </c>
      <c r="L25" s="17">
        <f t="shared" si="7"/>
        <v>110096</v>
      </c>
      <c r="M25" s="18">
        <f t="shared" si="8"/>
        <v>110310.16516445472</v>
      </c>
      <c r="N25" s="18">
        <f t="shared" si="1"/>
        <v>110524.74693548612</v>
      </c>
      <c r="O25" s="18">
        <f t="shared" si="1"/>
        <v>110739.74612350162</v>
      </c>
      <c r="P25" s="18">
        <f t="shared" si="1"/>
        <v>110955.16354048511</v>
      </c>
      <c r="Q25" s="18">
        <f t="shared" si="1"/>
        <v>111170.99999999997</v>
      </c>
      <c r="R25" s="14">
        <f t="shared" si="9"/>
        <v>111012.95125132165</v>
      </c>
      <c r="S25" s="14">
        <f t="shared" si="2"/>
        <v>110855.1271961961</v>
      </c>
      <c r="T25" s="14">
        <f t="shared" si="2"/>
        <v>110697.52751518272</v>
      </c>
      <c r="U25" s="14">
        <f t="shared" si="2"/>
        <v>110540.15188929501</v>
      </c>
      <c r="V25" s="14">
        <f t="shared" si="2"/>
        <v>110382.99999999999</v>
      </c>
      <c r="W25" s="15">
        <f t="shared" si="3"/>
        <v>110654.06542634702</v>
      </c>
      <c r="X25" s="15">
        <f t="shared" si="4"/>
        <v>110925.796502888</v>
      </c>
      <c r="Y25" s="15">
        <f t="shared" si="4"/>
        <v>111198.19486424743</v>
      </c>
      <c r="Z25" s="15">
        <f t="shared" si="4"/>
        <v>111471.2621490639</v>
      </c>
      <c r="AA25" s="15">
        <f t="shared" si="4"/>
        <v>111744.99999999997</v>
      </c>
      <c r="AB25" s="19">
        <f t="shared" si="5"/>
        <v>112473.24593186597</v>
      </c>
      <c r="AC25" s="19">
        <f t="shared" si="6"/>
        <v>113206.23786701869</v>
      </c>
      <c r="AD25" s="19">
        <f t="shared" si="6"/>
        <v>113944.00673532159</v>
      </c>
      <c r="AE25" s="19">
        <f t="shared" si="6"/>
        <v>114686.58366820902</v>
      </c>
      <c r="AF25" s="19">
        <f t="shared" si="6"/>
        <v>115433.99999999996</v>
      </c>
    </row>
    <row r="26" spans="1:32">
      <c r="A26">
        <v>25</v>
      </c>
      <c r="B26" t="s">
        <v>359</v>
      </c>
      <c r="C26">
        <v>168478</v>
      </c>
      <c r="D26">
        <v>184803</v>
      </c>
      <c r="E26">
        <v>201276</v>
      </c>
      <c r="F26">
        <v>217927</v>
      </c>
      <c r="G26">
        <v>234677</v>
      </c>
      <c r="H26" s="9">
        <f t="shared" si="0"/>
        <v>1.8669173036176101E-2</v>
      </c>
      <c r="I26" s="10">
        <f t="shared" si="0"/>
        <v>1.7223992944658484E-2</v>
      </c>
      <c r="J26" s="11">
        <f t="shared" si="0"/>
        <v>1.6023632037125868E-2</v>
      </c>
      <c r="K26" s="12">
        <f t="shared" si="10"/>
        <v>1.4920202581935493E-2</v>
      </c>
      <c r="L26" s="17">
        <f t="shared" si="7"/>
        <v>168478</v>
      </c>
      <c r="M26" s="18">
        <f t="shared" si="8"/>
        <v>171623.34493478888</v>
      </c>
      <c r="N26" s="18">
        <f t="shared" si="1"/>
        <v>174827.4108584238</v>
      </c>
      <c r="O26" s="18">
        <f t="shared" si="1"/>
        <v>178091.29404320638</v>
      </c>
      <c r="P26" s="18">
        <f t="shared" si="1"/>
        <v>181416.11122793553</v>
      </c>
      <c r="Q26" s="18">
        <f t="shared" si="1"/>
        <v>184803.00000000003</v>
      </c>
      <c r="R26" s="14">
        <f t="shared" si="9"/>
        <v>187986.04556815172</v>
      </c>
      <c r="S26" s="14">
        <f t="shared" si="2"/>
        <v>191223.91589071183</v>
      </c>
      <c r="T26" s="14">
        <f t="shared" si="2"/>
        <v>194517.55526886342</v>
      </c>
      <c r="U26" s="14">
        <f t="shared" si="2"/>
        <v>197867.92426842655</v>
      </c>
      <c r="V26" s="14">
        <f t="shared" si="2"/>
        <v>201276.00000000015</v>
      </c>
      <c r="W26" s="15">
        <f t="shared" si="3"/>
        <v>204501.17256190453</v>
      </c>
      <c r="X26" s="15">
        <f t="shared" si="4"/>
        <v>207778.02410219726</v>
      </c>
      <c r="Y26" s="15">
        <f t="shared" si="4"/>
        <v>211107.38270581194</v>
      </c>
      <c r="Z26" s="15">
        <f t="shared" si="4"/>
        <v>214490.08972661057</v>
      </c>
      <c r="AA26" s="15">
        <f t="shared" si="4"/>
        <v>217926.99999999988</v>
      </c>
      <c r="AB26" s="19">
        <f t="shared" si="5"/>
        <v>221178.51498807347</v>
      </c>
      <c r="AC26" s="19">
        <f t="shared" si="6"/>
        <v>224478.54323846719</v>
      </c>
      <c r="AD26" s="19">
        <f t="shared" si="6"/>
        <v>227827.80857888289</v>
      </c>
      <c r="AE26" s="19">
        <f t="shared" si="6"/>
        <v>231227.04563667823</v>
      </c>
      <c r="AF26" s="19">
        <f t="shared" si="6"/>
        <v>234676.99999999991</v>
      </c>
    </row>
    <row r="27" spans="1:32">
      <c r="A27">
        <v>26</v>
      </c>
      <c r="B27" t="s">
        <v>360</v>
      </c>
      <c r="C27">
        <v>108508</v>
      </c>
      <c r="D27">
        <v>117010</v>
      </c>
      <c r="E27">
        <v>126183</v>
      </c>
      <c r="F27">
        <v>134683</v>
      </c>
      <c r="G27">
        <v>141831</v>
      </c>
      <c r="H27" s="9">
        <f t="shared" si="0"/>
        <v>1.520148445888525E-2</v>
      </c>
      <c r="I27" s="10">
        <f t="shared" si="0"/>
        <v>1.5209267985370367E-2</v>
      </c>
      <c r="J27" s="11">
        <f t="shared" si="0"/>
        <v>1.3123493952164722E-2</v>
      </c>
      <c r="K27" s="12">
        <f t="shared" si="10"/>
        <v>1.0396135962629893E-2</v>
      </c>
      <c r="L27" s="17">
        <f t="shared" si="7"/>
        <v>108508</v>
      </c>
      <c r="M27" s="18">
        <f t="shared" si="8"/>
        <v>110157.48267566472</v>
      </c>
      <c r="N27" s="18">
        <f t="shared" ref="N27:Q28" si="11">M27*(1+$H27)</f>
        <v>111832.03993658876</v>
      </c>
      <c r="O27" s="18">
        <f t="shared" si="11"/>
        <v>113532.05295369025</v>
      </c>
      <c r="P27" s="18">
        <f t="shared" si="11"/>
        <v>115257.90869225111</v>
      </c>
      <c r="Q27" s="18">
        <f t="shared" si="11"/>
        <v>117009.99999999997</v>
      </c>
      <c r="R27" s="14">
        <f t="shared" si="9"/>
        <v>118789.63644696819</v>
      </c>
      <c r="S27" s="14">
        <f t="shared" ref="S27:V28" si="12">R27*(1+$I27)</f>
        <v>120596.33986157484</v>
      </c>
      <c r="T27" s="14">
        <f t="shared" si="12"/>
        <v>122430.52191258434</v>
      </c>
      <c r="U27" s="14">
        <f t="shared" si="12"/>
        <v>124292.6005299416</v>
      </c>
      <c r="V27" s="14">
        <f t="shared" si="12"/>
        <v>126183.00000000007</v>
      </c>
      <c r="W27" s="15">
        <f t="shared" si="3"/>
        <v>127838.96183736601</v>
      </c>
      <c r="X27" s="15">
        <f t="shared" ref="X27:AA28" si="13">W27*(1+$J27)</f>
        <v>129516.65567988969</v>
      </c>
      <c r="Y27" s="15">
        <f t="shared" si="13"/>
        <v>131216.36672740933</v>
      </c>
      <c r="Z27" s="15">
        <f t="shared" si="13"/>
        <v>132938.3839225815</v>
      </c>
      <c r="AA27" s="15">
        <f t="shared" si="13"/>
        <v>134683.00000000006</v>
      </c>
      <c r="AB27" s="19">
        <f t="shared" si="5"/>
        <v>136083.18277985489</v>
      </c>
      <c r="AC27" s="19">
        <f t="shared" ref="AC27:AF28" si="14">AB27*(1+$K27)</f>
        <v>137497.92205026167</v>
      </c>
      <c r="AD27" s="19">
        <f t="shared" si="14"/>
        <v>138927.36914247528</v>
      </c>
      <c r="AE27" s="19">
        <f t="shared" si="14"/>
        <v>140371.67696101093</v>
      </c>
      <c r="AF27" s="19">
        <f t="shared" si="14"/>
        <v>141830.99999999997</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10"/>
        <v>0</v>
      </c>
      <c r="L28" s="17">
        <f t="shared" si="7"/>
        <v>165172</v>
      </c>
      <c r="M28" s="18">
        <f t="shared" si="8"/>
        <v>165137.78582850515</v>
      </c>
      <c r="N28" s="18">
        <f t="shared" si="11"/>
        <v>165103.57874422564</v>
      </c>
      <c r="O28" s="18">
        <f t="shared" si="11"/>
        <v>165069.37874569339</v>
      </c>
      <c r="P28" s="18">
        <f t="shared" si="11"/>
        <v>165035.18583144067</v>
      </c>
      <c r="Q28" s="18">
        <f t="shared" si="11"/>
        <v>165001</v>
      </c>
      <c r="R28" s="14">
        <f t="shared" si="9"/>
        <v>165001</v>
      </c>
      <c r="S28" s="14">
        <f t="shared" si="12"/>
        <v>165001</v>
      </c>
      <c r="T28" s="14">
        <f t="shared" si="12"/>
        <v>165001</v>
      </c>
      <c r="U28" s="14">
        <f t="shared" si="12"/>
        <v>165001</v>
      </c>
      <c r="V28" s="14">
        <f t="shared" si="12"/>
        <v>165001</v>
      </c>
      <c r="W28" s="15">
        <f t="shared" si="3"/>
        <v>165001</v>
      </c>
      <c r="X28" s="15">
        <f t="shared" si="13"/>
        <v>165001</v>
      </c>
      <c r="Y28" s="15">
        <f t="shared" si="13"/>
        <v>165001</v>
      </c>
      <c r="Z28" s="15">
        <f t="shared" si="13"/>
        <v>165001</v>
      </c>
      <c r="AA28" s="15">
        <f t="shared" si="13"/>
        <v>165001</v>
      </c>
      <c r="AB28" s="19">
        <f t="shared" si="5"/>
        <v>165001</v>
      </c>
      <c r="AC28" s="19">
        <f t="shared" si="14"/>
        <v>165001</v>
      </c>
      <c r="AD28" s="19">
        <f t="shared" si="14"/>
        <v>165001</v>
      </c>
      <c r="AE28" s="19">
        <f t="shared" si="14"/>
        <v>165001</v>
      </c>
      <c r="AF28" s="19">
        <f t="shared" si="14"/>
        <v>165001</v>
      </c>
    </row>
    <row r="30" spans="1:32">
      <c r="Q30" s="18" t="b">
        <f>Q2=D2</f>
        <v>1</v>
      </c>
      <c r="V30" s="18" t="b">
        <f>V2=E2</f>
        <v>1</v>
      </c>
      <c r="AA30" s="18" t="b">
        <f>AA2=F2</f>
        <v>1</v>
      </c>
      <c r="AF30" s="18" t="b">
        <f>AF2=G2</f>
        <v>1</v>
      </c>
    </row>
    <row r="32" spans="1:32">
      <c r="B32" t="s">
        <v>447</v>
      </c>
    </row>
    <row r="33" spans="1:23">
      <c r="A33" t="str">
        <f>A1</f>
        <v>ID</v>
      </c>
      <c r="B33" t="str">
        <f>B1</f>
        <v>Land Cover</v>
      </c>
      <c r="C33" s="29">
        <f>L1</f>
        <v>2025</v>
      </c>
      <c r="D33" s="29">
        <f t="shared" ref="D33:O33" si="15">M1</f>
        <v>2026</v>
      </c>
      <c r="E33" s="29">
        <f t="shared" si="15"/>
        <v>2027</v>
      </c>
      <c r="F33" s="29">
        <f t="shared" si="15"/>
        <v>2028</v>
      </c>
      <c r="G33" s="29">
        <f t="shared" si="15"/>
        <v>2029</v>
      </c>
      <c r="H33" s="29">
        <f t="shared" si="15"/>
        <v>2030</v>
      </c>
      <c r="I33" s="29">
        <f t="shared" si="15"/>
        <v>2031</v>
      </c>
      <c r="J33" s="29">
        <f t="shared" si="15"/>
        <v>2032</v>
      </c>
      <c r="K33" s="29">
        <f t="shared" si="15"/>
        <v>2033</v>
      </c>
      <c r="L33" s="29">
        <f t="shared" si="15"/>
        <v>2034</v>
      </c>
      <c r="M33" s="29">
        <f t="shared" si="15"/>
        <v>2035</v>
      </c>
      <c r="N33" s="29">
        <f t="shared" si="15"/>
        <v>2036</v>
      </c>
      <c r="O33" s="29">
        <f t="shared" si="15"/>
        <v>2037</v>
      </c>
      <c r="P33" s="29">
        <f t="shared" ref="P33" si="16">Y1</f>
        <v>2038</v>
      </c>
      <c r="Q33" s="29">
        <f t="shared" ref="Q33" si="17">Z1</f>
        <v>2039</v>
      </c>
      <c r="R33" s="29">
        <f t="shared" ref="R33" si="18">AA1</f>
        <v>2040</v>
      </c>
      <c r="S33" s="29">
        <f t="shared" ref="S33" si="19">AB1</f>
        <v>2041</v>
      </c>
      <c r="T33" s="29">
        <f t="shared" ref="T33" si="20">AC1</f>
        <v>2042</v>
      </c>
      <c r="U33" s="29">
        <f t="shared" ref="U33" si="21">AD1</f>
        <v>2043</v>
      </c>
      <c r="V33" s="29">
        <f t="shared" ref="V33:W33" si="22">AE1</f>
        <v>2044</v>
      </c>
      <c r="W33" s="29">
        <f t="shared" si="22"/>
        <v>2045</v>
      </c>
    </row>
    <row r="34" spans="1:23">
      <c r="A34">
        <f t="shared" ref="A34:B60" si="23">A2</f>
        <v>1</v>
      </c>
      <c r="B34" t="str">
        <f t="shared" si="23"/>
        <v>Hutan lahan kering primer</v>
      </c>
      <c r="C34" s="29">
        <f t="shared" ref="C34:C60" si="24">L2</f>
        <v>281147</v>
      </c>
      <c r="D34" s="29">
        <f t="shared" ref="D34:D60" si="25">M2</f>
        <v>274297.9279325183</v>
      </c>
      <c r="E34" s="29">
        <f t="shared" ref="E34:E60" si="26">N2</f>
        <v>267615.70732774318</v>
      </c>
      <c r="F34" s="29">
        <f t="shared" ref="F34:F60" si="27">O2</f>
        <v>261096.27348751796</v>
      </c>
      <c r="G34" s="29">
        <f t="shared" ref="G34:G60" si="28">P2</f>
        <v>254735.6607345207</v>
      </c>
      <c r="H34" s="29">
        <f t="shared" ref="H34:H60" si="29">Q2</f>
        <v>248529.99999999997</v>
      </c>
      <c r="I34" s="29">
        <f t="shared" ref="I34:I60" si="30">R2</f>
        <v>245591.95083832278</v>
      </c>
      <c r="J34" s="29">
        <f t="shared" ref="J34:J60" si="31">S2</f>
        <v>242688.63443678088</v>
      </c>
      <c r="K34" s="29">
        <f t="shared" ref="K34:K60" si="32">T2</f>
        <v>239819.64019481585</v>
      </c>
      <c r="L34" s="29">
        <f t="shared" ref="L34:L60" si="33">U2</f>
        <v>236984.56236586921</v>
      </c>
      <c r="M34" s="29">
        <f t="shared" ref="M34:M60" si="34">V2</f>
        <v>234182.99999999997</v>
      </c>
      <c r="N34" s="29">
        <f t="shared" ref="N34:N60" si="35">W2</f>
        <v>232612.47567671112</v>
      </c>
      <c r="O34" s="29">
        <f t="shared" ref="O34:O60" si="36">X2</f>
        <v>231052.48391406945</v>
      </c>
      <c r="P34" s="29">
        <f t="shared" ref="P34:P60" si="37">Y2</f>
        <v>229502.95407653489</v>
      </c>
      <c r="Q34" s="29">
        <f t="shared" ref="Q34:Q60" si="38">Z2</f>
        <v>227963.81600227737</v>
      </c>
      <c r="R34" s="29">
        <f t="shared" ref="R34:R60" si="39">AA2</f>
        <v>226434.99999999997</v>
      </c>
      <c r="S34" s="29">
        <f t="shared" ref="S34:S60" si="40">AB2</f>
        <v>225502.34868177361</v>
      </c>
      <c r="T34" s="29">
        <f t="shared" ref="T34:T60" si="41">AC2</f>
        <v>224573.53881244597</v>
      </c>
      <c r="U34" s="29">
        <f t="shared" ref="U34:U60" si="42">AD2</f>
        <v>223648.55456967346</v>
      </c>
      <c r="V34" s="29">
        <f t="shared" ref="V34:V60" si="43">AE2</f>
        <v>222727.38019628226</v>
      </c>
      <c r="W34" s="29">
        <f t="shared" ref="W34:W60" si="44">AF2</f>
        <v>221810</v>
      </c>
    </row>
    <row r="35" spans="1:23">
      <c r="A35">
        <f t="shared" si="23"/>
        <v>2</v>
      </c>
      <c r="B35" t="str">
        <f t="shared" si="23"/>
        <v>Hutan sekunder kerapatan tinggi</v>
      </c>
      <c r="C35" s="29">
        <f t="shared" si="24"/>
        <v>268650</v>
      </c>
      <c r="D35" s="29">
        <f t="shared" si="25"/>
        <v>267454.20195579919</v>
      </c>
      <c r="E35" s="29">
        <f t="shared" si="26"/>
        <v>266263.72657291428</v>
      </c>
      <c r="F35" s="29">
        <f t="shared" si="27"/>
        <v>265078.55015944876</v>
      </c>
      <c r="G35" s="29">
        <f t="shared" si="28"/>
        <v>263898.64912896202</v>
      </c>
      <c r="H35" s="29">
        <f t="shared" si="29"/>
        <v>262724</v>
      </c>
      <c r="I35" s="29">
        <f t="shared" si="30"/>
        <v>261007.72240844849</v>
      </c>
      <c r="J35" s="29">
        <f t="shared" si="31"/>
        <v>259302.65661624254</v>
      </c>
      <c r="K35" s="29">
        <f t="shared" si="32"/>
        <v>257608.72938089201</v>
      </c>
      <c r="L35" s="29">
        <f t="shared" si="33"/>
        <v>255925.86793837254</v>
      </c>
      <c r="M35" s="29">
        <f t="shared" si="34"/>
        <v>254253.99999999994</v>
      </c>
      <c r="N35" s="29">
        <f t="shared" si="35"/>
        <v>251996.46482319172</v>
      </c>
      <c r="O35" s="29">
        <f t="shared" si="36"/>
        <v>249758.97442473314</v>
      </c>
      <c r="P35" s="29">
        <f t="shared" si="37"/>
        <v>247541.35082594061</v>
      </c>
      <c r="Q35" s="29">
        <f t="shared" si="38"/>
        <v>245343.41762841295</v>
      </c>
      <c r="R35" s="29">
        <f t="shared" si="39"/>
        <v>243165</v>
      </c>
      <c r="S35" s="29">
        <f t="shared" si="40"/>
        <v>240763.22081065836</v>
      </c>
      <c r="T35" s="29">
        <f t="shared" si="41"/>
        <v>238385.16437448576</v>
      </c>
      <c r="U35" s="29">
        <f t="shared" si="42"/>
        <v>236030.59637809472</v>
      </c>
      <c r="V35" s="29">
        <f t="shared" si="43"/>
        <v>233699.28482244813</v>
      </c>
      <c r="W35" s="29">
        <f t="shared" si="44"/>
        <v>231391.00000000006</v>
      </c>
    </row>
    <row r="36" spans="1:23">
      <c r="A36">
        <f t="shared" si="23"/>
        <v>3</v>
      </c>
      <c r="B36" t="str">
        <f t="shared" si="23"/>
        <v>Hutan sekunder kerapatan rendah</v>
      </c>
      <c r="C36" s="29">
        <f t="shared" si="24"/>
        <v>182483</v>
      </c>
      <c r="D36" s="29">
        <f t="shared" si="25"/>
        <v>186476.90669536853</v>
      </c>
      <c r="E36" s="29">
        <f t="shared" si="26"/>
        <v>190558.22586582409</v>
      </c>
      <c r="F36" s="29">
        <f t="shared" si="27"/>
        <v>194728.87066091769</v>
      </c>
      <c r="G36" s="29">
        <f t="shared" si="28"/>
        <v>198990.79610226944</v>
      </c>
      <c r="H36" s="29">
        <f t="shared" si="29"/>
        <v>203346</v>
      </c>
      <c r="I36" s="29">
        <f t="shared" si="30"/>
        <v>206945.3062658108</v>
      </c>
      <c r="J36" s="29">
        <f t="shared" si="31"/>
        <v>210608.3217051244</v>
      </c>
      <c r="K36" s="29">
        <f t="shared" si="32"/>
        <v>214336.1739960234</v>
      </c>
      <c r="L36" s="29">
        <f t="shared" si="33"/>
        <v>218130.01077694751</v>
      </c>
      <c r="M36" s="29">
        <f t="shared" si="34"/>
        <v>221991.00000000006</v>
      </c>
      <c r="N36" s="29">
        <f t="shared" si="35"/>
        <v>224372.932960101</v>
      </c>
      <c r="O36" s="29">
        <f t="shared" si="36"/>
        <v>226780.42373392606</v>
      </c>
      <c r="P36" s="29">
        <f t="shared" si="37"/>
        <v>229213.74655330842</v>
      </c>
      <c r="Q36" s="29">
        <f t="shared" si="38"/>
        <v>231673.17859255127</v>
      </c>
      <c r="R36" s="29">
        <f t="shared" si="39"/>
        <v>234159.00000000006</v>
      </c>
      <c r="S36" s="29">
        <f t="shared" si="40"/>
        <v>236164.35650972882</v>
      </c>
      <c r="T36" s="29">
        <f t="shared" si="41"/>
        <v>238186.88705390051</v>
      </c>
      <c r="U36" s="29">
        <f t="shared" si="42"/>
        <v>240226.73871232741</v>
      </c>
      <c r="V36" s="29">
        <f t="shared" si="43"/>
        <v>242284.05982442512</v>
      </c>
      <c r="W36" s="29">
        <f t="shared" si="44"/>
        <v>244358.99999999997</v>
      </c>
    </row>
    <row r="37" spans="1:23">
      <c r="A37">
        <f t="shared" si="23"/>
        <v>4</v>
      </c>
      <c r="B37" t="str">
        <f t="shared" si="23"/>
        <v>Hutan rawa primer</v>
      </c>
      <c r="C37" s="29">
        <f t="shared" si="24"/>
        <v>34376</v>
      </c>
      <c r="D37" s="29">
        <f t="shared" si="25"/>
        <v>34072.487570670695</v>
      </c>
      <c r="E37" s="29">
        <f t="shared" si="26"/>
        <v>33771.654911959187</v>
      </c>
      <c r="F37" s="29">
        <f t="shared" si="27"/>
        <v>33473.47836364642</v>
      </c>
      <c r="G37" s="29">
        <f t="shared" si="28"/>
        <v>33177.934474414047</v>
      </c>
      <c r="H37" s="29">
        <f t="shared" si="29"/>
        <v>32884.999999999985</v>
      </c>
      <c r="I37" s="29">
        <f t="shared" si="30"/>
        <v>32683.546874929587</v>
      </c>
      <c r="J37" s="29">
        <f t="shared" si="31"/>
        <v>32483.327849345282</v>
      </c>
      <c r="K37" s="29">
        <f t="shared" si="32"/>
        <v>32284.335363168077</v>
      </c>
      <c r="L37" s="29">
        <f t="shared" si="33"/>
        <v>32086.561902631922</v>
      </c>
      <c r="M37" s="29">
        <f t="shared" si="34"/>
        <v>31890.000000000007</v>
      </c>
      <c r="N37" s="29">
        <f t="shared" si="35"/>
        <v>31739.180163060457</v>
      </c>
      <c r="O37" s="29">
        <f t="shared" si="36"/>
        <v>31589.073610009735</v>
      </c>
      <c r="P37" s="29">
        <f t="shared" si="37"/>
        <v>31439.676967459316</v>
      </c>
      <c r="Q37" s="29">
        <f t="shared" si="38"/>
        <v>31290.986877974712</v>
      </c>
      <c r="R37" s="29">
        <f t="shared" si="39"/>
        <v>31143.000000000004</v>
      </c>
      <c r="S37" s="29">
        <f t="shared" si="40"/>
        <v>31010.476936194562</v>
      </c>
      <c r="T37" s="29">
        <f t="shared" si="41"/>
        <v>30878.517798871493</v>
      </c>
      <c r="U37" s="29">
        <f t="shared" si="42"/>
        <v>30747.120188349796</v>
      </c>
      <c r="V37" s="29">
        <f t="shared" si="43"/>
        <v>30616.281715159861</v>
      </c>
      <c r="W37" s="29">
        <f t="shared" si="44"/>
        <v>30486.000000000004</v>
      </c>
    </row>
    <row r="38" spans="1:23">
      <c r="A38">
        <f t="shared" si="23"/>
        <v>5</v>
      </c>
      <c r="B38" t="str">
        <f t="shared" si="23"/>
        <v>Hutan rawa sekunder</v>
      </c>
      <c r="C38" s="29">
        <f t="shared" si="24"/>
        <v>436939</v>
      </c>
      <c r="D38" s="29">
        <f t="shared" si="25"/>
        <v>436501.72565556091</v>
      </c>
      <c r="E38" s="29">
        <f t="shared" si="26"/>
        <v>436064.88892106811</v>
      </c>
      <c r="F38" s="29">
        <f t="shared" si="27"/>
        <v>435628.48935857572</v>
      </c>
      <c r="G38" s="29">
        <f t="shared" si="28"/>
        <v>435192.52653057629</v>
      </c>
      <c r="H38" s="29">
        <f t="shared" si="29"/>
        <v>434757.00000000006</v>
      </c>
      <c r="I38" s="29">
        <f t="shared" si="30"/>
        <v>434322.53251100302</v>
      </c>
      <c r="J38" s="29">
        <f t="shared" si="31"/>
        <v>433888.4992001768</v>
      </c>
      <c r="K38" s="29">
        <f t="shared" si="32"/>
        <v>433454.89963363233</v>
      </c>
      <c r="L38" s="29">
        <f t="shared" si="33"/>
        <v>433021.73337791418</v>
      </c>
      <c r="M38" s="29">
        <f t="shared" si="34"/>
        <v>432589</v>
      </c>
      <c r="N38" s="29">
        <f t="shared" si="35"/>
        <v>432158.54418572242</v>
      </c>
      <c r="O38" s="29">
        <f t="shared" si="36"/>
        <v>431728.51670459256</v>
      </c>
      <c r="P38" s="29">
        <f t="shared" si="37"/>
        <v>431298.91713038948</v>
      </c>
      <c r="Q38" s="29">
        <f t="shared" si="38"/>
        <v>430869.74503731634</v>
      </c>
      <c r="R38" s="29">
        <f t="shared" si="39"/>
        <v>430441.00000000006</v>
      </c>
      <c r="S38" s="29">
        <f t="shared" si="40"/>
        <v>430012.54790381651</v>
      </c>
      <c r="T38" s="29">
        <f t="shared" si="41"/>
        <v>429584.52228001534</v>
      </c>
      <c r="U38" s="29">
        <f t="shared" si="42"/>
        <v>429156.92270409473</v>
      </c>
      <c r="V38" s="29">
        <f t="shared" si="43"/>
        <v>428729.74875197536</v>
      </c>
      <c r="W38" s="29">
        <f t="shared" si="44"/>
        <v>428303.00000000006</v>
      </c>
    </row>
    <row r="39" spans="1:23">
      <c r="A39">
        <f t="shared" si="23"/>
        <v>6</v>
      </c>
      <c r="B39" t="str">
        <f t="shared" si="23"/>
        <v>Hutan mangrove primer</v>
      </c>
      <c r="C39" s="29">
        <f t="shared" si="24"/>
        <v>99848</v>
      </c>
      <c r="D39" s="29">
        <f t="shared" si="25"/>
        <v>99887.568626376582</v>
      </c>
      <c r="E39" s="29">
        <f t="shared" si="26"/>
        <v>99927.1529333496</v>
      </c>
      <c r="F39" s="29">
        <f t="shared" si="27"/>
        <v>99966.7529271331</v>
      </c>
      <c r="G39" s="29">
        <f t="shared" si="28"/>
        <v>100006.36861394359</v>
      </c>
      <c r="H39" s="29">
        <f t="shared" si="29"/>
        <v>100046.00000000003</v>
      </c>
      <c r="I39" s="29">
        <f t="shared" si="30"/>
        <v>99708.936446931722</v>
      </c>
      <c r="J39" s="29">
        <f t="shared" si="31"/>
        <v>99373.008489877349</v>
      </c>
      <c r="K39" s="29">
        <f t="shared" si="32"/>
        <v>99038.212302916538</v>
      </c>
      <c r="L39" s="29">
        <f t="shared" si="33"/>
        <v>98704.544073018784</v>
      </c>
      <c r="M39" s="29">
        <f t="shared" si="34"/>
        <v>98372.000000000015</v>
      </c>
      <c r="N39" s="29">
        <f t="shared" si="35"/>
        <v>98085.334115293241</v>
      </c>
      <c r="O39" s="29">
        <f t="shared" si="36"/>
        <v>97799.503603756224</v>
      </c>
      <c r="P39" s="29">
        <f t="shared" si="37"/>
        <v>97514.506031027675</v>
      </c>
      <c r="Q39" s="29">
        <f t="shared" si="38"/>
        <v>97230.338969840275</v>
      </c>
      <c r="R39" s="29">
        <f t="shared" si="39"/>
        <v>96947</v>
      </c>
      <c r="S39" s="29">
        <f t="shared" si="40"/>
        <v>96687.009257562924</v>
      </c>
      <c r="T39" s="29">
        <f t="shared" si="41"/>
        <v>96427.715753680444</v>
      </c>
      <c r="U39" s="29">
        <f t="shared" si="42"/>
        <v>96169.117618510601</v>
      </c>
      <c r="V39" s="29">
        <f t="shared" si="43"/>
        <v>95911.212987225925</v>
      </c>
      <c r="W39" s="29">
        <f t="shared" si="44"/>
        <v>95654.000000000029</v>
      </c>
    </row>
    <row r="40" spans="1:23">
      <c r="A40">
        <f t="shared" si="23"/>
        <v>7</v>
      </c>
      <c r="B40" t="str">
        <f t="shared" si="23"/>
        <v>Hutan mangrove sekunder</v>
      </c>
      <c r="C40" s="29">
        <f t="shared" si="24"/>
        <v>109515</v>
      </c>
      <c r="D40" s="29">
        <f t="shared" si="25"/>
        <v>106205.76036170039</v>
      </c>
      <c r="E40" s="29">
        <f t="shared" si="26"/>
        <v>102996.5167694556</v>
      </c>
      <c r="F40" s="29">
        <f t="shared" si="27"/>
        <v>99884.247620021517</v>
      </c>
      <c r="G40" s="29">
        <f t="shared" si="28"/>
        <v>96866.022614625821</v>
      </c>
      <c r="H40" s="29">
        <f t="shared" si="29"/>
        <v>93939</v>
      </c>
      <c r="I40" s="29">
        <f t="shared" si="30"/>
        <v>92184.688726474022</v>
      </c>
      <c r="J40" s="29">
        <f t="shared" si="31"/>
        <v>90463.139224357379</v>
      </c>
      <c r="K40" s="29">
        <f t="shared" si="32"/>
        <v>88773.739667412563</v>
      </c>
      <c r="L40" s="29">
        <f t="shared" si="33"/>
        <v>87115.889655259976</v>
      </c>
      <c r="M40" s="29">
        <f t="shared" si="34"/>
        <v>85489</v>
      </c>
      <c r="N40" s="29">
        <f t="shared" si="35"/>
        <v>84123.040809591781</v>
      </c>
      <c r="O40" s="29">
        <f t="shared" si="36"/>
        <v>82778.907169954546</v>
      </c>
      <c r="P40" s="29">
        <f t="shared" si="37"/>
        <v>81456.250348366404</v>
      </c>
      <c r="Q40" s="29">
        <f t="shared" si="38"/>
        <v>80154.727184221963</v>
      </c>
      <c r="R40" s="29">
        <f t="shared" si="39"/>
        <v>78874</v>
      </c>
      <c r="S40" s="29">
        <f t="shared" si="40"/>
        <v>77743.45156743344</v>
      </c>
      <c r="T40" s="29">
        <f t="shared" si="41"/>
        <v>76629.107964828319</v>
      </c>
      <c r="U40" s="29">
        <f t="shared" si="42"/>
        <v>75530.736918620314</v>
      </c>
      <c r="V40" s="29">
        <f t="shared" si="43"/>
        <v>74448.109484561646</v>
      </c>
      <c r="W40" s="29">
        <f t="shared" si="44"/>
        <v>73381.000000000015</v>
      </c>
    </row>
    <row r="41" spans="1:23">
      <c r="A41">
        <f t="shared" si="23"/>
        <v>8</v>
      </c>
      <c r="B41" t="str">
        <f t="shared" si="23"/>
        <v>Tanaman kayu industri</v>
      </c>
      <c r="C41" s="29">
        <f t="shared" si="24"/>
        <v>417121</v>
      </c>
      <c r="D41" s="29">
        <f t="shared" si="25"/>
        <v>422920.66449729213</v>
      </c>
      <c r="E41" s="29">
        <f t="shared" si="26"/>
        <v>428800.96772598627</v>
      </c>
      <c r="F41" s="29">
        <f t="shared" si="27"/>
        <v>434763.0308897323</v>
      </c>
      <c r="G41" s="29">
        <f t="shared" si="28"/>
        <v>440807.99078143347</v>
      </c>
      <c r="H41" s="29">
        <f t="shared" si="29"/>
        <v>446937.00000000012</v>
      </c>
      <c r="I41" s="29">
        <f t="shared" si="30"/>
        <v>447494.00988495181</v>
      </c>
      <c r="J41" s="29">
        <f t="shared" si="31"/>
        <v>448051.7139617292</v>
      </c>
      <c r="K41" s="29">
        <f t="shared" si="32"/>
        <v>448610.11309549143</v>
      </c>
      <c r="L41" s="29">
        <f t="shared" si="33"/>
        <v>449169.20815247606</v>
      </c>
      <c r="M41" s="29">
        <f t="shared" si="34"/>
        <v>449729.00000000023</v>
      </c>
      <c r="N41" s="29">
        <f t="shared" si="35"/>
        <v>448782.02034041565</v>
      </c>
      <c r="O41" s="29">
        <f t="shared" si="36"/>
        <v>447837.03470495617</v>
      </c>
      <c r="P41" s="29">
        <f t="shared" si="37"/>
        <v>446894.03889487014</v>
      </c>
      <c r="Q41" s="29">
        <f t="shared" si="38"/>
        <v>445953.02872024733</v>
      </c>
      <c r="R41" s="29">
        <f t="shared" si="39"/>
        <v>445014</v>
      </c>
      <c r="S41" s="29">
        <f t="shared" si="40"/>
        <v>442916.92855693673</v>
      </c>
      <c r="T41" s="29">
        <f t="shared" si="41"/>
        <v>440829.73929429322</v>
      </c>
      <c r="U41" s="29">
        <f t="shared" si="42"/>
        <v>438752.38564356067</v>
      </c>
      <c r="V41" s="29">
        <f t="shared" si="43"/>
        <v>436684.82125567849</v>
      </c>
      <c r="W41" s="29">
        <f t="shared" si="44"/>
        <v>434627.00000000006</v>
      </c>
    </row>
    <row r="42" spans="1:23">
      <c r="A42">
        <f t="shared" si="23"/>
        <v>9</v>
      </c>
      <c r="B42" t="str">
        <f t="shared" si="23"/>
        <v>Kebun campuran</v>
      </c>
      <c r="C42" s="29">
        <f t="shared" si="24"/>
        <v>204935</v>
      </c>
      <c r="D42" s="29">
        <f t="shared" si="25"/>
        <v>200761.21776861668</v>
      </c>
      <c r="E42" s="29">
        <f t="shared" si="26"/>
        <v>196672.44033443742</v>
      </c>
      <c r="F42" s="29">
        <f t="shared" si="27"/>
        <v>192666.93645822949</v>
      </c>
      <c r="G42" s="29">
        <f t="shared" si="28"/>
        <v>188743.01015982067</v>
      </c>
      <c r="H42" s="29">
        <f t="shared" si="29"/>
        <v>184898.99999999994</v>
      </c>
      <c r="I42" s="29">
        <f t="shared" si="30"/>
        <v>184945.1769296597</v>
      </c>
      <c r="J42" s="29">
        <f t="shared" si="31"/>
        <v>184991.36539160908</v>
      </c>
      <c r="K42" s="29">
        <f t="shared" si="32"/>
        <v>185037.56538872825</v>
      </c>
      <c r="L42" s="29">
        <f t="shared" si="33"/>
        <v>185083.77692389803</v>
      </c>
      <c r="M42" s="29">
        <f t="shared" si="34"/>
        <v>185129.99999999991</v>
      </c>
      <c r="N42" s="29">
        <f t="shared" si="35"/>
        <v>185617.22864637233</v>
      </c>
      <c r="O42" s="29">
        <f t="shared" si="36"/>
        <v>186105.73959034009</v>
      </c>
      <c r="P42" s="29">
        <f t="shared" si="37"/>
        <v>186595.53620667846</v>
      </c>
      <c r="Q42" s="29">
        <f t="shared" si="38"/>
        <v>187086.62187904434</v>
      </c>
      <c r="R42" s="29">
        <f t="shared" si="39"/>
        <v>187578.99999999985</v>
      </c>
      <c r="S42" s="29">
        <f t="shared" si="40"/>
        <v>187807.04484496696</v>
      </c>
      <c r="T42" s="29">
        <f t="shared" si="41"/>
        <v>188035.36693019705</v>
      </c>
      <c r="U42" s="29">
        <f t="shared" si="42"/>
        <v>188263.96659273873</v>
      </c>
      <c r="V42" s="29">
        <f t="shared" si="43"/>
        <v>188492.8441700502</v>
      </c>
      <c r="W42" s="29">
        <f t="shared" si="44"/>
        <v>188721.99999999994</v>
      </c>
    </row>
    <row r="43" spans="1:23">
      <c r="A43">
        <f t="shared" si="23"/>
        <v>10</v>
      </c>
      <c r="B43" t="str">
        <f t="shared" si="23"/>
        <v>Agroforestri kopi</v>
      </c>
      <c r="C43" s="29">
        <f t="shared" si="24"/>
        <v>532082</v>
      </c>
      <c r="D43" s="29">
        <f t="shared" si="25"/>
        <v>538117.32272265281</v>
      </c>
      <c r="E43" s="29">
        <f t="shared" si="26"/>
        <v>544221.10316491756</v>
      </c>
      <c r="F43" s="29">
        <f t="shared" si="27"/>
        <v>550394.11783197708</v>
      </c>
      <c r="G43" s="29">
        <f t="shared" si="28"/>
        <v>556637.15203679097</v>
      </c>
      <c r="H43" s="29">
        <f t="shared" si="29"/>
        <v>562951.00000000035</v>
      </c>
      <c r="I43" s="29">
        <f t="shared" si="30"/>
        <v>567427.63442110526</v>
      </c>
      <c r="J43" s="29">
        <f t="shared" si="31"/>
        <v>571939.86742137675</v>
      </c>
      <c r="K43" s="29">
        <f t="shared" si="32"/>
        <v>576487.98208375566</v>
      </c>
      <c r="L43" s="29">
        <f t="shared" si="33"/>
        <v>581072.26374228299</v>
      </c>
      <c r="M43" s="29">
        <f t="shared" si="34"/>
        <v>585693.00000000035</v>
      </c>
      <c r="N43" s="29">
        <f t="shared" si="35"/>
        <v>589230.02084099536</v>
      </c>
      <c r="O43" s="29">
        <f t="shared" si="36"/>
        <v>592788.40187654598</v>
      </c>
      <c r="P43" s="29">
        <f t="shared" si="37"/>
        <v>596368.2721016258</v>
      </c>
      <c r="Q43" s="29">
        <f t="shared" si="38"/>
        <v>599969.76129021414</v>
      </c>
      <c r="R43" s="29">
        <f t="shared" si="39"/>
        <v>603592.99999999988</v>
      </c>
      <c r="S43" s="29">
        <f t="shared" si="40"/>
        <v>606310.42151863489</v>
      </c>
      <c r="T43" s="29">
        <f t="shared" si="41"/>
        <v>609040.07707528863</v>
      </c>
      <c r="U43" s="29">
        <f t="shared" si="42"/>
        <v>611782.0217485294</v>
      </c>
      <c r="V43" s="29">
        <f t="shared" si="43"/>
        <v>614536.31086489325</v>
      </c>
      <c r="W43" s="29">
        <f t="shared" si="44"/>
        <v>617303.00000000047</v>
      </c>
    </row>
    <row r="44" spans="1:23">
      <c r="A44">
        <f t="shared" si="23"/>
        <v>11</v>
      </c>
      <c r="B44" t="str">
        <f t="shared" si="23"/>
        <v>Karet agroforestri</v>
      </c>
      <c r="C44" s="29">
        <f t="shared" si="24"/>
        <v>341390</v>
      </c>
      <c r="D44" s="29">
        <f t="shared" si="25"/>
        <v>332571.86961048708</v>
      </c>
      <c r="E44" s="29">
        <f t="shared" si="26"/>
        <v>323981.51221832749</v>
      </c>
      <c r="F44" s="29">
        <f t="shared" si="27"/>
        <v>315613.04442919255</v>
      </c>
      <c r="G44" s="29">
        <f t="shared" si="28"/>
        <v>307460.73481728899</v>
      </c>
      <c r="H44" s="29">
        <f t="shared" si="29"/>
        <v>299518.99999999994</v>
      </c>
      <c r="I44" s="29">
        <f t="shared" si="30"/>
        <v>294849.66741271038</v>
      </c>
      <c r="J44" s="29">
        <f t="shared" si="31"/>
        <v>290253.12709172349</v>
      </c>
      <c r="K44" s="29">
        <f t="shared" si="32"/>
        <v>285728.24424658815</v>
      </c>
      <c r="L44" s="29">
        <f t="shared" si="33"/>
        <v>281273.90177759744</v>
      </c>
      <c r="M44" s="29">
        <f t="shared" si="34"/>
        <v>276888.99999999994</v>
      </c>
      <c r="N44" s="29">
        <f t="shared" si="35"/>
        <v>275599.24033773778</v>
      </c>
      <c r="O44" s="29">
        <f t="shared" si="36"/>
        <v>274315.48842582462</v>
      </c>
      <c r="P44" s="29">
        <f t="shared" si="37"/>
        <v>273037.71627992723</v>
      </c>
      <c r="Q44" s="29">
        <f t="shared" si="38"/>
        <v>271765.89604606444</v>
      </c>
      <c r="R44" s="29">
        <f t="shared" si="39"/>
        <v>270499.99999999994</v>
      </c>
      <c r="S44" s="29">
        <f t="shared" si="40"/>
        <v>269682.06845002429</v>
      </c>
      <c r="T44" s="29">
        <f t="shared" si="41"/>
        <v>268866.6101422683</v>
      </c>
      <c r="U44" s="29">
        <f t="shared" si="42"/>
        <v>268053.61759820033</v>
      </c>
      <c r="V44" s="29">
        <f t="shared" si="43"/>
        <v>267243.08336190198</v>
      </c>
      <c r="W44" s="29">
        <f t="shared" si="44"/>
        <v>266435</v>
      </c>
    </row>
    <row r="45" spans="1:23">
      <c r="A45">
        <f t="shared" si="23"/>
        <v>12</v>
      </c>
      <c r="B45" t="str">
        <f t="shared" si="23"/>
        <v>Karet monokultur</v>
      </c>
      <c r="C45" s="29">
        <f t="shared" si="24"/>
        <v>1483502</v>
      </c>
      <c r="D45" s="29">
        <f t="shared" si="25"/>
        <v>1483589.389703539</v>
      </c>
      <c r="E45" s="29">
        <f t="shared" si="26"/>
        <v>1483676.7845550051</v>
      </c>
      <c r="F45" s="29">
        <f t="shared" si="27"/>
        <v>1483764.1845547017</v>
      </c>
      <c r="G45" s="29">
        <f t="shared" si="28"/>
        <v>1483851.5897029319</v>
      </c>
      <c r="H45" s="29">
        <f t="shared" si="29"/>
        <v>1483938.9999999993</v>
      </c>
      <c r="I45" s="29">
        <f t="shared" si="30"/>
        <v>1475961.6915491384</v>
      </c>
      <c r="J45" s="29">
        <f t="shared" si="31"/>
        <v>1468027.2672398218</v>
      </c>
      <c r="K45" s="29">
        <f t="shared" si="32"/>
        <v>1460135.4965369508</v>
      </c>
      <c r="L45" s="29">
        <f t="shared" si="33"/>
        <v>1452286.1501447288</v>
      </c>
      <c r="M45" s="29">
        <f t="shared" si="34"/>
        <v>1444478.9999999998</v>
      </c>
      <c r="N45" s="29">
        <f t="shared" si="35"/>
        <v>1435812.2219390133</v>
      </c>
      <c r="O45" s="29">
        <f t="shared" si="36"/>
        <v>1427197.443970765</v>
      </c>
      <c r="P45" s="29">
        <f t="shared" si="37"/>
        <v>1418634.3540981521</v>
      </c>
      <c r="Q45" s="29">
        <f t="shared" si="38"/>
        <v>1410122.6421960341</v>
      </c>
      <c r="R45" s="29">
        <f t="shared" si="39"/>
        <v>1401662</v>
      </c>
      <c r="S45" s="29">
        <f t="shared" si="40"/>
        <v>1393944.4816863544</v>
      </c>
      <c r="T45" s="29">
        <f t="shared" si="41"/>
        <v>1386269.4558487274</v>
      </c>
      <c r="U45" s="29">
        <f t="shared" si="42"/>
        <v>1378636.6885245363</v>
      </c>
      <c r="V45" s="29">
        <f t="shared" si="43"/>
        <v>1371045.9470393909</v>
      </c>
      <c r="W45" s="29">
        <f t="shared" si="44"/>
        <v>1363497.0000000005</v>
      </c>
    </row>
    <row r="46" spans="1:23">
      <c r="A46">
        <f t="shared" si="23"/>
        <v>13</v>
      </c>
      <c r="B46" t="str">
        <f t="shared" si="23"/>
        <v>Kelapa sawit skala besar</v>
      </c>
      <c r="C46" s="29">
        <f t="shared" si="24"/>
        <v>1014499</v>
      </c>
      <c r="D46" s="29">
        <f t="shared" si="25"/>
        <v>1019903.1182711354</v>
      </c>
      <c r="E46" s="29">
        <f t="shared" si="26"/>
        <v>1025336.0236522516</v>
      </c>
      <c r="F46" s="29">
        <f t="shared" si="27"/>
        <v>1030797.8694889379</v>
      </c>
      <c r="G46" s="29">
        <f t="shared" si="28"/>
        <v>1036288.8099436378</v>
      </c>
      <c r="H46" s="29">
        <f t="shared" si="29"/>
        <v>1041809.0000000001</v>
      </c>
      <c r="I46" s="29">
        <f t="shared" si="30"/>
        <v>1046655.4979051016</v>
      </c>
      <c r="J46" s="29">
        <f t="shared" si="31"/>
        <v>1051524.5417297953</v>
      </c>
      <c r="K46" s="29">
        <f t="shared" si="32"/>
        <v>1056416.2363577515</v>
      </c>
      <c r="L46" s="29">
        <f t="shared" si="33"/>
        <v>1061330.6871605602</v>
      </c>
      <c r="M46" s="29">
        <f t="shared" si="34"/>
        <v>1066267.9999999998</v>
      </c>
      <c r="N46" s="29">
        <f t="shared" si="35"/>
        <v>1069853.4063862897</v>
      </c>
      <c r="O46" s="29">
        <f t="shared" si="36"/>
        <v>1073450.8689713541</v>
      </c>
      <c r="P46" s="29">
        <f t="shared" si="37"/>
        <v>1077060.4282950684</v>
      </c>
      <c r="Q46" s="29">
        <f t="shared" si="38"/>
        <v>1080682.1250336268</v>
      </c>
      <c r="R46" s="29">
        <f t="shared" si="39"/>
        <v>1084316</v>
      </c>
      <c r="S46" s="29">
        <f t="shared" si="40"/>
        <v>1087261.1575461703</v>
      </c>
      <c r="T46" s="29">
        <f t="shared" si="41"/>
        <v>1090214.3145620264</v>
      </c>
      <c r="U46" s="29">
        <f t="shared" si="42"/>
        <v>1093175.4927752735</v>
      </c>
      <c r="V46" s="29">
        <f t="shared" si="43"/>
        <v>1096144.7139726325</v>
      </c>
      <c r="W46" s="29">
        <f t="shared" si="44"/>
        <v>1099122.0000000002</v>
      </c>
    </row>
    <row r="47" spans="1:23">
      <c r="A47">
        <f t="shared" si="23"/>
        <v>14</v>
      </c>
      <c r="B47" t="str">
        <f t="shared" si="23"/>
        <v>Kelapa sawit skala kecil</v>
      </c>
      <c r="C47" s="29">
        <f t="shared" si="24"/>
        <v>662075</v>
      </c>
      <c r="D47" s="29">
        <f t="shared" si="25"/>
        <v>657940.27804117755</v>
      </c>
      <c r="E47" s="29">
        <f t="shared" si="26"/>
        <v>653831.37781807501</v>
      </c>
      <c r="F47" s="29">
        <f t="shared" si="27"/>
        <v>649748.13807147299</v>
      </c>
      <c r="G47" s="29">
        <f t="shared" si="28"/>
        <v>645690.39854923135</v>
      </c>
      <c r="H47" s="29">
        <f t="shared" si="29"/>
        <v>641658</v>
      </c>
      <c r="I47" s="29">
        <f t="shared" si="30"/>
        <v>638970.37960950111</v>
      </c>
      <c r="J47" s="29">
        <f t="shared" si="31"/>
        <v>636294.01646719896</v>
      </c>
      <c r="K47" s="29">
        <f t="shared" si="32"/>
        <v>633628.8634214804</v>
      </c>
      <c r="L47" s="29">
        <f t="shared" si="33"/>
        <v>630974.87351822946</v>
      </c>
      <c r="M47" s="29">
        <f t="shared" si="34"/>
        <v>628332</v>
      </c>
      <c r="N47" s="29">
        <f t="shared" si="35"/>
        <v>626222.68549778056</v>
      </c>
      <c r="O47" s="29">
        <f t="shared" si="36"/>
        <v>624120.45197769988</v>
      </c>
      <c r="P47" s="29">
        <f t="shared" si="37"/>
        <v>622025.27566885622</v>
      </c>
      <c r="Q47" s="29">
        <f t="shared" si="38"/>
        <v>619937.13288014673</v>
      </c>
      <c r="R47" s="29">
        <f t="shared" si="39"/>
        <v>617855.99999999988</v>
      </c>
      <c r="S47" s="29">
        <f t="shared" si="40"/>
        <v>615865.61747123394</v>
      </c>
      <c r="T47" s="29">
        <f t="shared" si="41"/>
        <v>613881.64682907378</v>
      </c>
      <c r="U47" s="29">
        <f t="shared" si="42"/>
        <v>611904.06741804804</v>
      </c>
      <c r="V47" s="29">
        <f t="shared" si="43"/>
        <v>609932.85864922521</v>
      </c>
      <c r="W47" s="29">
        <f t="shared" si="44"/>
        <v>607967.99999999988</v>
      </c>
    </row>
    <row r="48" spans="1:23">
      <c r="A48">
        <f t="shared" si="23"/>
        <v>15</v>
      </c>
      <c r="B48" t="str">
        <f t="shared" si="23"/>
        <v>Kelapa</v>
      </c>
      <c r="C48" s="29">
        <f t="shared" si="24"/>
        <v>91437</v>
      </c>
      <c r="D48" s="29">
        <f t="shared" si="25"/>
        <v>90300.707235282651</v>
      </c>
      <c r="E48" s="29">
        <f t="shared" si="26"/>
        <v>89178.535244947096</v>
      </c>
      <c r="F48" s="29">
        <f t="shared" si="27"/>
        <v>88070.30854933236</v>
      </c>
      <c r="G48" s="29">
        <f t="shared" si="28"/>
        <v>86975.853849473104</v>
      </c>
      <c r="H48" s="29">
        <f t="shared" si="29"/>
        <v>85895.000000000015</v>
      </c>
      <c r="I48" s="29">
        <f t="shared" si="30"/>
        <v>85417.92995535463</v>
      </c>
      <c r="J48" s="29">
        <f t="shared" si="31"/>
        <v>84943.509608916356</v>
      </c>
      <c r="K48" s="29">
        <f t="shared" si="32"/>
        <v>84471.724243977078</v>
      </c>
      <c r="L48" s="29">
        <f t="shared" si="33"/>
        <v>84002.559225566874</v>
      </c>
      <c r="M48" s="29">
        <f t="shared" si="34"/>
        <v>83536.000000000015</v>
      </c>
      <c r="N48" s="29">
        <f t="shared" si="35"/>
        <v>83383.443810401528</v>
      </c>
      <c r="O48" s="29">
        <f t="shared" si="36"/>
        <v>83231.166223932072</v>
      </c>
      <c r="P48" s="29">
        <f t="shared" si="37"/>
        <v>83079.166731797435</v>
      </c>
      <c r="Q48" s="29">
        <f t="shared" si="38"/>
        <v>82927.444826132589</v>
      </c>
      <c r="R48" s="29">
        <f t="shared" si="39"/>
        <v>82776</v>
      </c>
      <c r="S48" s="29">
        <f t="shared" si="40"/>
        <v>82750.784642393788</v>
      </c>
      <c r="T48" s="29">
        <f t="shared" si="41"/>
        <v>82725.576965930159</v>
      </c>
      <c r="U48" s="29">
        <f t="shared" si="42"/>
        <v>82700.37696826928</v>
      </c>
      <c r="V48" s="29">
        <f t="shared" si="43"/>
        <v>82675.184647072019</v>
      </c>
      <c r="W48" s="29">
        <f t="shared" si="44"/>
        <v>82649.999999999971</v>
      </c>
    </row>
    <row r="49" spans="1:23">
      <c r="A49">
        <f t="shared" si="23"/>
        <v>16</v>
      </c>
      <c r="B49" t="str">
        <f t="shared" si="23"/>
        <v>Teh</v>
      </c>
      <c r="C49" s="29">
        <f t="shared" si="24"/>
        <v>57076</v>
      </c>
      <c r="D49" s="29">
        <f t="shared" si="25"/>
        <v>57101.177776993638</v>
      </c>
      <c r="E49" s="29">
        <f t="shared" si="26"/>
        <v>57126.366660589956</v>
      </c>
      <c r="F49" s="29">
        <f t="shared" si="27"/>
        <v>57151.566655688373</v>
      </c>
      <c r="G49" s="29">
        <f t="shared" si="28"/>
        <v>57176.777767190477</v>
      </c>
      <c r="H49" s="29">
        <f t="shared" si="29"/>
        <v>57202.000000000015</v>
      </c>
      <c r="I49" s="29">
        <f t="shared" si="30"/>
        <v>57425.644371191869</v>
      </c>
      <c r="J49" s="29">
        <f t="shared" si="31"/>
        <v>57650.16313147443</v>
      </c>
      <c r="K49" s="29">
        <f t="shared" si="32"/>
        <v>57875.559699472884</v>
      </c>
      <c r="L49" s="29">
        <f t="shared" si="33"/>
        <v>58101.837507178316</v>
      </c>
      <c r="M49" s="29">
        <f t="shared" si="34"/>
        <v>58328.999999999985</v>
      </c>
      <c r="N49" s="29">
        <f t="shared" si="35"/>
        <v>58565.868373100646</v>
      </c>
      <c r="O49" s="29">
        <f t="shared" si="36"/>
        <v>58803.698645533965</v>
      </c>
      <c r="P49" s="29">
        <f t="shared" si="37"/>
        <v>59042.494723479213</v>
      </c>
      <c r="Q49" s="29">
        <f t="shared" si="38"/>
        <v>59282.260528978259</v>
      </c>
      <c r="R49" s="29">
        <f t="shared" si="39"/>
        <v>59523.000000000007</v>
      </c>
      <c r="S49" s="29">
        <f t="shared" si="40"/>
        <v>59778.595468200125</v>
      </c>
      <c r="T49" s="29">
        <f t="shared" si="41"/>
        <v>60035.28847925536</v>
      </c>
      <c r="U49" s="29">
        <f t="shared" si="42"/>
        <v>60293.083746083059</v>
      </c>
      <c r="V49" s="29">
        <f t="shared" si="43"/>
        <v>60551.986001838137</v>
      </c>
      <c r="W49" s="29">
        <f t="shared" si="44"/>
        <v>60811.999999999978</v>
      </c>
    </row>
    <row r="50" spans="1:23">
      <c r="A50">
        <f t="shared" si="23"/>
        <v>17</v>
      </c>
      <c r="B50" t="str">
        <f t="shared" si="23"/>
        <v>Sawah irigasi</v>
      </c>
      <c r="C50" s="29">
        <f t="shared" si="24"/>
        <v>393253</v>
      </c>
      <c r="D50" s="29">
        <f t="shared" si="25"/>
        <v>389781.23920138658</v>
      </c>
      <c r="E50" s="29">
        <f t="shared" si="26"/>
        <v>386340.12819576339</v>
      </c>
      <c r="F50" s="29">
        <f t="shared" si="27"/>
        <v>382929.39639714686</v>
      </c>
      <c r="G50" s="29">
        <f t="shared" si="28"/>
        <v>379548.77560837136</v>
      </c>
      <c r="H50" s="29">
        <f t="shared" si="29"/>
        <v>376197.99999999994</v>
      </c>
      <c r="I50" s="29">
        <f t="shared" si="30"/>
        <v>373711.54850513971</v>
      </c>
      <c r="J50" s="29">
        <f t="shared" si="31"/>
        <v>371241.53101853118</v>
      </c>
      <c r="K50" s="29">
        <f t="shared" si="32"/>
        <v>368787.83892087184</v>
      </c>
      <c r="L50" s="29">
        <f t="shared" si="33"/>
        <v>366350.36431077</v>
      </c>
      <c r="M50" s="29">
        <f t="shared" si="34"/>
        <v>363928.99999999983</v>
      </c>
      <c r="N50" s="29">
        <f t="shared" si="35"/>
        <v>361963.07477761159</v>
      </c>
      <c r="O50" s="29">
        <f t="shared" si="36"/>
        <v>360007.76937936473</v>
      </c>
      <c r="P50" s="29">
        <f t="shared" si="37"/>
        <v>358063.02643753082</v>
      </c>
      <c r="Q50" s="29">
        <f t="shared" si="38"/>
        <v>356128.78889427852</v>
      </c>
      <c r="R50" s="29">
        <f t="shared" si="39"/>
        <v>354204.99999999994</v>
      </c>
      <c r="S50" s="29">
        <f t="shared" si="40"/>
        <v>352607.04695417022</v>
      </c>
      <c r="T50" s="29">
        <f t="shared" si="41"/>
        <v>351016.30288036703</v>
      </c>
      <c r="U50" s="29">
        <f t="shared" si="42"/>
        <v>349432.73525618447</v>
      </c>
      <c r="V50" s="29">
        <f t="shared" si="43"/>
        <v>347856.31170593743</v>
      </c>
      <c r="W50" s="29">
        <f t="shared" si="44"/>
        <v>346286.99999999988</v>
      </c>
    </row>
    <row r="51" spans="1:23">
      <c r="A51">
        <f t="shared" si="23"/>
        <v>18</v>
      </c>
      <c r="B51" t="str">
        <f t="shared" si="23"/>
        <v>Sawah tadah hujan</v>
      </c>
      <c r="C51" s="29">
        <f t="shared" si="24"/>
        <v>265014</v>
      </c>
      <c r="D51" s="29">
        <f t="shared" si="25"/>
        <v>274274.58696171793</v>
      </c>
      <c r="E51" s="29">
        <f t="shared" si="26"/>
        <v>283858.77369882714</v>
      </c>
      <c r="F51" s="29">
        <f t="shared" si="27"/>
        <v>293777.86800586228</v>
      </c>
      <c r="G51" s="29">
        <f t="shared" si="28"/>
        <v>304043.57281427388</v>
      </c>
      <c r="H51" s="29">
        <f t="shared" si="29"/>
        <v>314667.99999999994</v>
      </c>
      <c r="I51" s="29">
        <f t="shared" si="30"/>
        <v>319245.28291827405</v>
      </c>
      <c r="J51" s="29">
        <f t="shared" si="31"/>
        <v>323889.14877130452</v>
      </c>
      <c r="K51" s="29">
        <f t="shared" si="32"/>
        <v>328600.56610031548</v>
      </c>
      <c r="L51" s="29">
        <f t="shared" si="33"/>
        <v>333380.51753530779</v>
      </c>
      <c r="M51" s="29">
        <f t="shared" si="34"/>
        <v>338229.99999999988</v>
      </c>
      <c r="N51" s="29">
        <f t="shared" si="35"/>
        <v>341307.09953795874</v>
      </c>
      <c r="O51" s="29">
        <f t="shared" si="36"/>
        <v>344412.19346306974</v>
      </c>
      <c r="P51" s="29">
        <f t="shared" si="37"/>
        <v>347545.53645858332</v>
      </c>
      <c r="Q51" s="29">
        <f t="shared" si="38"/>
        <v>350707.38552477001</v>
      </c>
      <c r="R51" s="29">
        <f t="shared" si="39"/>
        <v>353897.99999999983</v>
      </c>
      <c r="S51" s="29">
        <f t="shared" si="40"/>
        <v>356099.24564733222</v>
      </c>
      <c r="T51" s="29">
        <f t="shared" si="41"/>
        <v>358314.18304313405</v>
      </c>
      <c r="U51" s="29">
        <f t="shared" si="42"/>
        <v>360542.89735008433</v>
      </c>
      <c r="V51" s="29">
        <f t="shared" si="43"/>
        <v>362785.47426057386</v>
      </c>
      <c r="W51" s="29">
        <f t="shared" si="44"/>
        <v>365042</v>
      </c>
    </row>
    <row r="52" spans="1:23">
      <c r="A52">
        <f t="shared" si="23"/>
        <v>19</v>
      </c>
      <c r="B52" t="str">
        <f t="shared" si="23"/>
        <v>Tebu</v>
      </c>
      <c r="C52" s="29">
        <f t="shared" si="24"/>
        <v>279198</v>
      </c>
      <c r="D52" s="29">
        <f t="shared" si="25"/>
        <v>281702.84998588677</v>
      </c>
      <c r="E52" s="29">
        <f t="shared" si="26"/>
        <v>284230.17245886795</v>
      </c>
      <c r="F52" s="29">
        <f t="shared" si="27"/>
        <v>286780.16903288418</v>
      </c>
      <c r="G52" s="29">
        <f t="shared" si="28"/>
        <v>289353.04313067364</v>
      </c>
      <c r="H52" s="29">
        <f t="shared" si="29"/>
        <v>291948.99999999988</v>
      </c>
      <c r="I52" s="29">
        <f t="shared" si="30"/>
        <v>294393.32592767826</v>
      </c>
      <c r="J52" s="29">
        <f t="shared" si="31"/>
        <v>296858.11683122808</v>
      </c>
      <c r="K52" s="29">
        <f t="shared" si="32"/>
        <v>299343.54405246302</v>
      </c>
      <c r="L52" s="29">
        <f t="shared" si="33"/>
        <v>301849.78036774596</v>
      </c>
      <c r="M52" s="29">
        <f t="shared" si="34"/>
        <v>304376.99999999983</v>
      </c>
      <c r="N52" s="29">
        <f t="shared" si="35"/>
        <v>306262.1048140155</v>
      </c>
      <c r="O52" s="29">
        <f t="shared" si="36"/>
        <v>308158.88468941813</v>
      </c>
      <c r="P52" s="29">
        <f t="shared" si="37"/>
        <v>310067.41193362407</v>
      </c>
      <c r="Q52" s="29">
        <f t="shared" si="38"/>
        <v>311987.75930187269</v>
      </c>
      <c r="R52" s="29">
        <f t="shared" si="39"/>
        <v>313919.99999999994</v>
      </c>
      <c r="S52" s="29">
        <f t="shared" si="40"/>
        <v>315412.53973250318</v>
      </c>
      <c r="T52" s="29">
        <f t="shared" si="41"/>
        <v>316912.17577888601</v>
      </c>
      <c r="U52" s="29">
        <f t="shared" si="42"/>
        <v>318418.94187873317</v>
      </c>
      <c r="V52" s="29">
        <f t="shared" si="43"/>
        <v>319932.87193204497</v>
      </c>
      <c r="W52" s="29">
        <f t="shared" si="44"/>
        <v>321454</v>
      </c>
    </row>
    <row r="53" spans="1:23">
      <c r="A53">
        <f t="shared" si="23"/>
        <v>20</v>
      </c>
      <c r="B53" t="str">
        <f t="shared" si="23"/>
        <v>Tanaman semusim lain</v>
      </c>
      <c r="C53" s="29">
        <f t="shared" si="24"/>
        <v>380150</v>
      </c>
      <c r="D53" s="29">
        <f t="shared" si="25"/>
        <v>372785.53803222271</v>
      </c>
      <c r="E53" s="29">
        <f t="shared" si="26"/>
        <v>365563.74422194861</v>
      </c>
      <c r="F53" s="29">
        <f t="shared" si="27"/>
        <v>358481.8547280099</v>
      </c>
      <c r="G53" s="29">
        <f t="shared" si="28"/>
        <v>351537.15925179608</v>
      </c>
      <c r="H53" s="29">
        <f t="shared" si="29"/>
        <v>344726.99999999988</v>
      </c>
      <c r="I53" s="29">
        <f t="shared" si="30"/>
        <v>343542.0821997759</v>
      </c>
      <c r="J53" s="29">
        <f t="shared" si="31"/>
        <v>342361.23727517016</v>
      </c>
      <c r="K53" s="29">
        <f t="shared" si="32"/>
        <v>341184.45122663293</v>
      </c>
      <c r="L53" s="29">
        <f t="shared" si="33"/>
        <v>340011.71010273451</v>
      </c>
      <c r="M53" s="29">
        <f t="shared" si="34"/>
        <v>338843</v>
      </c>
      <c r="N53" s="29">
        <f t="shared" si="35"/>
        <v>337316.50809140125</v>
      </c>
      <c r="O53" s="29">
        <f t="shared" si="36"/>
        <v>335796.89304774295</v>
      </c>
      <c r="P53" s="29">
        <f t="shared" si="37"/>
        <v>334284.12388866348</v>
      </c>
      <c r="Q53" s="29">
        <f t="shared" si="38"/>
        <v>332778.16977336805</v>
      </c>
      <c r="R53" s="29">
        <f t="shared" si="39"/>
        <v>331279.00000000006</v>
      </c>
      <c r="S53" s="29">
        <f t="shared" si="40"/>
        <v>329865.99756063061</v>
      </c>
      <c r="T53" s="29">
        <f t="shared" si="41"/>
        <v>328459.02199254994</v>
      </c>
      <c r="U53" s="29">
        <f t="shared" si="42"/>
        <v>327058.04758937808</v>
      </c>
      <c r="V53" s="29">
        <f t="shared" si="43"/>
        <v>325663.04875438043</v>
      </c>
      <c r="W53" s="29">
        <f t="shared" si="44"/>
        <v>324273.99999999994</v>
      </c>
    </row>
    <row r="54" spans="1:23">
      <c r="A54">
        <f t="shared" si="23"/>
        <v>21</v>
      </c>
      <c r="B54" t="str">
        <f t="shared" si="23"/>
        <v>Semak belukar</v>
      </c>
      <c r="C54" s="29">
        <f t="shared" si="24"/>
        <v>368538</v>
      </c>
      <c r="D54" s="29">
        <f t="shared" si="25"/>
        <v>364847.00435304135</v>
      </c>
      <c r="E54" s="29">
        <f t="shared" si="26"/>
        <v>361192.97490459104</v>
      </c>
      <c r="F54" s="29">
        <f t="shared" si="27"/>
        <v>357575.54142938659</v>
      </c>
      <c r="G54" s="29">
        <f t="shared" si="28"/>
        <v>353994.33741005952</v>
      </c>
      <c r="H54" s="29">
        <f t="shared" si="29"/>
        <v>350448.99999999994</v>
      </c>
      <c r="I54" s="29">
        <f t="shared" si="30"/>
        <v>347846.43063871667</v>
      </c>
      <c r="J54" s="29">
        <f t="shared" si="31"/>
        <v>345263.18896072044</v>
      </c>
      <c r="K54" s="29">
        <f t="shared" si="32"/>
        <v>342699.131431185</v>
      </c>
      <c r="L54" s="29">
        <f t="shared" si="33"/>
        <v>340154.11558122904</v>
      </c>
      <c r="M54" s="29">
        <f t="shared" si="34"/>
        <v>337628</v>
      </c>
      <c r="N54" s="29">
        <f t="shared" si="35"/>
        <v>337883.61266648379</v>
      </c>
      <c r="O54" s="29">
        <f t="shared" si="36"/>
        <v>338139.41885315924</v>
      </c>
      <c r="P54" s="29">
        <f t="shared" si="37"/>
        <v>338395.41870653734</v>
      </c>
      <c r="Q54" s="29">
        <f t="shared" si="38"/>
        <v>338651.61237324</v>
      </c>
      <c r="R54" s="29">
        <f t="shared" si="39"/>
        <v>338908.00000000012</v>
      </c>
      <c r="S54" s="29">
        <f t="shared" si="40"/>
        <v>340319.98542796518</v>
      </c>
      <c r="T54" s="29">
        <f t="shared" si="41"/>
        <v>341737.85358176974</v>
      </c>
      <c r="U54" s="29">
        <f t="shared" si="42"/>
        <v>343161.62897049339</v>
      </c>
      <c r="V54" s="29">
        <f t="shared" si="43"/>
        <v>344591.33620532736</v>
      </c>
      <c r="W54" s="29">
        <f t="shared" si="44"/>
        <v>346027.00000000012</v>
      </c>
    </row>
    <row r="55" spans="1:23">
      <c r="A55">
        <f t="shared" si="23"/>
        <v>22</v>
      </c>
      <c r="B55" t="str">
        <f t="shared" si="23"/>
        <v>Rerumputan</v>
      </c>
      <c r="C55" s="29">
        <f t="shared" si="24"/>
        <v>139266</v>
      </c>
      <c r="D55" s="29">
        <f t="shared" si="25"/>
        <v>141899.12936406225</v>
      </c>
      <c r="E55" s="29">
        <f t="shared" si="26"/>
        <v>144582.04381743478</v>
      </c>
      <c r="F55" s="29">
        <f t="shared" si="27"/>
        <v>147315.6846564897</v>
      </c>
      <c r="G55" s="29">
        <f t="shared" si="28"/>
        <v>150101.01097487277</v>
      </c>
      <c r="H55" s="29">
        <f t="shared" si="29"/>
        <v>152939</v>
      </c>
      <c r="I55" s="29">
        <f t="shared" si="30"/>
        <v>154891.31577143734</v>
      </c>
      <c r="J55" s="29">
        <f t="shared" si="31"/>
        <v>156868.55348476919</v>
      </c>
      <c r="K55" s="29">
        <f t="shared" si="32"/>
        <v>158871.03127663967</v>
      </c>
      <c r="L55" s="29">
        <f t="shared" si="33"/>
        <v>160899.07134480999</v>
      </c>
      <c r="M55" s="29">
        <f t="shared" si="34"/>
        <v>162952.99999999994</v>
      </c>
      <c r="N55" s="29">
        <f t="shared" si="35"/>
        <v>163649.02859105601</v>
      </c>
      <c r="O55" s="29">
        <f t="shared" si="36"/>
        <v>164348.03016082101</v>
      </c>
      <c r="P55" s="29">
        <f t="shared" si="37"/>
        <v>165050.01740791477</v>
      </c>
      <c r="Q55" s="29">
        <f t="shared" si="38"/>
        <v>165755.00308519718</v>
      </c>
      <c r="R55" s="29">
        <f t="shared" si="39"/>
        <v>166463.00000000006</v>
      </c>
      <c r="S55" s="29">
        <f t="shared" si="40"/>
        <v>167466.03912284257</v>
      </c>
      <c r="T55" s="29">
        <f t="shared" si="41"/>
        <v>168475.12215623556</v>
      </c>
      <c r="U55" s="29">
        <f t="shared" si="42"/>
        <v>169490.28551835439</v>
      </c>
      <c r="V55" s="29">
        <f t="shared" si="43"/>
        <v>170511.56584681576</v>
      </c>
      <c r="W55" s="29">
        <f t="shared" si="44"/>
        <v>171538.99999999997</v>
      </c>
    </row>
    <row r="56" spans="1:23">
      <c r="A56">
        <f t="shared" si="23"/>
        <v>23</v>
      </c>
      <c r="B56" t="str">
        <f t="shared" si="23"/>
        <v>Tambang</v>
      </c>
      <c r="C56" s="29">
        <f t="shared" si="24"/>
        <v>34910</v>
      </c>
      <c r="D56" s="29">
        <f t="shared" si="25"/>
        <v>35692.706569583257</v>
      </c>
      <c r="E56" s="29">
        <f t="shared" si="26"/>
        <v>36492.961966839641</v>
      </c>
      <c r="F56" s="29">
        <f t="shared" si="27"/>
        <v>37311.159648735869</v>
      </c>
      <c r="G56" s="29">
        <f t="shared" si="28"/>
        <v>38147.701893818521</v>
      </c>
      <c r="H56" s="29">
        <f t="shared" si="29"/>
        <v>39003</v>
      </c>
      <c r="I56" s="29">
        <f t="shared" si="30"/>
        <v>39771.141987117437</v>
      </c>
      <c r="J56" s="29">
        <f t="shared" si="31"/>
        <v>40554.412095465872</v>
      </c>
      <c r="K56" s="29">
        <f t="shared" si="32"/>
        <v>41353.108264821836</v>
      </c>
      <c r="L56" s="29">
        <f t="shared" si="33"/>
        <v>42167.534302716944</v>
      </c>
      <c r="M56" s="29">
        <f t="shared" si="34"/>
        <v>42998.000000000015</v>
      </c>
      <c r="N56" s="29">
        <f t="shared" si="35"/>
        <v>43759.356019157734</v>
      </c>
      <c r="O56" s="29">
        <f t="shared" si="36"/>
        <v>44534.19319994875</v>
      </c>
      <c r="P56" s="29">
        <f t="shared" si="37"/>
        <v>45322.75025030259</v>
      </c>
      <c r="Q56" s="29">
        <f t="shared" si="38"/>
        <v>46125.270104897005</v>
      </c>
      <c r="R56" s="29">
        <f t="shared" si="39"/>
        <v>46942.000000000022</v>
      </c>
      <c r="S56" s="29">
        <f t="shared" si="40"/>
        <v>47702.177469643822</v>
      </c>
      <c r="T56" s="29">
        <f t="shared" si="41"/>
        <v>48474.665232529391</v>
      </c>
      <c r="U56" s="29">
        <f t="shared" si="42"/>
        <v>49259.662641210227</v>
      </c>
      <c r="V56" s="29">
        <f t="shared" si="43"/>
        <v>50057.372276549657</v>
      </c>
      <c r="W56" s="29">
        <f t="shared" si="44"/>
        <v>50868.000000000007</v>
      </c>
    </row>
    <row r="57" spans="1:23">
      <c r="A57">
        <f t="shared" si="23"/>
        <v>24</v>
      </c>
      <c r="B57" t="str">
        <f t="shared" si="23"/>
        <v>Lahan terbuka</v>
      </c>
      <c r="C57" s="29">
        <f t="shared" si="24"/>
        <v>110096</v>
      </c>
      <c r="D57" s="29">
        <f t="shared" si="25"/>
        <v>110310.16516445472</v>
      </c>
      <c r="E57" s="29">
        <f t="shared" si="26"/>
        <v>110524.74693548612</v>
      </c>
      <c r="F57" s="29">
        <f t="shared" si="27"/>
        <v>110739.74612350162</v>
      </c>
      <c r="G57" s="29">
        <f t="shared" si="28"/>
        <v>110955.16354048511</v>
      </c>
      <c r="H57" s="29">
        <f t="shared" si="29"/>
        <v>111170.99999999997</v>
      </c>
      <c r="I57" s="29">
        <f t="shared" si="30"/>
        <v>111012.95125132165</v>
      </c>
      <c r="J57" s="29">
        <f t="shared" si="31"/>
        <v>110855.1271961961</v>
      </c>
      <c r="K57" s="29">
        <f t="shared" si="32"/>
        <v>110697.52751518272</v>
      </c>
      <c r="L57" s="29">
        <f t="shared" si="33"/>
        <v>110540.15188929501</v>
      </c>
      <c r="M57" s="29">
        <f t="shared" si="34"/>
        <v>110382.99999999999</v>
      </c>
      <c r="N57" s="29">
        <f t="shared" si="35"/>
        <v>110654.06542634702</v>
      </c>
      <c r="O57" s="29">
        <f t="shared" si="36"/>
        <v>110925.796502888</v>
      </c>
      <c r="P57" s="29">
        <f t="shared" si="37"/>
        <v>111198.19486424743</v>
      </c>
      <c r="Q57" s="29">
        <f t="shared" si="38"/>
        <v>111471.2621490639</v>
      </c>
      <c r="R57" s="29">
        <f t="shared" si="39"/>
        <v>111744.99999999997</v>
      </c>
      <c r="S57" s="29">
        <f t="shared" si="40"/>
        <v>112473.24593186597</v>
      </c>
      <c r="T57" s="29">
        <f t="shared" si="41"/>
        <v>113206.23786701869</v>
      </c>
      <c r="U57" s="29">
        <f t="shared" si="42"/>
        <v>113944.00673532159</v>
      </c>
      <c r="V57" s="29">
        <f t="shared" si="43"/>
        <v>114686.58366820902</v>
      </c>
      <c r="W57" s="29">
        <f t="shared" si="44"/>
        <v>115433.99999999996</v>
      </c>
    </row>
    <row r="58" spans="1:23">
      <c r="A58">
        <f t="shared" si="23"/>
        <v>25</v>
      </c>
      <c r="B58" t="str">
        <f t="shared" si="23"/>
        <v>Pemukiman</v>
      </c>
      <c r="C58" s="29">
        <f t="shared" si="24"/>
        <v>168478</v>
      </c>
      <c r="D58" s="29">
        <f t="shared" si="25"/>
        <v>171623.34493478888</v>
      </c>
      <c r="E58" s="29">
        <f t="shared" si="26"/>
        <v>174827.4108584238</v>
      </c>
      <c r="F58" s="29">
        <f t="shared" si="27"/>
        <v>178091.29404320638</v>
      </c>
      <c r="G58" s="29">
        <f t="shared" si="28"/>
        <v>181416.11122793553</v>
      </c>
      <c r="H58" s="29">
        <f t="shared" si="29"/>
        <v>184803.00000000003</v>
      </c>
      <c r="I58" s="29">
        <f t="shared" si="30"/>
        <v>187986.04556815172</v>
      </c>
      <c r="J58" s="29">
        <f t="shared" si="31"/>
        <v>191223.91589071183</v>
      </c>
      <c r="K58" s="29">
        <f t="shared" si="32"/>
        <v>194517.55526886342</v>
      </c>
      <c r="L58" s="29">
        <f t="shared" si="33"/>
        <v>197867.92426842655</v>
      </c>
      <c r="M58" s="29">
        <f t="shared" si="34"/>
        <v>201276.00000000015</v>
      </c>
      <c r="N58" s="29">
        <f t="shared" si="35"/>
        <v>204501.17256190453</v>
      </c>
      <c r="O58" s="29">
        <f t="shared" si="36"/>
        <v>207778.02410219726</v>
      </c>
      <c r="P58" s="29">
        <f t="shared" si="37"/>
        <v>211107.38270581194</v>
      </c>
      <c r="Q58" s="29">
        <f t="shared" si="38"/>
        <v>214490.08972661057</v>
      </c>
      <c r="R58" s="29">
        <f t="shared" si="39"/>
        <v>217926.99999999988</v>
      </c>
      <c r="S58" s="29">
        <f t="shared" si="40"/>
        <v>221178.51498807347</v>
      </c>
      <c r="T58" s="29">
        <f t="shared" si="41"/>
        <v>224478.54323846719</v>
      </c>
      <c r="U58" s="29">
        <f t="shared" si="42"/>
        <v>227827.80857888289</v>
      </c>
      <c r="V58" s="29">
        <f t="shared" si="43"/>
        <v>231227.04563667823</v>
      </c>
      <c r="W58" s="29">
        <f t="shared" si="44"/>
        <v>234676.99999999991</v>
      </c>
    </row>
    <row r="59" spans="1:23">
      <c r="A59">
        <f t="shared" si="23"/>
        <v>26</v>
      </c>
      <c r="B59" t="str">
        <f t="shared" si="23"/>
        <v>Tambak</v>
      </c>
      <c r="C59" s="29">
        <f t="shared" si="24"/>
        <v>108508</v>
      </c>
      <c r="D59" s="29">
        <f t="shared" si="25"/>
        <v>110157.48267566472</v>
      </c>
      <c r="E59" s="29">
        <f t="shared" si="26"/>
        <v>111832.03993658876</v>
      </c>
      <c r="F59" s="29">
        <f t="shared" si="27"/>
        <v>113532.05295369025</v>
      </c>
      <c r="G59" s="29">
        <f t="shared" si="28"/>
        <v>115257.90869225111</v>
      </c>
      <c r="H59" s="29">
        <f t="shared" si="29"/>
        <v>117009.99999999997</v>
      </c>
      <c r="I59" s="29">
        <f t="shared" si="30"/>
        <v>118789.63644696819</v>
      </c>
      <c r="J59" s="29">
        <f t="shared" si="31"/>
        <v>120596.33986157484</v>
      </c>
      <c r="K59" s="29">
        <f t="shared" si="32"/>
        <v>122430.52191258434</v>
      </c>
      <c r="L59" s="29">
        <f t="shared" si="33"/>
        <v>124292.6005299416</v>
      </c>
      <c r="M59" s="29">
        <f t="shared" si="34"/>
        <v>126183.00000000007</v>
      </c>
      <c r="N59" s="29">
        <f t="shared" si="35"/>
        <v>127838.96183736601</v>
      </c>
      <c r="O59" s="29">
        <f t="shared" si="36"/>
        <v>129516.65567988969</v>
      </c>
      <c r="P59" s="29">
        <f t="shared" si="37"/>
        <v>131216.36672740933</v>
      </c>
      <c r="Q59" s="29">
        <f t="shared" si="38"/>
        <v>132938.3839225815</v>
      </c>
      <c r="R59" s="29">
        <f t="shared" si="39"/>
        <v>134683.00000000006</v>
      </c>
      <c r="S59" s="29">
        <f t="shared" si="40"/>
        <v>136083.18277985489</v>
      </c>
      <c r="T59" s="29">
        <f t="shared" si="41"/>
        <v>137497.92205026167</v>
      </c>
      <c r="U59" s="29">
        <f t="shared" si="42"/>
        <v>138927.36914247528</v>
      </c>
      <c r="V59" s="29">
        <f t="shared" si="43"/>
        <v>140371.67696101093</v>
      </c>
      <c r="W59" s="29">
        <f t="shared" si="44"/>
        <v>141830.99999999997</v>
      </c>
    </row>
    <row r="60" spans="1:23">
      <c r="A60">
        <f t="shared" si="23"/>
        <v>27</v>
      </c>
      <c r="B60" t="str">
        <f t="shared" si="23"/>
        <v>Tubuh air</v>
      </c>
      <c r="C60" s="29">
        <f t="shared" si="24"/>
        <v>165172</v>
      </c>
      <c r="D60" s="29">
        <f t="shared" si="25"/>
        <v>165137.78582850515</v>
      </c>
      <c r="E60" s="29">
        <f t="shared" si="26"/>
        <v>165103.57874422564</v>
      </c>
      <c r="F60" s="29">
        <f t="shared" si="27"/>
        <v>165069.37874569339</v>
      </c>
      <c r="G60" s="29">
        <f t="shared" si="28"/>
        <v>165035.18583144067</v>
      </c>
      <c r="H60" s="29">
        <f t="shared" si="29"/>
        <v>165001</v>
      </c>
      <c r="I60" s="29">
        <f t="shared" si="30"/>
        <v>165001</v>
      </c>
      <c r="J60" s="29">
        <f t="shared" si="31"/>
        <v>165001</v>
      </c>
      <c r="K60" s="29">
        <f t="shared" si="32"/>
        <v>165001</v>
      </c>
      <c r="L60" s="29">
        <f t="shared" si="33"/>
        <v>165001</v>
      </c>
      <c r="M60" s="29">
        <f t="shared" si="34"/>
        <v>165001</v>
      </c>
      <c r="N60" s="29">
        <f t="shared" si="35"/>
        <v>165001</v>
      </c>
      <c r="O60" s="29">
        <f t="shared" si="36"/>
        <v>165001</v>
      </c>
      <c r="P60" s="29">
        <f t="shared" si="37"/>
        <v>165001</v>
      </c>
      <c r="Q60" s="29">
        <f t="shared" si="38"/>
        <v>165001</v>
      </c>
      <c r="R60" s="29">
        <f t="shared" si="39"/>
        <v>165001</v>
      </c>
      <c r="S60" s="29">
        <f t="shared" si="40"/>
        <v>165001</v>
      </c>
      <c r="T60" s="29">
        <f t="shared" si="41"/>
        <v>165001</v>
      </c>
      <c r="U60" s="29">
        <f t="shared" si="42"/>
        <v>165001</v>
      </c>
      <c r="V60" s="29">
        <f t="shared" si="43"/>
        <v>165001</v>
      </c>
      <c r="W60" s="29">
        <f t="shared" si="44"/>
        <v>165001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8BC8-2450-46AC-B482-E278D0F304F8}">
  <sheetPr>
    <tabColor rgb="FFFFFF00"/>
  </sheetPr>
  <dimension ref="A1:AF60"/>
  <sheetViews>
    <sheetView zoomScale="64" workbookViewId="0">
      <selection activeCell="C33" sqref="C33:W33"/>
    </sheetView>
  </sheetViews>
  <sheetFormatPr defaultRowHeight="14.5"/>
  <cols>
    <col min="1" max="1" width="8.81640625" bestFit="1" customWidth="1"/>
    <col min="3" max="23" width="10.1796875" bestFit="1" customWidth="1"/>
    <col min="24" max="27" width="9.453125" bestFit="1" customWidth="1"/>
    <col min="28" max="32" width="13"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256158</v>
      </c>
      <c r="E2">
        <v>242683</v>
      </c>
      <c r="F2">
        <v>234993</v>
      </c>
      <c r="G2">
        <v>230802</v>
      </c>
      <c r="H2" s="9">
        <f>((D2/C2)^(1/5))-1</f>
        <v>-1.8444425169355516E-2</v>
      </c>
      <c r="I2" s="10">
        <f t="shared" ref="H2:K28" si="0">((E2/D2)^(1/5))-1</f>
        <v>-1.0749482238057495E-2</v>
      </c>
      <c r="J2" s="11">
        <f t="shared" si="0"/>
        <v>-6.4193749067156247E-3</v>
      </c>
      <c r="K2" s="12">
        <f>((G2/F2)^(1/5))-1</f>
        <v>-3.5926362555993574E-3</v>
      </c>
      <c r="L2" s="17">
        <f>C2</f>
        <v>281147</v>
      </c>
      <c r="M2" s="18">
        <f>C2*(1+H2)</f>
        <v>275961.40519691119</v>
      </c>
      <c r="N2" s="18">
        <f>M2*(1+$H2)</f>
        <v>270871.45570912655</v>
      </c>
      <c r="O2" s="18">
        <f t="shared" ref="N2:Q26" si="1">N2*(1+$H2)</f>
        <v>265875.38741378515</v>
      </c>
      <c r="P2" s="18">
        <f t="shared" si="1"/>
        <v>260971.46872625817</v>
      </c>
      <c r="Q2" s="18">
        <f t="shared" si="1"/>
        <v>256157.99999999991</v>
      </c>
      <c r="R2" s="14">
        <f>D2*(1+I2)</f>
        <v>253404.43412886368</v>
      </c>
      <c r="S2" s="14">
        <f t="shared" ref="S2:V26" si="2">R2*(1+$I2)</f>
        <v>250680.46766515044</v>
      </c>
      <c r="T2" s="14">
        <f>S2*(1+$I2)</f>
        <v>247985.78243055596</v>
      </c>
      <c r="U2" s="14">
        <f>T2*(1+$I2)</f>
        <v>245320.06366702792</v>
      </c>
      <c r="V2" s="14">
        <f>U2*(1+$I2)</f>
        <v>242683.00000000006</v>
      </c>
      <c r="W2" s="15">
        <f t="shared" ref="W2:W28" si="3">E2*(1+J2)</f>
        <v>241125.12683951354</v>
      </c>
      <c r="X2" s="15">
        <f t="shared" ref="X2:AA26" si="4">W2*(1+$J2)</f>
        <v>239577.25425090134</v>
      </c>
      <c r="Y2" s="15">
        <f t="shared" si="4"/>
        <v>238039.31803674327</v>
      </c>
      <c r="Z2" s="15">
        <f t="shared" si="4"/>
        <v>236511.25441172649</v>
      </c>
      <c r="AA2" s="15">
        <f t="shared" si="4"/>
        <v>234993.00000000003</v>
      </c>
      <c r="AB2" s="19">
        <f t="shared" ref="AB2:AB28" si="5">F2*(1+K2)</f>
        <v>234148.75562838794</v>
      </c>
      <c r="AC2" s="19">
        <f t="shared" ref="AC2:AF26" si="6">AB2*(1+$K2)</f>
        <v>233307.54431971392</v>
      </c>
      <c r="AD2" s="19">
        <f t="shared" si="6"/>
        <v>232469.35517728608</v>
      </c>
      <c r="AE2" s="19">
        <f t="shared" si="6"/>
        <v>231634.17734356035</v>
      </c>
      <c r="AF2" s="19">
        <f t="shared" si="6"/>
        <v>230801.99999999994</v>
      </c>
    </row>
    <row r="3" spans="1:32">
      <c r="A3">
        <v>2</v>
      </c>
      <c r="B3" t="s">
        <v>336</v>
      </c>
      <c r="C3">
        <v>268650</v>
      </c>
      <c r="D3">
        <v>261133</v>
      </c>
      <c r="E3">
        <v>256451</v>
      </c>
      <c r="F3">
        <v>250272</v>
      </c>
      <c r="G3">
        <v>242428</v>
      </c>
      <c r="H3" s="9">
        <f t="shared" si="0"/>
        <v>-5.6598346627124707E-3</v>
      </c>
      <c r="I3" s="10">
        <f t="shared" si="0"/>
        <v>-3.6119098744801237E-3</v>
      </c>
      <c r="J3" s="11">
        <f t="shared" si="0"/>
        <v>-4.8659799345752708E-3</v>
      </c>
      <c r="K3" s="12">
        <f>((G3/F3)^(1/5))-1</f>
        <v>-6.3484761977276039E-3</v>
      </c>
      <c r="L3" s="17">
        <f t="shared" ref="L3:L28" si="7">C3</f>
        <v>268650</v>
      </c>
      <c r="M3" s="18">
        <f t="shared" ref="M3:M28" si="8">C3*(1+H3)</f>
        <v>267129.48541786231</v>
      </c>
      <c r="N3" s="18">
        <f t="shared" si="1"/>
        <v>265617.57669686177</v>
      </c>
      <c r="O3" s="18">
        <f t="shared" si="1"/>
        <v>264114.22512924718</v>
      </c>
      <c r="P3" s="18">
        <f t="shared" si="1"/>
        <v>262619.38228294521</v>
      </c>
      <c r="Q3" s="18">
        <f t="shared" si="1"/>
        <v>261133.00000000006</v>
      </c>
      <c r="R3" s="14">
        <f t="shared" ref="R3:R28" si="9">D3*(1+I3)</f>
        <v>260189.81113874738</v>
      </c>
      <c r="S3" s="14">
        <f t="shared" si="2"/>
        <v>259250.02899065622</v>
      </c>
      <c r="T3" s="14">
        <f t="shared" si="2"/>
        <v>258313.64125098562</v>
      </c>
      <c r="U3" s="14">
        <f t="shared" si="2"/>
        <v>257380.63565943827</v>
      </c>
      <c r="V3" s="14">
        <f t="shared" si="2"/>
        <v>256450.99999999997</v>
      </c>
      <c r="W3" s="15">
        <f t="shared" si="3"/>
        <v>255203.11457979825</v>
      </c>
      <c r="X3" s="15">
        <f t="shared" si="4"/>
        <v>253961.30134501183</v>
      </c>
      <c r="Y3" s="15">
        <f t="shared" si="4"/>
        <v>252725.53074850838</v>
      </c>
      <c r="Z3" s="15">
        <f t="shared" si="4"/>
        <v>251495.77338693125</v>
      </c>
      <c r="AA3" s="15">
        <f t="shared" si="4"/>
        <v>250271.99999999994</v>
      </c>
      <c r="AB3" s="19">
        <f t="shared" si="5"/>
        <v>248683.15416504233</v>
      </c>
      <c r="AC3" s="19">
        <f t="shared" si="6"/>
        <v>247104.39508004973</v>
      </c>
      <c r="AD3" s="19">
        <f t="shared" si="6"/>
        <v>245535.65870953017</v>
      </c>
      <c r="AE3" s="19">
        <f t="shared" si="6"/>
        <v>243976.88142451935</v>
      </c>
      <c r="AF3" s="19">
        <f t="shared" si="6"/>
        <v>242427.99999999997</v>
      </c>
    </row>
    <row r="4" spans="1:32">
      <c r="A4">
        <v>3</v>
      </c>
      <c r="B4" t="s">
        <v>337</v>
      </c>
      <c r="C4">
        <v>182483</v>
      </c>
      <c r="D4">
        <v>207346</v>
      </c>
      <c r="E4">
        <v>226330</v>
      </c>
      <c r="F4">
        <v>239271</v>
      </c>
      <c r="G4">
        <v>250297</v>
      </c>
      <c r="H4" s="9">
        <f t="shared" si="0"/>
        <v>2.5875480646150972E-2</v>
      </c>
      <c r="I4" s="10">
        <f t="shared" si="0"/>
        <v>1.7675437030272301E-2</v>
      </c>
      <c r="J4" s="11">
        <f t="shared" si="0"/>
        <v>1.1182600933224984E-2</v>
      </c>
      <c r="K4" s="12">
        <f t="shared" si="0"/>
        <v>9.0509971810188716E-3</v>
      </c>
      <c r="L4" s="17">
        <f t="shared" si="7"/>
        <v>182483</v>
      </c>
      <c r="M4" s="18">
        <f t="shared" si="8"/>
        <v>187204.83533475158</v>
      </c>
      <c r="N4" s="18">
        <f t="shared" si="1"/>
        <v>192048.85042832184</v>
      </c>
      <c r="O4" s="18">
        <f t="shared" si="1"/>
        <v>197018.20674069543</v>
      </c>
      <c r="P4" s="18">
        <f t="shared" si="1"/>
        <v>202116.14753615367</v>
      </c>
      <c r="Q4" s="18">
        <f t="shared" si="1"/>
        <v>207346</v>
      </c>
      <c r="R4" s="14">
        <f t="shared" si="9"/>
        <v>211010.93116647884</v>
      </c>
      <c r="S4" s="14">
        <f t="shared" si="2"/>
        <v>214740.64159301107</v>
      </c>
      <c r="T4" s="14">
        <f t="shared" si="2"/>
        <v>218536.27628132861</v>
      </c>
      <c r="U4" s="14">
        <f t="shared" si="2"/>
        <v>222399.00047156942</v>
      </c>
      <c r="V4" s="14">
        <f t="shared" si="2"/>
        <v>226330.00000000015</v>
      </c>
      <c r="W4" s="15">
        <f t="shared" si="3"/>
        <v>228860.95806921681</v>
      </c>
      <c r="X4" s="15">
        <f t="shared" si="4"/>
        <v>231420.2188325004</v>
      </c>
      <c r="Y4" s="15">
        <f t="shared" si="4"/>
        <v>234008.09878758385</v>
      </c>
      <c r="Z4" s="15">
        <f t="shared" si="4"/>
        <v>236624.91797146809</v>
      </c>
      <c r="AA4" s="15">
        <f t="shared" si="4"/>
        <v>239271.00000000012</v>
      </c>
      <c r="AB4" s="19">
        <f t="shared" si="5"/>
        <v>241436.64114649958</v>
      </c>
      <c r="AC4" s="19">
        <f t="shared" si="6"/>
        <v>243621.88350491121</v>
      </c>
      <c r="AD4" s="19">
        <f t="shared" si="6"/>
        <v>245826.90448574867</v>
      </c>
      <c r="AE4" s="19">
        <f t="shared" si="6"/>
        <v>248051.88310526777</v>
      </c>
      <c r="AF4" s="19">
        <f t="shared" si="6"/>
        <v>250296.99999999997</v>
      </c>
    </row>
    <row r="5" spans="1:32">
      <c r="A5">
        <v>4</v>
      </c>
      <c r="B5" t="s">
        <v>338</v>
      </c>
      <c r="C5">
        <v>34376</v>
      </c>
      <c r="D5">
        <v>33113</v>
      </c>
      <c r="E5">
        <v>32344</v>
      </c>
      <c r="F5">
        <v>31797</v>
      </c>
      <c r="G5">
        <v>31325</v>
      </c>
      <c r="H5" s="9">
        <f t="shared" si="0"/>
        <v>-7.4585840654936009E-3</v>
      </c>
      <c r="I5" s="10">
        <f t="shared" si="0"/>
        <v>-4.6884591375430107E-3</v>
      </c>
      <c r="J5" s="11">
        <f t="shared" si="0"/>
        <v>-3.405505392762409E-3</v>
      </c>
      <c r="K5" s="12">
        <f t="shared" si="0"/>
        <v>-2.9866201362437339E-3</v>
      </c>
      <c r="L5" s="17">
        <f t="shared" si="7"/>
        <v>34376</v>
      </c>
      <c r="M5" s="18">
        <f t="shared" si="8"/>
        <v>34119.603714164594</v>
      </c>
      <c r="N5" s="18">
        <f t="shared" si="1"/>
        <v>33865.119781581168</v>
      </c>
      <c r="O5" s="18">
        <f t="shared" si="1"/>
        <v>33612.533938802233</v>
      </c>
      <c r="P5" s="18">
        <f t="shared" si="1"/>
        <v>33361.832028765421</v>
      </c>
      <c r="Q5" s="18">
        <f t="shared" si="1"/>
        <v>33113</v>
      </c>
      <c r="R5" s="14">
        <f t="shared" si="9"/>
        <v>32957.75105257854</v>
      </c>
      <c r="S5" s="14">
        <f t="shared" si="2"/>
        <v>32803.22998350321</v>
      </c>
      <c r="T5" s="14">
        <f t="shared" si="2"/>
        <v>32649.433380146129</v>
      </c>
      <c r="U5" s="14">
        <f t="shared" si="2"/>
        <v>32496.357845879382</v>
      </c>
      <c r="V5" s="14">
        <f t="shared" si="2"/>
        <v>32344</v>
      </c>
      <c r="W5" s="15">
        <f t="shared" si="3"/>
        <v>32233.852333576491</v>
      </c>
      <c r="X5" s="15">
        <f t="shared" si="4"/>
        <v>32124.079775624989</v>
      </c>
      <c r="Y5" s="15">
        <f t="shared" si="4"/>
        <v>32014.681048711569</v>
      </c>
      <c r="Z5" s="15">
        <f t="shared" si="4"/>
        <v>31905.654879752612</v>
      </c>
      <c r="AA5" s="15">
        <f t="shared" si="4"/>
        <v>31797</v>
      </c>
      <c r="AB5" s="19">
        <f t="shared" si="5"/>
        <v>31702.034439527859</v>
      </c>
      <c r="AC5" s="19">
        <f t="shared" si="6"/>
        <v>31607.352505110874</v>
      </c>
      <c r="AD5" s="19">
        <f t="shared" si="6"/>
        <v>31512.953349665757</v>
      </c>
      <c r="AE5" s="19">
        <f t="shared" si="6"/>
        <v>31418.836128639137</v>
      </c>
      <c r="AF5" s="19">
        <f t="shared" si="6"/>
        <v>31325</v>
      </c>
    </row>
    <row r="6" spans="1:32">
      <c r="A6">
        <v>5</v>
      </c>
      <c r="B6" t="s">
        <v>339</v>
      </c>
      <c r="C6">
        <v>436939</v>
      </c>
      <c r="D6">
        <v>436155</v>
      </c>
      <c r="E6">
        <v>435251</v>
      </c>
      <c r="F6">
        <v>434231</v>
      </c>
      <c r="G6">
        <v>433175</v>
      </c>
      <c r="H6" s="9">
        <f t="shared" si="0"/>
        <v>-3.5911800012300432E-4</v>
      </c>
      <c r="I6" s="10">
        <f t="shared" si="0"/>
        <v>-4.1487563201314526E-4</v>
      </c>
      <c r="J6" s="11">
        <f t="shared" si="0"/>
        <v>-4.6913504372114723E-4</v>
      </c>
      <c r="K6" s="12">
        <f t="shared" si="0"/>
        <v>-4.8685088341537952E-4</v>
      </c>
      <c r="L6" s="17">
        <f t="shared" si="7"/>
        <v>436939</v>
      </c>
      <c r="M6" s="18">
        <f t="shared" si="8"/>
        <v>436782.08734014427</v>
      </c>
      <c r="N6" s="18">
        <f t="shared" si="1"/>
        <v>436625.2310304491</v>
      </c>
      <c r="O6" s="18">
        <f t="shared" si="1"/>
        <v>436468.43105067819</v>
      </c>
      <c r="P6" s="18">
        <f t="shared" si="1"/>
        <v>436311.68738060247</v>
      </c>
      <c r="Q6" s="18">
        <f t="shared" si="1"/>
        <v>436155.00000000006</v>
      </c>
      <c r="R6" s="14">
        <f t="shared" si="9"/>
        <v>435974.04991871933</v>
      </c>
      <c r="S6" s="14">
        <f t="shared" si="2"/>
        <v>435793.17490921798</v>
      </c>
      <c r="T6" s="14">
        <f t="shared" si="2"/>
        <v>435612.37494035048</v>
      </c>
      <c r="U6" s="14">
        <f t="shared" si="2"/>
        <v>435431.64998098434</v>
      </c>
      <c r="V6" s="14">
        <f t="shared" si="2"/>
        <v>435250.99999999994</v>
      </c>
      <c r="W6" s="15">
        <f t="shared" si="3"/>
        <v>435046.80850308534</v>
      </c>
      <c r="X6" s="15">
        <f t="shared" si="4"/>
        <v>434842.71279955748</v>
      </c>
      <c r="Y6" s="15">
        <f t="shared" si="4"/>
        <v>434638.71284447645</v>
      </c>
      <c r="Z6" s="15">
        <f t="shared" si="4"/>
        <v>434434.80859292328</v>
      </c>
      <c r="AA6" s="15">
        <f t="shared" si="4"/>
        <v>434231.00000000006</v>
      </c>
      <c r="AB6" s="19">
        <f t="shared" si="5"/>
        <v>434019.59425404365</v>
      </c>
      <c r="AC6" s="19">
        <f t="shared" si="6"/>
        <v>433808.29143116146</v>
      </c>
      <c r="AD6" s="19">
        <f t="shared" si="6"/>
        <v>433597.0914812453</v>
      </c>
      <c r="AE6" s="19">
        <f t="shared" si="6"/>
        <v>433385.99435421132</v>
      </c>
      <c r="AF6" s="19">
        <f t="shared" si="6"/>
        <v>433175.00000000012</v>
      </c>
    </row>
    <row r="7" spans="1:32">
      <c r="A7">
        <v>6</v>
      </c>
      <c r="B7" t="s">
        <v>340</v>
      </c>
      <c r="C7">
        <v>99848</v>
      </c>
      <c r="D7">
        <v>101111</v>
      </c>
      <c r="E7">
        <v>100091</v>
      </c>
      <c r="F7">
        <v>99302</v>
      </c>
      <c r="G7">
        <v>98542</v>
      </c>
      <c r="H7" s="9">
        <f t="shared" si="0"/>
        <v>2.5171414256550673E-3</v>
      </c>
      <c r="I7" s="10">
        <f t="shared" si="0"/>
        <v>-2.0257755581462034E-3</v>
      </c>
      <c r="J7" s="11">
        <f t="shared" si="0"/>
        <v>-1.5815600843949174E-3</v>
      </c>
      <c r="K7" s="12">
        <f t="shared" si="0"/>
        <v>-1.5353917978959686E-3</v>
      </c>
      <c r="L7" s="17">
        <f t="shared" si="7"/>
        <v>99848</v>
      </c>
      <c r="M7" s="18">
        <f t="shared" si="8"/>
        <v>100099.33153706881</v>
      </c>
      <c r="N7" s="18">
        <f t="shared" si="1"/>
        <v>100351.29571116115</v>
      </c>
      <c r="O7" s="18">
        <f t="shared" si="1"/>
        <v>100603.89411471387</v>
      </c>
      <c r="P7" s="18">
        <f t="shared" si="1"/>
        <v>100857.12834417223</v>
      </c>
      <c r="Q7" s="18">
        <f t="shared" si="1"/>
        <v>101110.99999999996</v>
      </c>
      <c r="R7" s="14">
        <f t="shared" si="9"/>
        <v>100906.17180754028</v>
      </c>
      <c r="S7" s="14">
        <f t="shared" si="2"/>
        <v>100701.75855102646</v>
      </c>
      <c r="T7" s="14">
        <f t="shared" si="2"/>
        <v>100497.75938989145</v>
      </c>
      <c r="U7" s="14">
        <f t="shared" si="2"/>
        <v>100294.17348527095</v>
      </c>
      <c r="V7" s="14">
        <f t="shared" si="2"/>
        <v>100091.00000000001</v>
      </c>
      <c r="W7" s="15">
        <f t="shared" si="3"/>
        <v>99932.700069592829</v>
      </c>
      <c r="X7" s="15">
        <f t="shared" si="4"/>
        <v>99774.650500036951</v>
      </c>
      <c r="Y7" s="15">
        <f t="shared" si="4"/>
        <v>99616.850895371637</v>
      </c>
      <c r="Z7" s="15">
        <f t="shared" si="4"/>
        <v>99459.300860262403</v>
      </c>
      <c r="AA7" s="15">
        <f t="shared" si="4"/>
        <v>99301.999999999985</v>
      </c>
      <c r="AB7" s="19">
        <f t="shared" si="5"/>
        <v>99149.532523685339</v>
      </c>
      <c r="AC7" s="19">
        <f t="shared" si="6"/>
        <v>98997.299144683246</v>
      </c>
      <c r="AD7" s="19">
        <f t="shared" si="6"/>
        <v>98845.299503562652</v>
      </c>
      <c r="AE7" s="19">
        <f t="shared" si="6"/>
        <v>98693.533241444311</v>
      </c>
      <c r="AF7" s="19">
        <f t="shared" si="6"/>
        <v>98542.000000000029</v>
      </c>
    </row>
    <row r="8" spans="1:32">
      <c r="A8">
        <v>7</v>
      </c>
      <c r="B8" t="s">
        <v>341</v>
      </c>
      <c r="C8">
        <v>109515</v>
      </c>
      <c r="D8">
        <v>98019</v>
      </c>
      <c r="E8">
        <v>93708</v>
      </c>
      <c r="F8">
        <v>90420</v>
      </c>
      <c r="G8">
        <v>88147</v>
      </c>
      <c r="H8" s="9">
        <f t="shared" si="0"/>
        <v>-2.1935869265773622E-2</v>
      </c>
      <c r="I8" s="10">
        <f t="shared" si="0"/>
        <v>-8.9552156387397996E-3</v>
      </c>
      <c r="J8" s="11">
        <f t="shared" si="0"/>
        <v>-7.1181615415225608E-3</v>
      </c>
      <c r="K8" s="12">
        <f t="shared" si="0"/>
        <v>-5.0789794443943936E-3</v>
      </c>
      <c r="L8" s="17">
        <f t="shared" si="7"/>
        <v>109515</v>
      </c>
      <c r="M8" s="18">
        <f t="shared" si="8"/>
        <v>107112.69327735881</v>
      </c>
      <c r="N8" s="18">
        <f t="shared" si="1"/>
        <v>104763.08324092175</v>
      </c>
      <c r="O8" s="18">
        <f t="shared" si="1"/>
        <v>102465.01394306954</v>
      </c>
      <c r="P8" s="18">
        <f t="shared" si="1"/>
        <v>100217.3547928987</v>
      </c>
      <c r="Q8" s="18">
        <f t="shared" si="1"/>
        <v>98019.000000000015</v>
      </c>
      <c r="R8" s="14">
        <f t="shared" si="9"/>
        <v>97141.218718306365</v>
      </c>
      <c r="S8" s="14">
        <f t="shared" si="2"/>
        <v>96271.298157273952</v>
      </c>
      <c r="T8" s="14">
        <f t="shared" si="2"/>
        <v>95409.167922454144</v>
      </c>
      <c r="U8" s="14">
        <f t="shared" si="2"/>
        <v>94554.758249795836</v>
      </c>
      <c r="V8" s="14">
        <f t="shared" si="2"/>
        <v>93708</v>
      </c>
      <c r="W8" s="15">
        <f t="shared" si="3"/>
        <v>93040.971318267009</v>
      </c>
      <c r="X8" s="15">
        <f t="shared" si="4"/>
        <v>92378.690654443417</v>
      </c>
      <c r="Y8" s="15">
        <f t="shared" si="4"/>
        <v>91721.124211370741</v>
      </c>
      <c r="Z8" s="15">
        <f t="shared" si="4"/>
        <v>91068.238432464146</v>
      </c>
      <c r="AA8" s="15">
        <f t="shared" si="4"/>
        <v>90419.999999999971</v>
      </c>
      <c r="AB8" s="19">
        <f t="shared" si="5"/>
        <v>89960.758678637852</v>
      </c>
      <c r="AC8" s="19">
        <f t="shared" si="6"/>
        <v>89503.849834506924</v>
      </c>
      <c r="AD8" s="19">
        <f t="shared" si="6"/>
        <v>89049.261621003301</v>
      </c>
      <c r="AE8" s="19">
        <f t="shared" si="6"/>
        <v>88596.982251691734</v>
      </c>
      <c r="AF8" s="19">
        <f t="shared" si="6"/>
        <v>88147.000000000015</v>
      </c>
    </row>
    <row r="9" spans="1:32">
      <c r="A9">
        <v>8</v>
      </c>
      <c r="B9" t="s">
        <v>342</v>
      </c>
      <c r="C9">
        <v>417121</v>
      </c>
      <c r="D9">
        <v>442294</v>
      </c>
      <c r="E9">
        <v>444213</v>
      </c>
      <c r="F9">
        <v>440105</v>
      </c>
      <c r="G9">
        <v>429733</v>
      </c>
      <c r="H9" s="9">
        <f t="shared" si="0"/>
        <v>1.178863904249372E-2</v>
      </c>
      <c r="I9" s="10">
        <f t="shared" si="0"/>
        <v>8.6624653489386638E-4</v>
      </c>
      <c r="J9" s="11">
        <f t="shared" si="0"/>
        <v>-1.8564431381176139E-3</v>
      </c>
      <c r="K9" s="12">
        <f t="shared" si="0"/>
        <v>-4.7584921732994889E-3</v>
      </c>
      <c r="L9" s="17">
        <f t="shared" si="7"/>
        <v>417121</v>
      </c>
      <c r="M9" s="18">
        <f t="shared" si="8"/>
        <v>422038.28890604404</v>
      </c>
      <c r="N9" s="18">
        <f t="shared" si="1"/>
        <v>427013.54595606908</v>
      </c>
      <c r="O9" s="18">
        <f t="shared" si="1"/>
        <v>432047.45451560046</v>
      </c>
      <c r="P9" s="18">
        <f t="shared" si="1"/>
        <v>437140.70600611309</v>
      </c>
      <c r="Q9" s="18">
        <f t="shared" si="1"/>
        <v>442294</v>
      </c>
      <c r="R9" s="14">
        <f t="shared" si="9"/>
        <v>442677.13564490434</v>
      </c>
      <c r="S9" s="14">
        <f t="shared" si="2"/>
        <v>443060.6031797335</v>
      </c>
      <c r="T9" s="14">
        <f t="shared" si="2"/>
        <v>443444.40289198596</v>
      </c>
      <c r="U9" s="14">
        <f t="shared" si="2"/>
        <v>443828.53506940923</v>
      </c>
      <c r="V9" s="14">
        <f t="shared" si="2"/>
        <v>444213.00000000012</v>
      </c>
      <c r="W9" s="15">
        <f t="shared" si="3"/>
        <v>443388.34382428735</v>
      </c>
      <c r="X9" s="15">
        <f t="shared" si="4"/>
        <v>442565.21857587341</v>
      </c>
      <c r="Y9" s="15">
        <f t="shared" si="4"/>
        <v>441743.62141267874</v>
      </c>
      <c r="Z9" s="15">
        <f t="shared" si="4"/>
        <v>440923.54949789995</v>
      </c>
      <c r="AA9" s="15">
        <f t="shared" si="4"/>
        <v>440105.00000000012</v>
      </c>
      <c r="AB9" s="19">
        <f t="shared" si="5"/>
        <v>438010.76380207005</v>
      </c>
      <c r="AC9" s="19">
        <f t="shared" si="6"/>
        <v>435926.49301069696</v>
      </c>
      <c r="AD9" s="19">
        <f t="shared" si="6"/>
        <v>433852.14020557166</v>
      </c>
      <c r="AE9" s="19">
        <f t="shared" si="6"/>
        <v>431787.65819203423</v>
      </c>
      <c r="AF9" s="19">
        <f t="shared" si="6"/>
        <v>429733.00000000012</v>
      </c>
    </row>
    <row r="10" spans="1:32">
      <c r="A10">
        <v>9</v>
      </c>
      <c r="B10" t="s">
        <v>343</v>
      </c>
      <c r="C10">
        <v>204935</v>
      </c>
      <c r="D10">
        <v>184425</v>
      </c>
      <c r="E10">
        <v>184632</v>
      </c>
      <c r="F10">
        <v>186777</v>
      </c>
      <c r="G10">
        <v>187512</v>
      </c>
      <c r="H10" s="9">
        <f t="shared" si="0"/>
        <v>-2.0869157043419295E-2</v>
      </c>
      <c r="I10" s="10">
        <f t="shared" si="0"/>
        <v>2.2438078047781751E-4</v>
      </c>
      <c r="J10" s="11">
        <f t="shared" si="0"/>
        <v>2.3128178567073387E-3</v>
      </c>
      <c r="K10" s="12">
        <f t="shared" si="0"/>
        <v>7.8579887565544126E-4</v>
      </c>
      <c r="L10" s="17">
        <f t="shared" si="7"/>
        <v>204935</v>
      </c>
      <c r="M10" s="18">
        <f t="shared" si="8"/>
        <v>200658.17930130687</v>
      </c>
      <c r="N10" s="18">
        <f t="shared" si="1"/>
        <v>196470.6122454213</v>
      </c>
      <c r="O10" s="18">
        <f t="shared" si="1"/>
        <v>192370.43618405488</v>
      </c>
      <c r="P10" s="18">
        <f t="shared" si="1"/>
        <v>188355.82734081877</v>
      </c>
      <c r="Q10" s="18">
        <f t="shared" si="1"/>
        <v>184425.00000000006</v>
      </c>
      <c r="R10" s="14">
        <f t="shared" si="9"/>
        <v>184466.38142543961</v>
      </c>
      <c r="S10" s="14">
        <f t="shared" si="2"/>
        <v>184507.77213607577</v>
      </c>
      <c r="T10" s="14">
        <f t="shared" si="2"/>
        <v>184549.17213399187</v>
      </c>
      <c r="U10" s="14">
        <f t="shared" si="2"/>
        <v>184590.58142127184</v>
      </c>
      <c r="V10" s="14">
        <f t="shared" si="2"/>
        <v>184632</v>
      </c>
      <c r="W10" s="15">
        <f t="shared" si="3"/>
        <v>185059.0201865196</v>
      </c>
      <c r="X10" s="15">
        <f t="shared" si="4"/>
        <v>185487.02799295174</v>
      </c>
      <c r="Y10" s="15">
        <f t="shared" si="4"/>
        <v>185916.02570348143</v>
      </c>
      <c r="Z10" s="15">
        <f t="shared" si="4"/>
        <v>186346.0156075765</v>
      </c>
      <c r="AA10" s="15">
        <f t="shared" si="4"/>
        <v>186776.99999999997</v>
      </c>
      <c r="AB10" s="19">
        <f t="shared" si="5"/>
        <v>186923.76915659828</v>
      </c>
      <c r="AC10" s="19">
        <f t="shared" si="6"/>
        <v>187070.65364423482</v>
      </c>
      <c r="AD10" s="19">
        <f t="shared" si="6"/>
        <v>187217.65355353657</v>
      </c>
      <c r="AE10" s="19">
        <f t="shared" si="6"/>
        <v>187364.76897520179</v>
      </c>
      <c r="AF10" s="19">
        <f t="shared" si="6"/>
        <v>187511.99999999994</v>
      </c>
    </row>
    <row r="11" spans="1:32">
      <c r="A11">
        <v>10</v>
      </c>
      <c r="B11" t="s">
        <v>344</v>
      </c>
      <c r="C11">
        <v>532082</v>
      </c>
      <c r="D11">
        <v>580778</v>
      </c>
      <c r="E11">
        <v>603112</v>
      </c>
      <c r="F11">
        <v>619512</v>
      </c>
      <c r="G11">
        <v>631123</v>
      </c>
      <c r="H11" s="9">
        <f t="shared" si="0"/>
        <v>1.7668467079302363E-2</v>
      </c>
      <c r="I11" s="10">
        <f t="shared" si="0"/>
        <v>7.5754160629704081E-3</v>
      </c>
      <c r="J11" s="11">
        <f t="shared" si="0"/>
        <v>5.3802526304671527E-3</v>
      </c>
      <c r="K11" s="12">
        <f t="shared" si="0"/>
        <v>3.7206446551674155E-3</v>
      </c>
      <c r="L11" s="17">
        <f t="shared" si="7"/>
        <v>532082</v>
      </c>
      <c r="M11" s="18">
        <f t="shared" si="8"/>
        <v>541483.07330048934</v>
      </c>
      <c r="N11" s="18">
        <f t="shared" si="1"/>
        <v>551050.24915509846</v>
      </c>
      <c r="O11" s="18">
        <f t="shared" si="1"/>
        <v>560786.46234133665</v>
      </c>
      <c r="P11" s="18">
        <f t="shared" si="1"/>
        <v>570694.69948973297</v>
      </c>
      <c r="Q11" s="18">
        <f t="shared" si="1"/>
        <v>580777.99999999965</v>
      </c>
      <c r="R11" s="14">
        <f t="shared" si="9"/>
        <v>585177.63499021984</v>
      </c>
      <c r="S11" s="14">
        <f t="shared" si="2"/>
        <v>589610.59904601576</v>
      </c>
      <c r="T11" s="14">
        <f t="shared" si="2"/>
        <v>594077.14464892657</v>
      </c>
      <c r="U11" s="14">
        <f t="shared" si="2"/>
        <v>598577.52619314368</v>
      </c>
      <c r="V11" s="14">
        <f t="shared" si="2"/>
        <v>603112.00000000035</v>
      </c>
      <c r="W11" s="15">
        <f t="shared" si="3"/>
        <v>606356.89492446627</v>
      </c>
      <c r="X11" s="15">
        <f t="shared" si="4"/>
        <v>609619.2482033855</v>
      </c>
      <c r="Y11" s="15">
        <f t="shared" si="4"/>
        <v>612899.1537671152</v>
      </c>
      <c r="Z11" s="15">
        <f t="shared" si="4"/>
        <v>616196.70605138177</v>
      </c>
      <c r="AA11" s="15">
        <f t="shared" si="4"/>
        <v>619511.99999999988</v>
      </c>
      <c r="AB11" s="19">
        <f t="shared" si="5"/>
        <v>621816.98401161213</v>
      </c>
      <c r="AC11" s="19">
        <f t="shared" si="6"/>
        <v>624130.54404966731</v>
      </c>
      <c r="AD11" s="19">
        <f t="shared" si="6"/>
        <v>626452.71202251245</v>
      </c>
      <c r="AE11" s="19">
        <f t="shared" si="6"/>
        <v>628783.51995721413</v>
      </c>
      <c r="AF11" s="19">
        <f t="shared" si="6"/>
        <v>631123.00000000023</v>
      </c>
    </row>
    <row r="12" spans="1:32">
      <c r="A12">
        <v>11</v>
      </c>
      <c r="B12" t="s">
        <v>345</v>
      </c>
      <c r="C12">
        <v>341390</v>
      </c>
      <c r="D12">
        <v>305388</v>
      </c>
      <c r="E12">
        <v>285880</v>
      </c>
      <c r="F12">
        <v>282013</v>
      </c>
      <c r="G12">
        <v>279655</v>
      </c>
      <c r="H12" s="9">
        <f t="shared" si="0"/>
        <v>-2.204193080395711E-2</v>
      </c>
      <c r="I12" s="10">
        <f t="shared" si="0"/>
        <v>-1.3115424713747381E-2</v>
      </c>
      <c r="J12" s="11">
        <f t="shared" si="0"/>
        <v>-2.7200884741781506E-3</v>
      </c>
      <c r="K12" s="12">
        <f t="shared" si="0"/>
        <v>-1.6778844885309008E-3</v>
      </c>
      <c r="L12" s="17">
        <f t="shared" si="7"/>
        <v>341390</v>
      </c>
      <c r="M12" s="18">
        <f t="shared" si="8"/>
        <v>333865.1052428371</v>
      </c>
      <c r="N12" s="18">
        <f t="shared" si="1"/>
        <v>326506.07369521866</v>
      </c>
      <c r="O12" s="18">
        <f t="shared" si="1"/>
        <v>319309.24941175693</v>
      </c>
      <c r="P12" s="18">
        <f t="shared" si="1"/>
        <v>312271.05703115952</v>
      </c>
      <c r="Q12" s="18">
        <f t="shared" si="1"/>
        <v>305388.00000000017</v>
      </c>
      <c r="R12" s="14">
        <f t="shared" si="9"/>
        <v>301382.70667751809</v>
      </c>
      <c r="S12" s="14">
        <f t="shared" si="2"/>
        <v>297429.94447806367</v>
      </c>
      <c r="T12" s="14">
        <f t="shared" si="2"/>
        <v>293529.02443364757</v>
      </c>
      <c r="U12" s="14">
        <f t="shared" si="2"/>
        <v>289679.26661238837</v>
      </c>
      <c r="V12" s="14">
        <f t="shared" si="2"/>
        <v>285880.00000000006</v>
      </c>
      <c r="W12" s="15">
        <f t="shared" si="3"/>
        <v>285102.38110700197</v>
      </c>
      <c r="X12" s="15">
        <f t="shared" si="4"/>
        <v>284326.87740619207</v>
      </c>
      <c r="Y12" s="15">
        <f t="shared" si="4"/>
        <v>283553.48314406042</v>
      </c>
      <c r="Z12" s="15">
        <f t="shared" si="4"/>
        <v>282782.1925827472</v>
      </c>
      <c r="AA12" s="15">
        <f t="shared" si="4"/>
        <v>282013.00000000006</v>
      </c>
      <c r="AB12" s="19">
        <f t="shared" si="5"/>
        <v>281539.81476173591</v>
      </c>
      <c r="AC12" s="19">
        <f t="shared" si="6"/>
        <v>281067.42347364331</v>
      </c>
      <c r="AD12" s="19">
        <f t="shared" si="6"/>
        <v>280595.82480356551</v>
      </c>
      <c r="AE12" s="19">
        <f t="shared" si="6"/>
        <v>280125.01742158108</v>
      </c>
      <c r="AF12" s="19">
        <f t="shared" si="6"/>
        <v>279654.99999999994</v>
      </c>
    </row>
    <row r="13" spans="1:32">
      <c r="A13">
        <v>12</v>
      </c>
      <c r="B13" t="s">
        <v>346</v>
      </c>
      <c r="C13">
        <v>1483502</v>
      </c>
      <c r="D13">
        <v>1473695</v>
      </c>
      <c r="E13">
        <v>1443146</v>
      </c>
      <c r="F13">
        <v>1406711</v>
      </c>
      <c r="G13">
        <v>1373116</v>
      </c>
      <c r="H13" s="9">
        <f t="shared" si="0"/>
        <v>-1.3256518463572453E-3</v>
      </c>
      <c r="I13" s="10">
        <f t="shared" si="0"/>
        <v>-4.1807162987459456E-3</v>
      </c>
      <c r="J13" s="11">
        <f t="shared" si="0"/>
        <v>-5.1011641058991142E-3</v>
      </c>
      <c r="K13" s="12">
        <f t="shared" si="0"/>
        <v>-4.8226824875629015E-3</v>
      </c>
      <c r="L13" s="17">
        <f t="shared" si="7"/>
        <v>1483502</v>
      </c>
      <c r="M13" s="18">
        <f t="shared" si="8"/>
        <v>1481535.3928346254</v>
      </c>
      <c r="N13" s="18">
        <f t="shared" si="1"/>
        <v>1479571.3927056706</v>
      </c>
      <c r="O13" s="18">
        <f t="shared" si="1"/>
        <v>1477609.996157113</v>
      </c>
      <c r="P13" s="18">
        <f t="shared" si="1"/>
        <v>1475651.1997375113</v>
      </c>
      <c r="Q13" s="18">
        <f t="shared" si="1"/>
        <v>1473695</v>
      </c>
      <c r="R13" s="14">
        <f t="shared" si="9"/>
        <v>1467533.8992941196</v>
      </c>
      <c r="S13" s="14">
        <f t="shared" si="2"/>
        <v>1461398.5564023785</v>
      </c>
      <c r="T13" s="14">
        <f t="shared" si="2"/>
        <v>1455288.8636386632</v>
      </c>
      <c r="U13" s="14">
        <f t="shared" si="2"/>
        <v>1449204.7137670657</v>
      </c>
      <c r="V13" s="14">
        <f t="shared" si="2"/>
        <v>1443146.0000000002</v>
      </c>
      <c r="W13" s="15">
        <f t="shared" si="3"/>
        <v>1435784.2754252281</v>
      </c>
      <c r="X13" s="15">
        <f t="shared" si="4"/>
        <v>1428460.1042156145</v>
      </c>
      <c r="Y13" s="15">
        <f t="shared" si="4"/>
        <v>1421173.2948052809</v>
      </c>
      <c r="Z13" s="15">
        <f t="shared" si="4"/>
        <v>1413923.6566055578</v>
      </c>
      <c r="AA13" s="15">
        <f t="shared" si="4"/>
        <v>1406710.9999999998</v>
      </c>
      <c r="AB13" s="19">
        <f t="shared" si="5"/>
        <v>1399926.879495238</v>
      </c>
      <c r="AC13" s="19">
        <f t="shared" si="6"/>
        <v>1393175.4766496278</v>
      </c>
      <c r="AD13" s="19">
        <f t="shared" si="6"/>
        <v>1386456.6336762875</v>
      </c>
      <c r="AE13" s="19">
        <f t="shared" si="6"/>
        <v>1379770.1935492915</v>
      </c>
      <c r="AF13" s="19">
        <f t="shared" si="6"/>
        <v>1373116</v>
      </c>
    </row>
    <row r="14" spans="1:32">
      <c r="A14">
        <v>13</v>
      </c>
      <c r="B14" t="s">
        <v>347</v>
      </c>
      <c r="C14">
        <v>1014499</v>
      </c>
      <c r="D14">
        <v>1039804</v>
      </c>
      <c r="E14">
        <v>1061190</v>
      </c>
      <c r="F14">
        <v>1078270</v>
      </c>
      <c r="G14">
        <v>1091505</v>
      </c>
      <c r="H14" s="9">
        <f t="shared" si="0"/>
        <v>4.9396277896334162E-3</v>
      </c>
      <c r="I14" s="10">
        <f t="shared" si="0"/>
        <v>4.0800380021561722E-3</v>
      </c>
      <c r="J14" s="11">
        <f t="shared" si="0"/>
        <v>3.198501325176073E-3</v>
      </c>
      <c r="K14" s="12">
        <f t="shared" si="0"/>
        <v>2.4428935942408803E-3</v>
      </c>
      <c r="L14" s="17">
        <f t="shared" si="7"/>
        <v>1014499</v>
      </c>
      <c r="M14" s="18">
        <f t="shared" si="8"/>
        <v>1019510.2474529553</v>
      </c>
      <c r="N14" s="18">
        <f t="shared" si="1"/>
        <v>1024546.2486030899</v>
      </c>
      <c r="O14" s="18">
        <f t="shared" si="1"/>
        <v>1029607.1257244544</v>
      </c>
      <c r="P14" s="18">
        <f t="shared" si="1"/>
        <v>1034693.0016950875</v>
      </c>
      <c r="Q14" s="18">
        <f t="shared" si="1"/>
        <v>1039803.9999999998</v>
      </c>
      <c r="R14" s="14">
        <f t="shared" si="9"/>
        <v>1044046.439834794</v>
      </c>
      <c r="S14" s="14">
        <f t="shared" si="2"/>
        <v>1048306.1889853359</v>
      </c>
      <c r="T14" s="14">
        <f t="shared" si="2"/>
        <v>1052583.3180742916</v>
      </c>
      <c r="U14" s="14">
        <f t="shared" si="2"/>
        <v>1056877.8980124702</v>
      </c>
      <c r="V14" s="14">
        <f t="shared" si="2"/>
        <v>1061190</v>
      </c>
      <c r="W14" s="15">
        <f t="shared" si="3"/>
        <v>1064584.2176212636</v>
      </c>
      <c r="X14" s="15">
        <f t="shared" si="4"/>
        <v>1067989.2916520867</v>
      </c>
      <c r="Y14" s="15">
        <f t="shared" si="4"/>
        <v>1071405.2568167096</v>
      </c>
      <c r="Z14" s="15">
        <f t="shared" si="4"/>
        <v>1074832.1479504385</v>
      </c>
      <c r="AA14" s="15">
        <f t="shared" si="4"/>
        <v>1078269.9999999998</v>
      </c>
      <c r="AB14" s="19">
        <f t="shared" si="5"/>
        <v>1080904.0988758621</v>
      </c>
      <c r="AC14" s="19">
        <f t="shared" si="6"/>
        <v>1083544.6325749946</v>
      </c>
      <c r="AD14" s="19">
        <f t="shared" si="6"/>
        <v>1086191.6168169861</v>
      </c>
      <c r="AE14" s="19">
        <f t="shared" si="6"/>
        <v>1088845.0673598265</v>
      </c>
      <c r="AF14" s="19">
        <f t="shared" si="6"/>
        <v>1091505.0000000007</v>
      </c>
    </row>
    <row r="15" spans="1:32">
      <c r="A15">
        <v>14</v>
      </c>
      <c r="B15" t="s">
        <v>348</v>
      </c>
      <c r="C15">
        <v>662075</v>
      </c>
      <c r="D15">
        <v>640896</v>
      </c>
      <c r="E15">
        <v>626524</v>
      </c>
      <c r="F15">
        <v>615414</v>
      </c>
      <c r="G15">
        <v>605227</v>
      </c>
      <c r="H15" s="9">
        <f t="shared" si="0"/>
        <v>-6.4812346648116526E-3</v>
      </c>
      <c r="I15" s="10">
        <f t="shared" si="0"/>
        <v>-4.525750905537862E-3</v>
      </c>
      <c r="J15" s="11">
        <f t="shared" si="0"/>
        <v>-3.5719791704389436E-3</v>
      </c>
      <c r="K15" s="12">
        <f t="shared" si="0"/>
        <v>-3.3327575514293661E-3</v>
      </c>
      <c r="L15" s="17">
        <f t="shared" si="7"/>
        <v>662075</v>
      </c>
      <c r="M15" s="18">
        <f t="shared" si="8"/>
        <v>657783.93655929482</v>
      </c>
      <c r="N15" s="18">
        <f t="shared" si="1"/>
        <v>653520.68450771039</v>
      </c>
      <c r="O15" s="18">
        <f t="shared" si="1"/>
        <v>649285.06359310762</v>
      </c>
      <c r="P15" s="18">
        <f t="shared" si="1"/>
        <v>645076.89473160356</v>
      </c>
      <c r="Q15" s="18">
        <f t="shared" si="1"/>
        <v>640896</v>
      </c>
      <c r="R15" s="14">
        <f t="shared" si="9"/>
        <v>637995.46434764436</v>
      </c>
      <c r="S15" s="14">
        <f t="shared" si="2"/>
        <v>635108.05579714396</v>
      </c>
      <c r="T15" s="14">
        <f t="shared" si="2"/>
        <v>632233.71493850567</v>
      </c>
      <c r="U15" s="14">
        <f t="shared" si="2"/>
        <v>629372.38263061119</v>
      </c>
      <c r="V15" s="14">
        <f t="shared" si="2"/>
        <v>626524.00000000023</v>
      </c>
      <c r="W15" s="15">
        <f t="shared" si="3"/>
        <v>624286.06932221993</v>
      </c>
      <c r="X15" s="15">
        <f t="shared" si="4"/>
        <v>622056.13248620578</v>
      </c>
      <c r="Y15" s="15">
        <f t="shared" si="4"/>
        <v>619834.16093812126</v>
      </c>
      <c r="Z15" s="15">
        <f t="shared" si="4"/>
        <v>617620.12622612377</v>
      </c>
      <c r="AA15" s="15">
        <f t="shared" si="4"/>
        <v>615414.00000000023</v>
      </c>
      <c r="AB15" s="19">
        <f t="shared" si="5"/>
        <v>613362.97434424469</v>
      </c>
      <c r="AC15" s="19">
        <f t="shared" si="6"/>
        <v>611318.78425973176</v>
      </c>
      <c r="AD15" s="19">
        <f t="shared" si="6"/>
        <v>609281.40696515958</v>
      </c>
      <c r="AE15" s="19">
        <f t="shared" si="6"/>
        <v>607250.81975515094</v>
      </c>
      <c r="AF15" s="19">
        <f t="shared" si="6"/>
        <v>605227.00000000023</v>
      </c>
    </row>
    <row r="16" spans="1:32">
      <c r="A16">
        <v>15</v>
      </c>
      <c r="B16" t="s">
        <v>349</v>
      </c>
      <c r="C16">
        <v>91437</v>
      </c>
      <c r="D16">
        <v>85702</v>
      </c>
      <c r="E16">
        <v>83005</v>
      </c>
      <c r="F16">
        <v>81961</v>
      </c>
      <c r="G16">
        <v>81494</v>
      </c>
      <c r="H16" s="9">
        <f t="shared" si="0"/>
        <v>-1.2871257243937118E-2</v>
      </c>
      <c r="I16" s="10">
        <f t="shared" si="0"/>
        <v>-6.3746582255230777E-3</v>
      </c>
      <c r="J16" s="11">
        <f t="shared" si="0"/>
        <v>-2.528263060945557E-3</v>
      </c>
      <c r="K16" s="12">
        <f t="shared" si="0"/>
        <v>-1.1421725168889729E-3</v>
      </c>
      <c r="L16" s="17">
        <f t="shared" si="7"/>
        <v>91437</v>
      </c>
      <c r="M16" s="18">
        <f t="shared" si="8"/>
        <v>90260.090851386121</v>
      </c>
      <c r="N16" s="18">
        <f t="shared" si="1"/>
        <v>89098.330003176801</v>
      </c>
      <c r="O16" s="18">
        <f t="shared" si="1"/>
        <v>87951.52247770071</v>
      </c>
      <c r="P16" s="18">
        <f t="shared" si="1"/>
        <v>86819.475806894305</v>
      </c>
      <c r="Q16" s="18">
        <f t="shared" si="1"/>
        <v>85702</v>
      </c>
      <c r="R16" s="14">
        <f t="shared" si="9"/>
        <v>85155.679040756222</v>
      </c>
      <c r="S16" s="14">
        <f t="shared" si="2"/>
        <v>84612.840690909055</v>
      </c>
      <c r="T16" s="14">
        <f t="shared" si="2"/>
        <v>84073.462750013874</v>
      </c>
      <c r="U16" s="14">
        <f t="shared" si="2"/>
        <v>83537.523159146294</v>
      </c>
      <c r="V16" s="14">
        <f t="shared" si="2"/>
        <v>83005.000000000015</v>
      </c>
      <c r="W16" s="15">
        <f t="shared" si="3"/>
        <v>82795.141524626219</v>
      </c>
      <c r="X16" s="15">
        <f t="shared" si="4"/>
        <v>82585.813626683754</v>
      </c>
      <c r="Y16" s="15">
        <f t="shared" si="4"/>
        <v>82377.014964733273</v>
      </c>
      <c r="Z16" s="15">
        <f t="shared" si="4"/>
        <v>82168.744200726971</v>
      </c>
      <c r="AA16" s="15">
        <f t="shared" si="4"/>
        <v>81960.999999999985</v>
      </c>
      <c r="AB16" s="19">
        <f t="shared" si="5"/>
        <v>81867.386398343268</v>
      </c>
      <c r="AC16" s="19">
        <f t="shared" si="6"/>
        <v>81773.879719569552</v>
      </c>
      <c r="AD16" s="19">
        <f t="shared" si="6"/>
        <v>81680.479841554479</v>
      </c>
      <c r="AE16" s="19">
        <f t="shared" si="6"/>
        <v>81587.186642313158</v>
      </c>
      <c r="AF16" s="19">
        <f t="shared" si="6"/>
        <v>81494.000000000015</v>
      </c>
    </row>
    <row r="17" spans="1:32">
      <c r="A17">
        <v>16</v>
      </c>
      <c r="B17" t="s">
        <v>350</v>
      </c>
      <c r="C17">
        <v>57076</v>
      </c>
      <c r="D17">
        <v>56456</v>
      </c>
      <c r="E17">
        <v>57302</v>
      </c>
      <c r="F17">
        <v>58250</v>
      </c>
      <c r="G17">
        <v>59418</v>
      </c>
      <c r="H17" s="9">
        <f t="shared" si="0"/>
        <v>-2.1820437476915977E-3</v>
      </c>
      <c r="I17" s="10">
        <f t="shared" si="0"/>
        <v>2.9792197659836983E-3</v>
      </c>
      <c r="J17" s="11">
        <f t="shared" si="0"/>
        <v>3.2871037796888825E-3</v>
      </c>
      <c r="K17" s="12">
        <f t="shared" si="0"/>
        <v>3.9785170341664067E-3</v>
      </c>
      <c r="L17" s="17">
        <f t="shared" si="7"/>
        <v>57076</v>
      </c>
      <c r="M17" s="18">
        <f t="shared" si="8"/>
        <v>56951.457671056756</v>
      </c>
      <c r="N17" s="18">
        <f t="shared" si="1"/>
        <v>56827.187098923707</v>
      </c>
      <c r="O17" s="18">
        <f t="shared" si="1"/>
        <v>56703.187690615603</v>
      </c>
      <c r="P17" s="18">
        <f t="shared" si="1"/>
        <v>56579.458854441109</v>
      </c>
      <c r="Q17" s="18">
        <f t="shared" si="1"/>
        <v>56456</v>
      </c>
      <c r="R17" s="14">
        <f t="shared" si="9"/>
        <v>56624.194831108376</v>
      </c>
      <c r="S17" s="14">
        <f t="shared" si="2"/>
        <v>56792.890751582127</v>
      </c>
      <c r="T17" s="14">
        <f t="shared" si="2"/>
        <v>56962.089254276594</v>
      </c>
      <c r="U17" s="14">
        <f t="shared" si="2"/>
        <v>57131.79183649466</v>
      </c>
      <c r="V17" s="14">
        <f t="shared" si="2"/>
        <v>57302.000000000015</v>
      </c>
      <c r="W17" s="15">
        <f t="shared" si="3"/>
        <v>57490.357620783732</v>
      </c>
      <c r="X17" s="15">
        <f t="shared" si="4"/>
        <v>57679.334392614677</v>
      </c>
      <c r="Y17" s="15">
        <f t="shared" si="4"/>
        <v>57868.932350706578</v>
      </c>
      <c r="Z17" s="15">
        <f t="shared" si="4"/>
        <v>58059.153536963146</v>
      </c>
      <c r="AA17" s="15">
        <f t="shared" si="4"/>
        <v>58250.000000000036</v>
      </c>
      <c r="AB17" s="19">
        <f t="shared" si="5"/>
        <v>58481.748617240191</v>
      </c>
      <c r="AC17" s="19">
        <f t="shared" si="6"/>
        <v>58714.419250301718</v>
      </c>
      <c r="AD17" s="19">
        <f t="shared" si="6"/>
        <v>58948.015567440234</v>
      </c>
      <c r="AE17" s="19">
        <f t="shared" si="6"/>
        <v>59182.541251505601</v>
      </c>
      <c r="AF17" s="19">
        <f t="shared" si="6"/>
        <v>59417.999999999971</v>
      </c>
    </row>
    <row r="18" spans="1:32">
      <c r="A18">
        <v>17</v>
      </c>
      <c r="B18" t="s">
        <v>351</v>
      </c>
      <c r="C18">
        <v>393253</v>
      </c>
      <c r="D18">
        <v>381392</v>
      </c>
      <c r="E18">
        <v>373760</v>
      </c>
      <c r="F18">
        <v>367610</v>
      </c>
      <c r="G18">
        <v>363220</v>
      </c>
      <c r="H18" s="9">
        <f t="shared" si="0"/>
        <v>-6.1063704831966215E-3</v>
      </c>
      <c r="I18" s="10">
        <f t="shared" si="0"/>
        <v>-4.0346064954269734E-3</v>
      </c>
      <c r="J18" s="11">
        <f t="shared" si="0"/>
        <v>-3.3127579898364345E-3</v>
      </c>
      <c r="K18" s="12">
        <f t="shared" si="0"/>
        <v>-2.3998921039007914E-3</v>
      </c>
      <c r="L18" s="17">
        <f t="shared" si="7"/>
        <v>393253</v>
      </c>
      <c r="M18" s="18">
        <f t="shared" si="8"/>
        <v>390851.65148837148</v>
      </c>
      <c r="N18" s="18">
        <f t="shared" si="1"/>
        <v>388464.96650041424</v>
      </c>
      <c r="O18" s="18">
        <f t="shared" si="1"/>
        <v>386092.85549522017</v>
      </c>
      <c r="P18" s="18">
        <f t="shared" si="1"/>
        <v>383735.22947865108</v>
      </c>
      <c r="Q18" s="18">
        <f t="shared" si="1"/>
        <v>381391.99999999994</v>
      </c>
      <c r="R18" s="14">
        <f t="shared" si="9"/>
        <v>379853.23335949611</v>
      </c>
      <c r="S18" s="14">
        <f t="shared" si="2"/>
        <v>378320.67503687495</v>
      </c>
      <c r="T18" s="14">
        <f t="shared" si="2"/>
        <v>376794.29998401686</v>
      </c>
      <c r="U18" s="14">
        <f t="shared" si="2"/>
        <v>375274.08325386146</v>
      </c>
      <c r="V18" s="14">
        <f t="shared" si="2"/>
        <v>373760.00000000006</v>
      </c>
      <c r="W18" s="15">
        <f t="shared" si="3"/>
        <v>372521.82357371872</v>
      </c>
      <c r="X18" s="15">
        <f t="shared" si="4"/>
        <v>371287.74892628647</v>
      </c>
      <c r="Y18" s="15">
        <f t="shared" si="4"/>
        <v>370057.76246950252</v>
      </c>
      <c r="Z18" s="15">
        <f t="shared" si="4"/>
        <v>368831.85066018067</v>
      </c>
      <c r="AA18" s="15">
        <f t="shared" si="4"/>
        <v>367610</v>
      </c>
      <c r="AB18" s="19">
        <f t="shared" si="5"/>
        <v>366727.77566368505</v>
      </c>
      <c r="AC18" s="19">
        <f t="shared" si="6"/>
        <v>365847.66857058869</v>
      </c>
      <c r="AD18" s="19">
        <f t="shared" si="6"/>
        <v>364969.67363955564</v>
      </c>
      <c r="AE18" s="19">
        <f t="shared" si="6"/>
        <v>364093.78580162482</v>
      </c>
      <c r="AF18" s="19">
        <f t="shared" si="6"/>
        <v>363220.00000000017</v>
      </c>
    </row>
    <row r="19" spans="1:32">
      <c r="A19">
        <v>18</v>
      </c>
      <c r="B19" t="s">
        <v>352</v>
      </c>
      <c r="C19">
        <v>265014</v>
      </c>
      <c r="D19">
        <v>306009</v>
      </c>
      <c r="E19">
        <v>323846</v>
      </c>
      <c r="F19">
        <v>334609</v>
      </c>
      <c r="G19">
        <v>342963</v>
      </c>
      <c r="H19" s="9">
        <f t="shared" si="0"/>
        <v>2.9184119850134804E-2</v>
      </c>
      <c r="I19" s="10">
        <f t="shared" si="0"/>
        <v>1.1395151876258058E-2</v>
      </c>
      <c r="J19" s="11">
        <f t="shared" si="0"/>
        <v>6.5603437656802654E-3</v>
      </c>
      <c r="K19" s="12">
        <f t="shared" si="0"/>
        <v>4.9441589460383906E-3</v>
      </c>
      <c r="L19" s="17">
        <f t="shared" si="7"/>
        <v>265014</v>
      </c>
      <c r="M19" s="18">
        <f t="shared" si="8"/>
        <v>272748.20033796364</v>
      </c>
      <c r="N19" s="18">
        <f t="shared" si="1"/>
        <v>280708.11650553538</v>
      </c>
      <c r="O19" s="18">
        <f t="shared" si="1"/>
        <v>288900.33582053852</v>
      </c>
      <c r="P19" s="18">
        <f t="shared" si="1"/>
        <v>297331.63784586929</v>
      </c>
      <c r="Q19" s="18">
        <f t="shared" si="1"/>
        <v>306009</v>
      </c>
      <c r="R19" s="14">
        <f t="shared" si="9"/>
        <v>309496.01903050183</v>
      </c>
      <c r="S19" s="14">
        <f t="shared" si="2"/>
        <v>313022.77317245165</v>
      </c>
      <c r="T19" s="14">
        <f t="shared" si="2"/>
        <v>316589.71521347918</v>
      </c>
      <c r="U19" s="14">
        <f t="shared" si="2"/>
        <v>320197.30310079805</v>
      </c>
      <c r="V19" s="14">
        <f t="shared" si="2"/>
        <v>323845.99999999988</v>
      </c>
      <c r="W19" s="15">
        <f t="shared" si="3"/>
        <v>325970.5410871405</v>
      </c>
      <c r="X19" s="15">
        <f t="shared" si="4"/>
        <v>328109.01989415695</v>
      </c>
      <c r="Y19" s="15">
        <f t="shared" si="4"/>
        <v>330261.52785728307</v>
      </c>
      <c r="Z19" s="15">
        <f t="shared" si="4"/>
        <v>332428.15701260563</v>
      </c>
      <c r="AA19" s="15">
        <f t="shared" si="4"/>
        <v>334608.99999999988</v>
      </c>
      <c r="AB19" s="19">
        <f t="shared" si="5"/>
        <v>336263.36008077493</v>
      </c>
      <c r="AC19" s="19">
        <f t="shared" si="6"/>
        <v>337925.89958074322</v>
      </c>
      <c r="AD19" s="19">
        <f t="shared" si="6"/>
        <v>339596.65894025343</v>
      </c>
      <c r="AE19" s="19">
        <f t="shared" si="6"/>
        <v>341275.6787995976</v>
      </c>
      <c r="AF19" s="19">
        <f t="shared" si="6"/>
        <v>342962.99999999994</v>
      </c>
    </row>
    <row r="20" spans="1:32">
      <c r="A20">
        <v>19</v>
      </c>
      <c r="B20" t="s">
        <v>353</v>
      </c>
      <c r="C20">
        <v>279198</v>
      </c>
      <c r="D20">
        <v>291219</v>
      </c>
      <c r="E20">
        <v>302456</v>
      </c>
      <c r="F20">
        <v>310946</v>
      </c>
      <c r="G20">
        <v>317210</v>
      </c>
      <c r="H20" s="9">
        <f t="shared" si="0"/>
        <v>8.4665106606629514E-3</v>
      </c>
      <c r="I20" s="10">
        <f t="shared" si="0"/>
        <v>7.6007906474138132E-3</v>
      </c>
      <c r="J20" s="11">
        <f t="shared" si="0"/>
        <v>5.5520460599089994E-3</v>
      </c>
      <c r="K20" s="12">
        <f t="shared" si="0"/>
        <v>3.9969167417350793E-3</v>
      </c>
      <c r="L20" s="17">
        <f t="shared" si="7"/>
        <v>279198</v>
      </c>
      <c r="M20" s="18">
        <f t="shared" si="8"/>
        <v>281561.83284343575</v>
      </c>
      <c r="N20" s="18">
        <f t="shared" si="1"/>
        <v>283945.67910284048</v>
      </c>
      <c r="O20" s="18">
        <f t="shared" si="1"/>
        <v>286349.70822201384</v>
      </c>
      <c r="P20" s="18">
        <f t="shared" si="1"/>
        <v>288774.09107935324</v>
      </c>
      <c r="Q20" s="18">
        <f t="shared" si="1"/>
        <v>291218.99999999983</v>
      </c>
      <c r="R20" s="14">
        <f t="shared" si="9"/>
        <v>293432.4946515492</v>
      </c>
      <c r="S20" s="14">
        <f t="shared" si="2"/>
        <v>295662.81361254398</v>
      </c>
      <c r="T20" s="14">
        <f t="shared" si="2"/>
        <v>297910.08476103825</v>
      </c>
      <c r="U20" s="14">
        <f t="shared" si="2"/>
        <v>300174.43694706023</v>
      </c>
      <c r="V20" s="14">
        <f t="shared" si="2"/>
        <v>302456.00000000017</v>
      </c>
      <c r="W20" s="15">
        <f t="shared" si="3"/>
        <v>304135.24964309583</v>
      </c>
      <c r="X20" s="15">
        <f t="shared" si="4"/>
        <v>305823.82255755621</v>
      </c>
      <c r="Y20" s="15">
        <f t="shared" si="4"/>
        <v>307521.77050661319</v>
      </c>
      <c r="Z20" s="15">
        <f t="shared" si="4"/>
        <v>309229.14554089069</v>
      </c>
      <c r="AA20" s="15">
        <f t="shared" si="4"/>
        <v>310946</v>
      </c>
      <c r="AB20" s="19">
        <f t="shared" si="5"/>
        <v>312188.82527317555</v>
      </c>
      <c r="AC20" s="19">
        <f t="shared" si="6"/>
        <v>313436.61801549251</v>
      </c>
      <c r="AD20" s="19">
        <f t="shared" si="6"/>
        <v>314689.39808151143</v>
      </c>
      <c r="AE20" s="19">
        <f t="shared" si="6"/>
        <v>315947.18540514994</v>
      </c>
      <c r="AF20" s="19">
        <f t="shared" si="6"/>
        <v>317209.99999999988</v>
      </c>
    </row>
    <row r="21" spans="1:32">
      <c r="A21">
        <v>20</v>
      </c>
      <c r="B21" t="s">
        <v>354</v>
      </c>
      <c r="C21">
        <v>380150</v>
      </c>
      <c r="D21">
        <v>340382</v>
      </c>
      <c r="E21">
        <v>332449</v>
      </c>
      <c r="F21">
        <v>323896</v>
      </c>
      <c r="G21">
        <v>316688</v>
      </c>
      <c r="H21" s="9">
        <f t="shared" si="0"/>
        <v>-2.1857074535300502E-2</v>
      </c>
      <c r="I21" s="10">
        <f t="shared" si="0"/>
        <v>-4.7053054945648265E-3</v>
      </c>
      <c r="J21" s="11">
        <f t="shared" si="0"/>
        <v>-5.1992346001746848E-3</v>
      </c>
      <c r="K21" s="12">
        <f t="shared" si="0"/>
        <v>-4.4909682141278662E-3</v>
      </c>
      <c r="L21" s="17">
        <f t="shared" si="7"/>
        <v>380150</v>
      </c>
      <c r="M21" s="18">
        <f t="shared" si="8"/>
        <v>371841.03311540553</v>
      </c>
      <c r="N21" s="18">
        <f t="shared" si="1"/>
        <v>363713.67593931896</v>
      </c>
      <c r="O21" s="18">
        <f t="shared" si="1"/>
        <v>355763.95901480515</v>
      </c>
      <c r="P21" s="18">
        <f t="shared" si="1"/>
        <v>347987.99964564497</v>
      </c>
      <c r="Q21" s="18">
        <f t="shared" si="1"/>
        <v>340382</v>
      </c>
      <c r="R21" s="14">
        <f t="shared" si="9"/>
        <v>338780.39870514901</v>
      </c>
      <c r="S21" s="14">
        <f t="shared" si="2"/>
        <v>337186.33343367081</v>
      </c>
      <c r="T21" s="14">
        <f t="shared" si="2"/>
        <v>335599.76872627321</v>
      </c>
      <c r="U21" s="14">
        <f t="shared" si="2"/>
        <v>334020.66929051076</v>
      </c>
      <c r="V21" s="14">
        <f t="shared" si="2"/>
        <v>332448.99999999988</v>
      </c>
      <c r="W21" s="15">
        <f t="shared" si="3"/>
        <v>330720.51965640654</v>
      </c>
      <c r="X21" s="15">
        <f t="shared" si="4"/>
        <v>329001.02608762123</v>
      </c>
      <c r="Y21" s="15">
        <f t="shared" si="4"/>
        <v>327290.47256929352</v>
      </c>
      <c r="Z21" s="15">
        <f t="shared" si="4"/>
        <v>325588.81262000371</v>
      </c>
      <c r="AA21" s="15">
        <f t="shared" si="4"/>
        <v>323896</v>
      </c>
      <c r="AB21" s="19">
        <f t="shared" si="5"/>
        <v>322441.39335931686</v>
      </c>
      <c r="AC21" s="19">
        <f t="shared" si="6"/>
        <v>320993.31931082107</v>
      </c>
      <c r="AD21" s="19">
        <f t="shared" si="6"/>
        <v>319551.74851684878</v>
      </c>
      <c r="AE21" s="19">
        <f t="shared" si="6"/>
        <v>318116.65177149064</v>
      </c>
      <c r="AF21" s="19">
        <f t="shared" si="6"/>
        <v>316688.00000000012</v>
      </c>
    </row>
    <row r="22" spans="1:32">
      <c r="A22">
        <v>21</v>
      </c>
      <c r="B22" t="s">
        <v>355</v>
      </c>
      <c r="C22">
        <v>368538</v>
      </c>
      <c r="D22">
        <v>344685</v>
      </c>
      <c r="E22">
        <v>328080</v>
      </c>
      <c r="F22">
        <v>323774</v>
      </c>
      <c r="G22">
        <v>327094</v>
      </c>
      <c r="H22" s="9">
        <f t="shared" si="0"/>
        <v>-1.3293425596502373E-2</v>
      </c>
      <c r="I22" s="10">
        <f t="shared" si="0"/>
        <v>-9.8261003610056186E-3</v>
      </c>
      <c r="J22" s="11">
        <f t="shared" si="0"/>
        <v>-2.6388599802502632E-3</v>
      </c>
      <c r="K22" s="12">
        <f t="shared" si="0"/>
        <v>2.0424529355205223E-3</v>
      </c>
      <c r="L22" s="17">
        <f t="shared" si="7"/>
        <v>368538</v>
      </c>
      <c r="M22" s="18">
        <f t="shared" si="8"/>
        <v>363638.86751751619</v>
      </c>
      <c r="N22" s="18">
        <f t="shared" si="1"/>
        <v>358804.86128817569</v>
      </c>
      <c r="O22" s="18">
        <f t="shared" si="1"/>
        <v>354035.11556097795</v>
      </c>
      <c r="P22" s="18">
        <f t="shared" si="1"/>
        <v>349328.77609371895</v>
      </c>
      <c r="Q22" s="18">
        <f t="shared" si="1"/>
        <v>344684.99999999988</v>
      </c>
      <c r="R22" s="14">
        <f t="shared" si="9"/>
        <v>341298.0905970668</v>
      </c>
      <c r="S22" s="14">
        <f t="shared" si="2"/>
        <v>337944.46130584041</v>
      </c>
      <c r="T22" s="14">
        <f t="shared" si="2"/>
        <v>334623.78511260322</v>
      </c>
      <c r="U22" s="14">
        <f t="shared" si="2"/>
        <v>331335.73821690719</v>
      </c>
      <c r="V22" s="14">
        <f t="shared" si="2"/>
        <v>328080</v>
      </c>
      <c r="W22" s="15">
        <f t="shared" si="3"/>
        <v>327214.24281767948</v>
      </c>
      <c r="X22" s="15">
        <f t="shared" si="4"/>
        <v>326350.77024734003</v>
      </c>
      <c r="Y22" s="15">
        <f t="shared" si="4"/>
        <v>325489.57626021048</v>
      </c>
      <c r="Z22" s="15">
        <f t="shared" si="4"/>
        <v>324630.65484342881</v>
      </c>
      <c r="AA22" s="15">
        <f t="shared" si="4"/>
        <v>323774.00000000006</v>
      </c>
      <c r="AB22" s="19">
        <f t="shared" si="5"/>
        <v>324435.2931567452</v>
      </c>
      <c r="AC22" s="19">
        <f t="shared" si="6"/>
        <v>325097.93697363965</v>
      </c>
      <c r="AD22" s="19">
        <f t="shared" si="6"/>
        <v>325761.9342093431</v>
      </c>
      <c r="AE22" s="19">
        <f t="shared" si="6"/>
        <v>326427.28762814985</v>
      </c>
      <c r="AF22" s="19">
        <f t="shared" si="6"/>
        <v>327093.99999999994</v>
      </c>
    </row>
    <row r="23" spans="1:32">
      <c r="A23">
        <v>22</v>
      </c>
      <c r="B23" t="s">
        <v>356</v>
      </c>
      <c r="C23">
        <v>139266</v>
      </c>
      <c r="D23">
        <v>151416</v>
      </c>
      <c r="E23">
        <v>158748</v>
      </c>
      <c r="F23">
        <v>159793</v>
      </c>
      <c r="G23">
        <v>162221</v>
      </c>
      <c r="H23" s="9">
        <f t="shared" si="0"/>
        <v>1.6869762561645629E-2</v>
      </c>
      <c r="I23" s="10">
        <f t="shared" si="0"/>
        <v>9.5022672745039838E-3</v>
      </c>
      <c r="J23" s="11">
        <f t="shared" si="0"/>
        <v>1.3130990302856471E-3</v>
      </c>
      <c r="K23" s="12">
        <f t="shared" si="0"/>
        <v>3.020628025551586E-3</v>
      </c>
      <c r="L23" s="17">
        <f t="shared" si="7"/>
        <v>139266</v>
      </c>
      <c r="M23" s="18">
        <f t="shared" si="8"/>
        <v>141615.38435291013</v>
      </c>
      <c r="N23" s="18">
        <f t="shared" si="1"/>
        <v>144004.4022620199</v>
      </c>
      <c r="O23" s="18">
        <f t="shared" si="1"/>
        <v>146433.72233601188</v>
      </c>
      <c r="P23" s="18">
        <f t="shared" si="1"/>
        <v>148904.02446283834</v>
      </c>
      <c r="Q23" s="18">
        <f t="shared" si="1"/>
        <v>151415.99999999988</v>
      </c>
      <c r="R23" s="14">
        <f t="shared" si="9"/>
        <v>152854.7953016363</v>
      </c>
      <c r="S23" s="14">
        <f t="shared" si="2"/>
        <v>154307.26242078203</v>
      </c>
      <c r="T23" s="14">
        <f t="shared" si="2"/>
        <v>155773.53127070132</v>
      </c>
      <c r="U23" s="14">
        <f t="shared" si="2"/>
        <v>157253.73299912884</v>
      </c>
      <c r="V23" s="14">
        <f t="shared" si="2"/>
        <v>158748.00000000006</v>
      </c>
      <c r="W23" s="15">
        <f t="shared" si="3"/>
        <v>158956.45184485978</v>
      </c>
      <c r="X23" s="15">
        <f t="shared" si="4"/>
        <v>159165.17740763491</v>
      </c>
      <c r="Y23" s="15">
        <f t="shared" si="4"/>
        <v>159374.17704774413</v>
      </c>
      <c r="Z23" s="15">
        <f t="shared" si="4"/>
        <v>159583.45112507811</v>
      </c>
      <c r="AA23" s="15">
        <f t="shared" si="4"/>
        <v>159793.00000000009</v>
      </c>
      <c r="AB23" s="19">
        <f t="shared" si="5"/>
        <v>160275.67521408695</v>
      </c>
      <c r="AC23" s="19">
        <f t="shared" si="6"/>
        <v>160759.80841045282</v>
      </c>
      <c r="AD23" s="19">
        <f t="shared" si="6"/>
        <v>161245.40399311975</v>
      </c>
      <c r="AE23" s="19">
        <f t="shared" si="6"/>
        <v>161732.46637941274</v>
      </c>
      <c r="AF23" s="19">
        <f t="shared" si="6"/>
        <v>162220.99999999997</v>
      </c>
    </row>
    <row r="24" spans="1:32">
      <c r="A24">
        <v>23</v>
      </c>
      <c r="B24" t="s">
        <v>357</v>
      </c>
      <c r="C24">
        <v>34910</v>
      </c>
      <c r="D24">
        <v>38755</v>
      </c>
      <c r="E24">
        <v>42503</v>
      </c>
      <c r="F24">
        <v>46217</v>
      </c>
      <c r="G24">
        <v>49913</v>
      </c>
      <c r="H24" s="9">
        <f t="shared" si="0"/>
        <v>2.1117169066729335E-2</v>
      </c>
      <c r="I24" s="10">
        <f t="shared" si="0"/>
        <v>1.8634470944194126E-2</v>
      </c>
      <c r="J24" s="11">
        <f t="shared" si="0"/>
        <v>1.6895752422411148E-2</v>
      </c>
      <c r="K24" s="12">
        <f t="shared" si="0"/>
        <v>1.550574447741937E-2</v>
      </c>
      <c r="L24" s="17">
        <f t="shared" si="7"/>
        <v>34910</v>
      </c>
      <c r="M24" s="18">
        <f t="shared" si="8"/>
        <v>35647.200372119521</v>
      </c>
      <c r="N24" s="18">
        <f t="shared" si="1"/>
        <v>36399.968329133146</v>
      </c>
      <c r="O24" s="18">
        <f t="shared" si="1"/>
        <v>37168.632614363043</v>
      </c>
      <c r="P24" s="18">
        <f t="shared" si="1"/>
        <v>37953.528913259695</v>
      </c>
      <c r="Q24" s="18">
        <f t="shared" si="1"/>
        <v>38755</v>
      </c>
      <c r="R24" s="14">
        <f t="shared" si="9"/>
        <v>39477.178921442246</v>
      </c>
      <c r="S24" s="14">
        <f t="shared" si="2"/>
        <v>40212.815265012614</v>
      </c>
      <c r="T24" s="14">
        <f t="shared" si="2"/>
        <v>40962.159802652735</v>
      </c>
      <c r="U24" s="14">
        <f t="shared" si="2"/>
        <v>41725.467979306704</v>
      </c>
      <c r="V24" s="14">
        <f t="shared" si="2"/>
        <v>42503</v>
      </c>
      <c r="W24" s="15">
        <f t="shared" si="3"/>
        <v>43221.120165209744</v>
      </c>
      <c r="X24" s="15">
        <f t="shared" si="4"/>
        <v>43951.373510940408</v>
      </c>
      <c r="Y24" s="15">
        <f t="shared" si="4"/>
        <v>44693.965036406174</v>
      </c>
      <c r="Z24" s="15">
        <f t="shared" si="4"/>
        <v>45449.103204437197</v>
      </c>
      <c r="AA24" s="15">
        <f t="shared" si="4"/>
        <v>46216.999999999978</v>
      </c>
      <c r="AB24" s="19">
        <f t="shared" si="5"/>
        <v>46933.628992512888</v>
      </c>
      <c r="AC24" s="19">
        <f t="shared" si="6"/>
        <v>47661.369851068797</v>
      </c>
      <c r="AD24" s="19">
        <f t="shared" si="6"/>
        <v>48400.394873423247</v>
      </c>
      <c r="AE24" s="19">
        <f t="shared" si="6"/>
        <v>49150.879028936746</v>
      </c>
      <c r="AF24" s="19">
        <f t="shared" si="6"/>
        <v>49912.999999999993</v>
      </c>
    </row>
    <row r="25" spans="1:32">
      <c r="A25">
        <v>24</v>
      </c>
      <c r="B25" t="s">
        <v>358</v>
      </c>
      <c r="C25">
        <v>110096</v>
      </c>
      <c r="D25">
        <v>109092</v>
      </c>
      <c r="E25">
        <v>105909</v>
      </c>
      <c r="F25">
        <v>105979</v>
      </c>
      <c r="G25">
        <v>108759</v>
      </c>
      <c r="H25" s="9">
        <f t="shared" si="0"/>
        <v>-1.8305523979489369E-3</v>
      </c>
      <c r="I25" s="10">
        <f t="shared" si="0"/>
        <v>-5.9047635717556224E-3</v>
      </c>
      <c r="J25" s="11">
        <f t="shared" si="0"/>
        <v>1.321540206820071E-4</v>
      </c>
      <c r="K25" s="12">
        <f t="shared" si="0"/>
        <v>5.1921253847480031E-3</v>
      </c>
      <c r="L25" s="17">
        <f t="shared" si="7"/>
        <v>110096</v>
      </c>
      <c r="M25" s="18">
        <f t="shared" si="8"/>
        <v>109894.46350319541</v>
      </c>
      <c r="N25" s="18">
        <f t="shared" si="1"/>
        <v>109693.29592950833</v>
      </c>
      <c r="O25" s="18">
        <f t="shared" si="1"/>
        <v>109492.49660360564</v>
      </c>
      <c r="P25" s="18">
        <f t="shared" si="1"/>
        <v>109292.0648513905</v>
      </c>
      <c r="Q25" s="18">
        <f t="shared" si="1"/>
        <v>109092</v>
      </c>
      <c r="R25" s="14">
        <f t="shared" si="9"/>
        <v>108447.83753243003</v>
      </c>
      <c r="S25" s="14">
        <f t="shared" si="2"/>
        <v>107807.47869193286</v>
      </c>
      <c r="T25" s="14">
        <f t="shared" si="2"/>
        <v>107170.90101898991</v>
      </c>
      <c r="U25" s="14">
        <f t="shared" si="2"/>
        <v>106538.08218670075</v>
      </c>
      <c r="V25" s="14">
        <f t="shared" si="2"/>
        <v>105909.00000000001</v>
      </c>
      <c r="W25" s="15">
        <f t="shared" si="3"/>
        <v>105922.99630017641</v>
      </c>
      <c r="X25" s="15">
        <f t="shared" si="4"/>
        <v>105936.99445002017</v>
      </c>
      <c r="Y25" s="15">
        <f t="shared" si="4"/>
        <v>105950.99444977571</v>
      </c>
      <c r="Z25" s="15">
        <f t="shared" si="4"/>
        <v>105964.99629968751</v>
      </c>
      <c r="AA25" s="15">
        <f t="shared" si="4"/>
        <v>105979.00000000007</v>
      </c>
      <c r="AB25" s="19">
        <f t="shared" si="5"/>
        <v>106529.25625615021</v>
      </c>
      <c r="AC25" s="19">
        <f t="shared" si="6"/>
        <v>107082.36951177609</v>
      </c>
      <c r="AD25" s="19">
        <f t="shared" si="6"/>
        <v>107638.35460077715</v>
      </c>
      <c r="AE25" s="19">
        <f t="shared" si="6"/>
        <v>108197.22643407235</v>
      </c>
      <c r="AF25" s="19">
        <f t="shared" si="6"/>
        <v>108759.00000000003</v>
      </c>
    </row>
    <row r="26" spans="1:32">
      <c r="A26">
        <v>25</v>
      </c>
      <c r="B26" t="s">
        <v>359</v>
      </c>
      <c r="C26">
        <v>168478</v>
      </c>
      <c r="D26">
        <v>184485</v>
      </c>
      <c r="E26">
        <v>200619</v>
      </c>
      <c r="F26">
        <v>216799</v>
      </c>
      <c r="G26">
        <v>232950</v>
      </c>
      <c r="H26" s="9">
        <f t="shared" si="0"/>
        <v>1.8318356227608579E-2</v>
      </c>
      <c r="I26" s="10">
        <f t="shared" si="0"/>
        <v>1.6909255552259195E-2</v>
      </c>
      <c r="J26" s="11">
        <f t="shared" si="0"/>
        <v>1.5633559202324454E-2</v>
      </c>
      <c r="K26" s="12">
        <f t="shared" si="0"/>
        <v>1.4474390251853819E-2</v>
      </c>
      <c r="L26" s="17">
        <f t="shared" si="7"/>
        <v>168478</v>
      </c>
      <c r="M26" s="18">
        <f t="shared" si="8"/>
        <v>171564.24002051505</v>
      </c>
      <c r="N26" s="18">
        <f t="shared" si="1"/>
        <v>174707.01488512979</v>
      </c>
      <c r="O26" s="18">
        <f t="shared" si="1"/>
        <v>177907.36021925771</v>
      </c>
      <c r="P26" s="18">
        <f t="shared" si="1"/>
        <v>181166.33061926754</v>
      </c>
      <c r="Q26" s="18">
        <f t="shared" si="1"/>
        <v>184485</v>
      </c>
      <c r="R26" s="14">
        <f t="shared" si="9"/>
        <v>187604.50401055854</v>
      </c>
      <c r="S26" s="14">
        <f t="shared" si="2"/>
        <v>190776.7565116279</v>
      </c>
      <c r="T26" s="14">
        <f t="shared" si="2"/>
        <v>194002.64944091413</v>
      </c>
      <c r="U26" s="14">
        <f t="shared" si="2"/>
        <v>197283.08981812591</v>
      </c>
      <c r="V26" s="14">
        <f t="shared" si="2"/>
        <v>200618.99999999991</v>
      </c>
      <c r="W26" s="15">
        <f t="shared" si="3"/>
        <v>203755.38901361113</v>
      </c>
      <c r="X26" s="15">
        <f t="shared" si="4"/>
        <v>206940.81095054807</v>
      </c>
      <c r="Y26" s="15">
        <f t="shared" si="4"/>
        <v>210176.03236992049</v>
      </c>
      <c r="Z26" s="15">
        <f t="shared" si="4"/>
        <v>213461.83181488531</v>
      </c>
      <c r="AA26" s="15">
        <f t="shared" si="4"/>
        <v>216798.99999999994</v>
      </c>
      <c r="AB26" s="19">
        <f t="shared" si="5"/>
        <v>219937.03333221166</v>
      </c>
      <c r="AC26" s="19">
        <f t="shared" si="6"/>
        <v>223120.48778349708</v>
      </c>
      <c r="AD26" s="19">
        <f t="shared" si="6"/>
        <v>226350.0207968594</v>
      </c>
      <c r="AE26" s="19">
        <f t="shared" si="6"/>
        <v>229626.29933138838</v>
      </c>
      <c r="AF26" s="19">
        <f t="shared" si="6"/>
        <v>232949.99999999988</v>
      </c>
    </row>
    <row r="27" spans="1:32">
      <c r="A27">
        <v>26</v>
      </c>
      <c r="B27" t="s">
        <v>360</v>
      </c>
      <c r="C27">
        <v>108508</v>
      </c>
      <c r="D27">
        <v>114045</v>
      </c>
      <c r="E27">
        <v>119721</v>
      </c>
      <c r="F27">
        <v>125031</v>
      </c>
      <c r="G27">
        <v>129436</v>
      </c>
      <c r="H27" s="9">
        <f t="shared" si="0"/>
        <v>1.0003545126701319E-2</v>
      </c>
      <c r="I27" s="10">
        <f t="shared" si="0"/>
        <v>9.7615215388970888E-3</v>
      </c>
      <c r="J27" s="11">
        <f t="shared" si="0"/>
        <v>8.7173105277611462E-3</v>
      </c>
      <c r="K27" s="12">
        <f t="shared" si="0"/>
        <v>6.9490018260771613E-3</v>
      </c>
      <c r="L27" s="17">
        <f t="shared" si="7"/>
        <v>108508</v>
      </c>
      <c r="M27" s="18">
        <f t="shared" si="8"/>
        <v>109593.46467460811</v>
      </c>
      <c r="N27" s="18">
        <f t="shared" ref="N27:Q28" si="10">M27*(1+$H27)</f>
        <v>110689.7878440721</v>
      </c>
      <c r="O27" s="18">
        <f t="shared" si="10"/>
        <v>111797.07813183527</v>
      </c>
      <c r="P27" s="18">
        <f t="shared" si="10"/>
        <v>112915.44524796044</v>
      </c>
      <c r="Q27" s="18">
        <f t="shared" si="10"/>
        <v>114044.99999999999</v>
      </c>
      <c r="R27" s="14">
        <f t="shared" si="9"/>
        <v>115158.25272390351</v>
      </c>
      <c r="S27" s="14">
        <f t="shared" ref="S27:V28" si="11">R27*(1+$I27)</f>
        <v>116282.37248824965</v>
      </c>
      <c r="T27" s="14">
        <f t="shared" si="11"/>
        <v>117417.46537188775</v>
      </c>
      <c r="U27" s="14">
        <f t="shared" si="11"/>
        <v>118563.63848915814</v>
      </c>
      <c r="V27" s="14">
        <f t="shared" si="11"/>
        <v>119721.00000000006</v>
      </c>
      <c r="W27" s="15">
        <f t="shared" si="3"/>
        <v>120764.6451336941</v>
      </c>
      <c r="X27" s="15">
        <f t="shared" ref="X27:AA28" si="12">W27*(1+$J27)</f>
        <v>121817.38804609938</v>
      </c>
      <c r="Y27" s="15">
        <f t="shared" si="12"/>
        <v>122879.30804537801</v>
      </c>
      <c r="Z27" s="15">
        <f t="shared" si="12"/>
        <v>123950.48513104599</v>
      </c>
      <c r="AA27" s="15">
        <f t="shared" si="12"/>
        <v>125030.99999999996</v>
      </c>
      <c r="AB27" s="19">
        <f t="shared" si="5"/>
        <v>125899.84064731625</v>
      </c>
      <c r="AC27" s="19">
        <f t="shared" ref="AC27:AF28" si="13">AB27*(1+$K27)</f>
        <v>126774.71886987727</v>
      </c>
      <c r="AD27" s="19">
        <f t="shared" si="13"/>
        <v>127655.67662280446</v>
      </c>
      <c r="AE27" s="19">
        <f t="shared" si="13"/>
        <v>128542.75615276545</v>
      </c>
      <c r="AF27" s="19">
        <f t="shared" si="13"/>
        <v>129436</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0"/>
        <v>0</v>
      </c>
      <c r="L28" s="17">
        <f t="shared" si="7"/>
        <v>165172</v>
      </c>
      <c r="M28" s="18">
        <f t="shared" si="8"/>
        <v>165137.78582850515</v>
      </c>
      <c r="N28" s="18">
        <f t="shared" si="10"/>
        <v>165103.57874422564</v>
      </c>
      <c r="O28" s="18">
        <f t="shared" si="10"/>
        <v>165069.37874569339</v>
      </c>
      <c r="P28" s="18">
        <f t="shared" si="10"/>
        <v>165035.18583144067</v>
      </c>
      <c r="Q28" s="18">
        <f t="shared" si="10"/>
        <v>165001</v>
      </c>
      <c r="R28" s="14">
        <f t="shared" si="9"/>
        <v>165001</v>
      </c>
      <c r="S28" s="14">
        <f t="shared" si="11"/>
        <v>165001</v>
      </c>
      <c r="T28" s="14">
        <f t="shared" si="11"/>
        <v>165001</v>
      </c>
      <c r="U28" s="14">
        <f t="shared" si="11"/>
        <v>165001</v>
      </c>
      <c r="V28" s="14">
        <f t="shared" si="11"/>
        <v>165001</v>
      </c>
      <c r="W28" s="15">
        <f t="shared" si="3"/>
        <v>165001</v>
      </c>
      <c r="X28" s="15">
        <f t="shared" si="12"/>
        <v>165001</v>
      </c>
      <c r="Y28" s="15">
        <f t="shared" si="12"/>
        <v>165001</v>
      </c>
      <c r="Z28" s="15">
        <f t="shared" si="12"/>
        <v>165001</v>
      </c>
      <c r="AA28" s="15">
        <f t="shared" si="12"/>
        <v>165001</v>
      </c>
      <c r="AB28" s="19">
        <f t="shared" si="5"/>
        <v>165001</v>
      </c>
      <c r="AC28" s="19">
        <f t="shared" si="13"/>
        <v>165001</v>
      </c>
      <c r="AD28" s="19">
        <f t="shared" si="13"/>
        <v>165001</v>
      </c>
      <c r="AE28" s="19">
        <f t="shared" si="13"/>
        <v>165001</v>
      </c>
      <c r="AF28" s="19">
        <f t="shared" si="13"/>
        <v>165001</v>
      </c>
    </row>
    <row r="30" spans="1:32">
      <c r="Q30" s="18" t="b">
        <f>Q2=D2</f>
        <v>1</v>
      </c>
      <c r="V30" s="18" t="b">
        <f>V2=E2</f>
        <v>1</v>
      </c>
      <c r="AA30" s="18" t="b">
        <f>AA2=F2</f>
        <v>1</v>
      </c>
      <c r="AF30" s="18" t="b">
        <f>AF2=G2</f>
        <v>1</v>
      </c>
    </row>
    <row r="32" spans="1:32">
      <c r="B32" t="s">
        <v>448</v>
      </c>
    </row>
    <row r="33" spans="1:23">
      <c r="A33" t="str">
        <f>A1</f>
        <v>ID</v>
      </c>
      <c r="B33" t="str">
        <f>B1</f>
        <v>Land Cover</v>
      </c>
      <c r="C33" s="29">
        <f>L1</f>
        <v>2025</v>
      </c>
      <c r="D33" s="29">
        <f t="shared" ref="D33:W45" si="14">M1</f>
        <v>2026</v>
      </c>
      <c r="E33" s="29">
        <f t="shared" si="14"/>
        <v>2027</v>
      </c>
      <c r="F33" s="29">
        <f t="shared" si="14"/>
        <v>2028</v>
      </c>
      <c r="G33" s="29">
        <f t="shared" si="14"/>
        <v>2029</v>
      </c>
      <c r="H33" s="29">
        <f t="shared" si="14"/>
        <v>2030</v>
      </c>
      <c r="I33" s="29">
        <f t="shared" si="14"/>
        <v>2031</v>
      </c>
      <c r="J33" s="29">
        <f t="shared" si="14"/>
        <v>2032</v>
      </c>
      <c r="K33" s="29">
        <f t="shared" si="14"/>
        <v>2033</v>
      </c>
      <c r="L33" s="29">
        <f t="shared" si="14"/>
        <v>2034</v>
      </c>
      <c r="M33" s="29">
        <f t="shared" si="14"/>
        <v>2035</v>
      </c>
      <c r="N33" s="29">
        <f t="shared" si="14"/>
        <v>2036</v>
      </c>
      <c r="O33" s="29">
        <f t="shared" si="14"/>
        <v>2037</v>
      </c>
      <c r="P33" s="29">
        <f t="shared" si="14"/>
        <v>2038</v>
      </c>
      <c r="Q33" s="29">
        <f t="shared" si="14"/>
        <v>2039</v>
      </c>
      <c r="R33" s="29">
        <f t="shared" si="14"/>
        <v>2040</v>
      </c>
      <c r="S33" s="29">
        <f t="shared" si="14"/>
        <v>2041</v>
      </c>
      <c r="T33" s="29">
        <f t="shared" si="14"/>
        <v>2042</v>
      </c>
      <c r="U33" s="29">
        <f t="shared" si="14"/>
        <v>2043</v>
      </c>
      <c r="V33" s="29">
        <f t="shared" si="14"/>
        <v>2044</v>
      </c>
      <c r="W33" s="29">
        <f t="shared" si="14"/>
        <v>2045</v>
      </c>
    </row>
    <row r="34" spans="1:23">
      <c r="A34">
        <f t="shared" ref="A34:B49" si="15">A2</f>
        <v>1</v>
      </c>
      <c r="B34" t="str">
        <f t="shared" si="15"/>
        <v>Hutan lahan kering primer</v>
      </c>
      <c r="C34" s="29">
        <f>L2</f>
        <v>281147</v>
      </c>
      <c r="D34" s="29">
        <f t="shared" si="14"/>
        <v>275961.40519691119</v>
      </c>
      <c r="E34" s="29">
        <f t="shared" si="14"/>
        <v>270871.45570912655</v>
      </c>
      <c r="F34" s="29">
        <f t="shared" si="14"/>
        <v>265875.38741378515</v>
      </c>
      <c r="G34" s="29">
        <f t="shared" si="14"/>
        <v>260971.46872625817</v>
      </c>
      <c r="H34" s="29">
        <f t="shared" si="14"/>
        <v>256157.99999999991</v>
      </c>
      <c r="I34" s="29">
        <f t="shared" si="14"/>
        <v>253404.43412886368</v>
      </c>
      <c r="J34" s="29">
        <f t="shared" si="14"/>
        <v>250680.46766515044</v>
      </c>
      <c r="K34" s="29">
        <f t="shared" si="14"/>
        <v>247985.78243055596</v>
      </c>
      <c r="L34" s="29">
        <f t="shared" si="14"/>
        <v>245320.06366702792</v>
      </c>
      <c r="M34" s="29">
        <f t="shared" si="14"/>
        <v>242683.00000000006</v>
      </c>
      <c r="N34" s="29">
        <f t="shared" si="14"/>
        <v>241125.12683951354</v>
      </c>
      <c r="O34" s="29">
        <f t="shared" si="14"/>
        <v>239577.25425090134</v>
      </c>
      <c r="P34" s="29">
        <f t="shared" si="14"/>
        <v>238039.31803674327</v>
      </c>
      <c r="Q34" s="29">
        <f t="shared" si="14"/>
        <v>236511.25441172649</v>
      </c>
      <c r="R34" s="29">
        <f t="shared" si="14"/>
        <v>234993.00000000003</v>
      </c>
      <c r="S34" s="29">
        <f t="shared" si="14"/>
        <v>234148.75562838794</v>
      </c>
      <c r="T34" s="29">
        <f t="shared" si="14"/>
        <v>233307.54431971392</v>
      </c>
      <c r="U34" s="29">
        <f t="shared" si="14"/>
        <v>232469.35517728608</v>
      </c>
      <c r="V34" s="29">
        <f t="shared" si="14"/>
        <v>231634.17734356035</v>
      </c>
      <c r="W34" s="29">
        <f t="shared" si="14"/>
        <v>230801.99999999994</v>
      </c>
    </row>
    <row r="35" spans="1:23">
      <c r="A35">
        <f t="shared" si="15"/>
        <v>2</v>
      </c>
      <c r="B35" t="str">
        <f t="shared" si="15"/>
        <v>Hutan sekunder kerapatan tinggi</v>
      </c>
      <c r="C35" s="29">
        <f t="shared" ref="C35:R49" si="16">L3</f>
        <v>268650</v>
      </c>
      <c r="D35" s="29">
        <f t="shared" si="14"/>
        <v>267129.48541786231</v>
      </c>
      <c r="E35" s="29">
        <f t="shared" si="14"/>
        <v>265617.57669686177</v>
      </c>
      <c r="F35" s="29">
        <f t="shared" si="14"/>
        <v>264114.22512924718</v>
      </c>
      <c r="G35" s="29">
        <f t="shared" si="14"/>
        <v>262619.38228294521</v>
      </c>
      <c r="H35" s="29">
        <f t="shared" si="14"/>
        <v>261133.00000000006</v>
      </c>
      <c r="I35" s="29">
        <f t="shared" si="14"/>
        <v>260189.81113874738</v>
      </c>
      <c r="J35" s="29">
        <f t="shared" si="14"/>
        <v>259250.02899065622</v>
      </c>
      <c r="K35" s="29">
        <f t="shared" si="14"/>
        <v>258313.64125098562</v>
      </c>
      <c r="L35" s="29">
        <f t="shared" si="14"/>
        <v>257380.63565943827</v>
      </c>
      <c r="M35" s="29">
        <f t="shared" si="14"/>
        <v>256450.99999999997</v>
      </c>
      <c r="N35" s="29">
        <f t="shared" si="14"/>
        <v>255203.11457979825</v>
      </c>
      <c r="O35" s="29">
        <f t="shared" si="14"/>
        <v>253961.30134501183</v>
      </c>
      <c r="P35" s="29">
        <f t="shared" si="14"/>
        <v>252725.53074850838</v>
      </c>
      <c r="Q35" s="29">
        <f t="shared" si="14"/>
        <v>251495.77338693125</v>
      </c>
      <c r="R35" s="29">
        <f t="shared" si="14"/>
        <v>250271.99999999994</v>
      </c>
      <c r="S35" s="29">
        <f t="shared" si="14"/>
        <v>248683.15416504233</v>
      </c>
      <c r="T35" s="29">
        <f t="shared" si="14"/>
        <v>247104.39508004973</v>
      </c>
      <c r="U35" s="29">
        <f t="shared" si="14"/>
        <v>245535.65870953017</v>
      </c>
      <c r="V35" s="29">
        <f t="shared" si="14"/>
        <v>243976.88142451935</v>
      </c>
      <c r="W35" s="29">
        <f t="shared" si="14"/>
        <v>242427.99999999997</v>
      </c>
    </row>
    <row r="36" spans="1:23">
      <c r="A36">
        <f t="shared" si="15"/>
        <v>3</v>
      </c>
      <c r="B36" t="str">
        <f t="shared" si="15"/>
        <v>Hutan sekunder kerapatan rendah</v>
      </c>
      <c r="C36" s="29">
        <f t="shared" si="16"/>
        <v>182483</v>
      </c>
      <c r="D36" s="29">
        <f t="shared" si="14"/>
        <v>187204.83533475158</v>
      </c>
      <c r="E36" s="29">
        <f t="shared" si="14"/>
        <v>192048.85042832184</v>
      </c>
      <c r="F36" s="29">
        <f t="shared" si="14"/>
        <v>197018.20674069543</v>
      </c>
      <c r="G36" s="29">
        <f t="shared" si="14"/>
        <v>202116.14753615367</v>
      </c>
      <c r="H36" s="29">
        <f t="shared" si="14"/>
        <v>207346</v>
      </c>
      <c r="I36" s="29">
        <f t="shared" si="14"/>
        <v>211010.93116647884</v>
      </c>
      <c r="J36" s="29">
        <f t="shared" si="14"/>
        <v>214740.64159301107</v>
      </c>
      <c r="K36" s="29">
        <f t="shared" si="14"/>
        <v>218536.27628132861</v>
      </c>
      <c r="L36" s="29">
        <f t="shared" si="14"/>
        <v>222399.00047156942</v>
      </c>
      <c r="M36" s="29">
        <f t="shared" si="14"/>
        <v>226330.00000000015</v>
      </c>
      <c r="N36" s="29">
        <f t="shared" si="14"/>
        <v>228860.95806921681</v>
      </c>
      <c r="O36" s="29">
        <f t="shared" si="14"/>
        <v>231420.2188325004</v>
      </c>
      <c r="P36" s="29">
        <f t="shared" si="14"/>
        <v>234008.09878758385</v>
      </c>
      <c r="Q36" s="29">
        <f t="shared" si="14"/>
        <v>236624.91797146809</v>
      </c>
      <c r="R36" s="29">
        <f t="shared" si="14"/>
        <v>239271.00000000012</v>
      </c>
      <c r="S36" s="29">
        <f t="shared" si="14"/>
        <v>241436.64114649958</v>
      </c>
      <c r="T36" s="29">
        <f t="shared" si="14"/>
        <v>243621.88350491121</v>
      </c>
      <c r="U36" s="29">
        <f t="shared" si="14"/>
        <v>245826.90448574867</v>
      </c>
      <c r="V36" s="29">
        <f t="shared" si="14"/>
        <v>248051.88310526777</v>
      </c>
      <c r="W36" s="29">
        <f t="shared" si="14"/>
        <v>250296.99999999997</v>
      </c>
    </row>
    <row r="37" spans="1:23">
      <c r="A37">
        <f t="shared" si="15"/>
        <v>4</v>
      </c>
      <c r="B37" t="str">
        <f t="shared" si="15"/>
        <v>Hutan rawa primer</v>
      </c>
      <c r="C37" s="29">
        <f t="shared" si="16"/>
        <v>34376</v>
      </c>
      <c r="D37" s="29">
        <f t="shared" si="14"/>
        <v>34119.603714164594</v>
      </c>
      <c r="E37" s="29">
        <f t="shared" si="14"/>
        <v>33865.119781581168</v>
      </c>
      <c r="F37" s="29">
        <f t="shared" si="14"/>
        <v>33612.533938802233</v>
      </c>
      <c r="G37" s="29">
        <f t="shared" si="14"/>
        <v>33361.832028765421</v>
      </c>
      <c r="H37" s="29">
        <f t="shared" si="14"/>
        <v>33113</v>
      </c>
      <c r="I37" s="29">
        <f t="shared" si="14"/>
        <v>32957.75105257854</v>
      </c>
      <c r="J37" s="29">
        <f t="shared" si="14"/>
        <v>32803.22998350321</v>
      </c>
      <c r="K37" s="29">
        <f t="shared" si="14"/>
        <v>32649.433380146129</v>
      </c>
      <c r="L37" s="29">
        <f t="shared" si="14"/>
        <v>32496.357845879382</v>
      </c>
      <c r="M37" s="29">
        <f t="shared" si="14"/>
        <v>32344</v>
      </c>
      <c r="N37" s="29">
        <f t="shared" si="14"/>
        <v>32233.852333576491</v>
      </c>
      <c r="O37" s="29">
        <f t="shared" si="14"/>
        <v>32124.079775624989</v>
      </c>
      <c r="P37" s="29">
        <f t="shared" si="14"/>
        <v>32014.681048711569</v>
      </c>
      <c r="Q37" s="29">
        <f t="shared" si="14"/>
        <v>31905.654879752612</v>
      </c>
      <c r="R37" s="29">
        <f t="shared" si="14"/>
        <v>31797</v>
      </c>
      <c r="S37" s="29">
        <f t="shared" si="14"/>
        <v>31702.034439527859</v>
      </c>
      <c r="T37" s="29">
        <f t="shared" si="14"/>
        <v>31607.352505110874</v>
      </c>
      <c r="U37" s="29">
        <f t="shared" si="14"/>
        <v>31512.953349665757</v>
      </c>
      <c r="V37" s="29">
        <f t="shared" si="14"/>
        <v>31418.836128639137</v>
      </c>
      <c r="W37" s="29">
        <f t="shared" si="14"/>
        <v>31325</v>
      </c>
    </row>
    <row r="38" spans="1:23">
      <c r="A38">
        <f t="shared" si="15"/>
        <v>5</v>
      </c>
      <c r="B38" t="str">
        <f t="shared" si="15"/>
        <v>Hutan rawa sekunder</v>
      </c>
      <c r="C38" s="29">
        <f t="shared" si="16"/>
        <v>436939</v>
      </c>
      <c r="D38" s="29">
        <f t="shared" si="14"/>
        <v>436782.08734014427</v>
      </c>
      <c r="E38" s="29">
        <f t="shared" si="14"/>
        <v>436625.2310304491</v>
      </c>
      <c r="F38" s="29">
        <f t="shared" si="14"/>
        <v>436468.43105067819</v>
      </c>
      <c r="G38" s="29">
        <f t="shared" si="14"/>
        <v>436311.68738060247</v>
      </c>
      <c r="H38" s="29">
        <f t="shared" si="14"/>
        <v>436155.00000000006</v>
      </c>
      <c r="I38" s="29">
        <f t="shared" si="14"/>
        <v>435974.04991871933</v>
      </c>
      <c r="J38" s="29">
        <f t="shared" si="14"/>
        <v>435793.17490921798</v>
      </c>
      <c r="K38" s="29">
        <f t="shared" si="14"/>
        <v>435612.37494035048</v>
      </c>
      <c r="L38" s="29">
        <f t="shared" si="14"/>
        <v>435431.64998098434</v>
      </c>
      <c r="M38" s="29">
        <f t="shared" si="14"/>
        <v>435250.99999999994</v>
      </c>
      <c r="N38" s="29">
        <f t="shared" si="14"/>
        <v>435046.80850308534</v>
      </c>
      <c r="O38" s="29">
        <f t="shared" si="14"/>
        <v>434842.71279955748</v>
      </c>
      <c r="P38" s="29">
        <f t="shared" si="14"/>
        <v>434638.71284447645</v>
      </c>
      <c r="Q38" s="29">
        <f t="shared" si="14"/>
        <v>434434.80859292328</v>
      </c>
      <c r="R38" s="29">
        <f t="shared" si="14"/>
        <v>434231.00000000006</v>
      </c>
      <c r="S38" s="29">
        <f t="shared" si="14"/>
        <v>434019.59425404365</v>
      </c>
      <c r="T38" s="29">
        <f t="shared" si="14"/>
        <v>433808.29143116146</v>
      </c>
      <c r="U38" s="29">
        <f t="shared" si="14"/>
        <v>433597.0914812453</v>
      </c>
      <c r="V38" s="29">
        <f t="shared" si="14"/>
        <v>433385.99435421132</v>
      </c>
      <c r="W38" s="29">
        <f t="shared" si="14"/>
        <v>433175.00000000012</v>
      </c>
    </row>
    <row r="39" spans="1:23">
      <c r="A39">
        <f t="shared" si="15"/>
        <v>6</v>
      </c>
      <c r="B39" t="str">
        <f t="shared" si="15"/>
        <v>Hutan mangrove primer</v>
      </c>
      <c r="C39" s="29">
        <f t="shared" si="16"/>
        <v>99848</v>
      </c>
      <c r="D39" s="29">
        <f t="shared" si="14"/>
        <v>100099.33153706881</v>
      </c>
      <c r="E39" s="29">
        <f t="shared" si="14"/>
        <v>100351.29571116115</v>
      </c>
      <c r="F39" s="29">
        <f t="shared" si="14"/>
        <v>100603.89411471387</v>
      </c>
      <c r="G39" s="29">
        <f t="shared" si="14"/>
        <v>100857.12834417223</v>
      </c>
      <c r="H39" s="29">
        <f t="shared" si="14"/>
        <v>101110.99999999996</v>
      </c>
      <c r="I39" s="29">
        <f t="shared" si="14"/>
        <v>100906.17180754028</v>
      </c>
      <c r="J39" s="29">
        <f t="shared" si="14"/>
        <v>100701.75855102646</v>
      </c>
      <c r="K39" s="29">
        <f t="shared" si="14"/>
        <v>100497.75938989145</v>
      </c>
      <c r="L39" s="29">
        <f t="shared" si="14"/>
        <v>100294.17348527095</v>
      </c>
      <c r="M39" s="29">
        <f t="shared" si="14"/>
        <v>100091.00000000001</v>
      </c>
      <c r="N39" s="29">
        <f t="shared" si="14"/>
        <v>99932.700069592829</v>
      </c>
      <c r="O39" s="29">
        <f t="shared" si="14"/>
        <v>99774.650500036951</v>
      </c>
      <c r="P39" s="29">
        <f t="shared" si="14"/>
        <v>99616.850895371637</v>
      </c>
      <c r="Q39" s="29">
        <f t="shared" si="14"/>
        <v>99459.300860262403</v>
      </c>
      <c r="R39" s="29">
        <f t="shared" si="14"/>
        <v>99301.999999999985</v>
      </c>
      <c r="S39" s="29">
        <f t="shared" si="14"/>
        <v>99149.532523685339</v>
      </c>
      <c r="T39" s="29">
        <f t="shared" si="14"/>
        <v>98997.299144683246</v>
      </c>
      <c r="U39" s="29">
        <f t="shared" si="14"/>
        <v>98845.299503562652</v>
      </c>
      <c r="V39" s="29">
        <f t="shared" si="14"/>
        <v>98693.533241444311</v>
      </c>
      <c r="W39" s="29">
        <f t="shared" si="14"/>
        <v>98542.000000000029</v>
      </c>
    </row>
    <row r="40" spans="1:23">
      <c r="A40">
        <f t="shared" si="15"/>
        <v>7</v>
      </c>
      <c r="B40" t="str">
        <f t="shared" si="15"/>
        <v>Hutan mangrove sekunder</v>
      </c>
      <c r="C40" s="29">
        <f t="shared" si="16"/>
        <v>109515</v>
      </c>
      <c r="D40" s="29">
        <f t="shared" si="14"/>
        <v>107112.69327735881</v>
      </c>
      <c r="E40" s="29">
        <f t="shared" si="14"/>
        <v>104763.08324092175</v>
      </c>
      <c r="F40" s="29">
        <f t="shared" si="14"/>
        <v>102465.01394306954</v>
      </c>
      <c r="G40" s="29">
        <f t="shared" si="14"/>
        <v>100217.3547928987</v>
      </c>
      <c r="H40" s="29">
        <f t="shared" si="14"/>
        <v>98019.000000000015</v>
      </c>
      <c r="I40" s="29">
        <f t="shared" si="14"/>
        <v>97141.218718306365</v>
      </c>
      <c r="J40" s="29">
        <f t="shared" si="14"/>
        <v>96271.298157273952</v>
      </c>
      <c r="K40" s="29">
        <f t="shared" si="14"/>
        <v>95409.167922454144</v>
      </c>
      <c r="L40" s="29">
        <f t="shared" si="14"/>
        <v>94554.758249795836</v>
      </c>
      <c r="M40" s="29">
        <f t="shared" si="14"/>
        <v>93708</v>
      </c>
      <c r="N40" s="29">
        <f t="shared" si="14"/>
        <v>93040.971318267009</v>
      </c>
      <c r="O40" s="29">
        <f t="shared" si="14"/>
        <v>92378.690654443417</v>
      </c>
      <c r="P40" s="29">
        <f t="shared" si="14"/>
        <v>91721.124211370741</v>
      </c>
      <c r="Q40" s="29">
        <f t="shared" si="14"/>
        <v>91068.238432464146</v>
      </c>
      <c r="R40" s="29">
        <f t="shared" si="14"/>
        <v>90419.999999999971</v>
      </c>
      <c r="S40" s="29">
        <f t="shared" si="14"/>
        <v>89960.758678637852</v>
      </c>
      <c r="T40" s="29">
        <f t="shared" si="14"/>
        <v>89503.849834506924</v>
      </c>
      <c r="U40" s="29">
        <f t="shared" si="14"/>
        <v>89049.261621003301</v>
      </c>
      <c r="V40" s="29">
        <f t="shared" si="14"/>
        <v>88596.982251691734</v>
      </c>
      <c r="W40" s="29">
        <f t="shared" si="14"/>
        <v>88147.000000000015</v>
      </c>
    </row>
    <row r="41" spans="1:23">
      <c r="A41">
        <f t="shared" si="15"/>
        <v>8</v>
      </c>
      <c r="B41" t="str">
        <f t="shared" si="15"/>
        <v>Tanaman kayu industri</v>
      </c>
      <c r="C41" s="29">
        <f t="shared" si="16"/>
        <v>417121</v>
      </c>
      <c r="D41" s="29">
        <f t="shared" si="14"/>
        <v>422038.28890604404</v>
      </c>
      <c r="E41" s="29">
        <f t="shared" si="14"/>
        <v>427013.54595606908</v>
      </c>
      <c r="F41" s="29">
        <f t="shared" si="14"/>
        <v>432047.45451560046</v>
      </c>
      <c r="G41" s="29">
        <f t="shared" si="14"/>
        <v>437140.70600611309</v>
      </c>
      <c r="H41" s="29">
        <f t="shared" si="14"/>
        <v>442294</v>
      </c>
      <c r="I41" s="29">
        <f t="shared" si="14"/>
        <v>442677.13564490434</v>
      </c>
      <c r="J41" s="29">
        <f t="shared" si="14"/>
        <v>443060.6031797335</v>
      </c>
      <c r="K41" s="29">
        <f t="shared" si="14"/>
        <v>443444.40289198596</v>
      </c>
      <c r="L41" s="29">
        <f t="shared" si="14"/>
        <v>443828.53506940923</v>
      </c>
      <c r="M41" s="29">
        <f t="shared" si="14"/>
        <v>444213.00000000012</v>
      </c>
      <c r="N41" s="29">
        <f t="shared" si="14"/>
        <v>443388.34382428735</v>
      </c>
      <c r="O41" s="29">
        <f t="shared" si="14"/>
        <v>442565.21857587341</v>
      </c>
      <c r="P41" s="29">
        <f t="shared" si="14"/>
        <v>441743.62141267874</v>
      </c>
      <c r="Q41" s="29">
        <f t="shared" si="14"/>
        <v>440923.54949789995</v>
      </c>
      <c r="R41" s="29">
        <f t="shared" si="14"/>
        <v>440105.00000000012</v>
      </c>
      <c r="S41" s="29">
        <f t="shared" si="14"/>
        <v>438010.76380207005</v>
      </c>
      <c r="T41" s="29">
        <f t="shared" si="14"/>
        <v>435926.49301069696</v>
      </c>
      <c r="U41" s="29">
        <f t="shared" si="14"/>
        <v>433852.14020557166</v>
      </c>
      <c r="V41" s="29">
        <f t="shared" si="14"/>
        <v>431787.65819203423</v>
      </c>
      <c r="W41" s="29">
        <f t="shared" si="14"/>
        <v>429733.00000000012</v>
      </c>
    </row>
    <row r="42" spans="1:23">
      <c r="A42">
        <f t="shared" si="15"/>
        <v>9</v>
      </c>
      <c r="B42" t="str">
        <f t="shared" si="15"/>
        <v>Kebun campuran</v>
      </c>
      <c r="C42" s="29">
        <f t="shared" si="16"/>
        <v>204935</v>
      </c>
      <c r="D42" s="29">
        <f t="shared" si="14"/>
        <v>200658.17930130687</v>
      </c>
      <c r="E42" s="29">
        <f t="shared" si="14"/>
        <v>196470.6122454213</v>
      </c>
      <c r="F42" s="29">
        <f t="shared" si="14"/>
        <v>192370.43618405488</v>
      </c>
      <c r="G42" s="29">
        <f t="shared" si="14"/>
        <v>188355.82734081877</v>
      </c>
      <c r="H42" s="29">
        <f t="shared" si="14"/>
        <v>184425.00000000006</v>
      </c>
      <c r="I42" s="29">
        <f t="shared" si="14"/>
        <v>184466.38142543961</v>
      </c>
      <c r="J42" s="29">
        <f t="shared" si="14"/>
        <v>184507.77213607577</v>
      </c>
      <c r="K42" s="29">
        <f t="shared" si="14"/>
        <v>184549.17213399187</v>
      </c>
      <c r="L42" s="29">
        <f t="shared" si="14"/>
        <v>184590.58142127184</v>
      </c>
      <c r="M42" s="29">
        <f t="shared" si="14"/>
        <v>184632</v>
      </c>
      <c r="N42" s="29">
        <f t="shared" si="14"/>
        <v>185059.0201865196</v>
      </c>
      <c r="O42" s="29">
        <f t="shared" si="14"/>
        <v>185487.02799295174</v>
      </c>
      <c r="P42" s="29">
        <f t="shared" si="14"/>
        <v>185916.02570348143</v>
      </c>
      <c r="Q42" s="29">
        <f t="shared" si="14"/>
        <v>186346.0156075765</v>
      </c>
      <c r="R42" s="29">
        <f t="shared" si="14"/>
        <v>186776.99999999997</v>
      </c>
      <c r="S42" s="29">
        <f t="shared" si="14"/>
        <v>186923.76915659828</v>
      </c>
      <c r="T42" s="29">
        <f t="shared" si="14"/>
        <v>187070.65364423482</v>
      </c>
      <c r="U42" s="29">
        <f t="shared" si="14"/>
        <v>187217.65355353657</v>
      </c>
      <c r="V42" s="29">
        <f t="shared" si="14"/>
        <v>187364.76897520179</v>
      </c>
      <c r="W42" s="29">
        <f t="shared" si="14"/>
        <v>187511.99999999994</v>
      </c>
    </row>
    <row r="43" spans="1:23">
      <c r="A43">
        <f t="shared" si="15"/>
        <v>10</v>
      </c>
      <c r="B43" t="str">
        <f t="shared" si="15"/>
        <v>Agroforestri kopi</v>
      </c>
      <c r="C43" s="29">
        <f t="shared" si="16"/>
        <v>532082</v>
      </c>
      <c r="D43" s="29">
        <f t="shared" si="14"/>
        <v>541483.07330048934</v>
      </c>
      <c r="E43" s="29">
        <f t="shared" si="14"/>
        <v>551050.24915509846</v>
      </c>
      <c r="F43" s="29">
        <f t="shared" si="14"/>
        <v>560786.46234133665</v>
      </c>
      <c r="G43" s="29">
        <f t="shared" si="14"/>
        <v>570694.69948973297</v>
      </c>
      <c r="H43" s="29">
        <f t="shared" si="14"/>
        <v>580777.99999999965</v>
      </c>
      <c r="I43" s="29">
        <f t="shared" si="14"/>
        <v>585177.63499021984</v>
      </c>
      <c r="J43" s="29">
        <f t="shared" si="14"/>
        <v>589610.59904601576</v>
      </c>
      <c r="K43" s="29">
        <f t="shared" si="14"/>
        <v>594077.14464892657</v>
      </c>
      <c r="L43" s="29">
        <f t="shared" si="14"/>
        <v>598577.52619314368</v>
      </c>
      <c r="M43" s="29">
        <f t="shared" si="14"/>
        <v>603112.00000000035</v>
      </c>
      <c r="N43" s="29">
        <f t="shared" si="14"/>
        <v>606356.89492446627</v>
      </c>
      <c r="O43" s="29">
        <f t="shared" si="14"/>
        <v>609619.2482033855</v>
      </c>
      <c r="P43" s="29">
        <f t="shared" si="14"/>
        <v>612899.1537671152</v>
      </c>
      <c r="Q43" s="29">
        <f t="shared" si="14"/>
        <v>616196.70605138177</v>
      </c>
      <c r="R43" s="29">
        <f t="shared" si="14"/>
        <v>619511.99999999988</v>
      </c>
      <c r="S43" s="29">
        <f t="shared" si="14"/>
        <v>621816.98401161213</v>
      </c>
      <c r="T43" s="29">
        <f t="shared" si="14"/>
        <v>624130.54404966731</v>
      </c>
      <c r="U43" s="29">
        <f t="shared" si="14"/>
        <v>626452.71202251245</v>
      </c>
      <c r="V43" s="29">
        <f t="shared" si="14"/>
        <v>628783.51995721413</v>
      </c>
      <c r="W43" s="29">
        <f t="shared" si="14"/>
        <v>631123.00000000023</v>
      </c>
    </row>
    <row r="44" spans="1:23">
      <c r="A44">
        <f t="shared" si="15"/>
        <v>11</v>
      </c>
      <c r="B44" t="str">
        <f t="shared" si="15"/>
        <v>Karet agroforestri</v>
      </c>
      <c r="C44" s="29">
        <f t="shared" si="16"/>
        <v>341390</v>
      </c>
      <c r="D44" s="29">
        <f t="shared" si="14"/>
        <v>333865.1052428371</v>
      </c>
      <c r="E44" s="29">
        <f t="shared" si="14"/>
        <v>326506.07369521866</v>
      </c>
      <c r="F44" s="29">
        <f t="shared" si="14"/>
        <v>319309.24941175693</v>
      </c>
      <c r="G44" s="29">
        <f t="shared" si="14"/>
        <v>312271.05703115952</v>
      </c>
      <c r="H44" s="29">
        <f t="shared" si="14"/>
        <v>305388.00000000017</v>
      </c>
      <c r="I44" s="29">
        <f t="shared" si="14"/>
        <v>301382.70667751809</v>
      </c>
      <c r="J44" s="29">
        <f t="shared" si="14"/>
        <v>297429.94447806367</v>
      </c>
      <c r="K44" s="29">
        <f t="shared" si="14"/>
        <v>293529.02443364757</v>
      </c>
      <c r="L44" s="29">
        <f t="shared" si="14"/>
        <v>289679.26661238837</v>
      </c>
      <c r="M44" s="29">
        <f t="shared" si="14"/>
        <v>285880.00000000006</v>
      </c>
      <c r="N44" s="29">
        <f t="shared" si="14"/>
        <v>285102.38110700197</v>
      </c>
      <c r="O44" s="29">
        <f t="shared" si="14"/>
        <v>284326.87740619207</v>
      </c>
      <c r="P44" s="29">
        <f t="shared" si="14"/>
        <v>283553.48314406042</v>
      </c>
      <c r="Q44" s="29">
        <f t="shared" si="14"/>
        <v>282782.1925827472</v>
      </c>
      <c r="R44" s="29">
        <f t="shared" si="14"/>
        <v>282013.00000000006</v>
      </c>
      <c r="S44" s="29">
        <f t="shared" si="14"/>
        <v>281539.81476173591</v>
      </c>
      <c r="T44" s="29">
        <f t="shared" si="14"/>
        <v>281067.42347364331</v>
      </c>
      <c r="U44" s="29">
        <f t="shared" si="14"/>
        <v>280595.82480356551</v>
      </c>
      <c r="V44" s="29">
        <f t="shared" si="14"/>
        <v>280125.01742158108</v>
      </c>
      <c r="W44" s="29">
        <f t="shared" si="14"/>
        <v>279654.99999999994</v>
      </c>
    </row>
    <row r="45" spans="1:23">
      <c r="A45">
        <f t="shared" si="15"/>
        <v>12</v>
      </c>
      <c r="B45" t="str">
        <f t="shared" si="15"/>
        <v>Karet monokultur</v>
      </c>
      <c r="C45" s="29">
        <f t="shared" si="16"/>
        <v>1483502</v>
      </c>
      <c r="D45" s="29">
        <f t="shared" si="14"/>
        <v>1481535.3928346254</v>
      </c>
      <c r="E45" s="29">
        <f t="shared" si="14"/>
        <v>1479571.3927056706</v>
      </c>
      <c r="F45" s="29">
        <f t="shared" si="14"/>
        <v>1477609.996157113</v>
      </c>
      <c r="G45" s="29">
        <f t="shared" si="14"/>
        <v>1475651.1997375113</v>
      </c>
      <c r="H45" s="29">
        <f t="shared" si="14"/>
        <v>1473695</v>
      </c>
      <c r="I45" s="29">
        <f t="shared" si="14"/>
        <v>1467533.8992941196</v>
      </c>
      <c r="J45" s="29">
        <f t="shared" si="14"/>
        <v>1461398.5564023785</v>
      </c>
      <c r="K45" s="29">
        <f t="shared" si="14"/>
        <v>1455288.8636386632</v>
      </c>
      <c r="L45" s="29">
        <f t="shared" si="14"/>
        <v>1449204.7137670657</v>
      </c>
      <c r="M45" s="29">
        <f t="shared" si="14"/>
        <v>1443146.0000000002</v>
      </c>
      <c r="N45" s="29">
        <f t="shared" si="14"/>
        <v>1435784.2754252281</v>
      </c>
      <c r="O45" s="29">
        <f t="shared" si="14"/>
        <v>1428460.1042156145</v>
      </c>
      <c r="P45" s="29">
        <f t="shared" si="14"/>
        <v>1421173.2948052809</v>
      </c>
      <c r="Q45" s="29">
        <f t="shared" si="14"/>
        <v>1413923.6566055578</v>
      </c>
      <c r="R45" s="29">
        <f t="shared" si="14"/>
        <v>1406710.9999999998</v>
      </c>
      <c r="S45" s="29">
        <f t="shared" ref="S45:W60" si="17">AB13</f>
        <v>1399926.879495238</v>
      </c>
      <c r="T45" s="29">
        <f t="shared" si="17"/>
        <v>1393175.4766496278</v>
      </c>
      <c r="U45" s="29">
        <f t="shared" si="17"/>
        <v>1386456.6336762875</v>
      </c>
      <c r="V45" s="29">
        <f t="shared" si="17"/>
        <v>1379770.1935492915</v>
      </c>
      <c r="W45" s="29">
        <f t="shared" si="17"/>
        <v>1373116</v>
      </c>
    </row>
    <row r="46" spans="1:23">
      <c r="A46">
        <f t="shared" si="15"/>
        <v>13</v>
      </c>
      <c r="B46" t="str">
        <f t="shared" si="15"/>
        <v>Kelapa sawit skala besar</v>
      </c>
      <c r="C46" s="29">
        <f t="shared" si="16"/>
        <v>1014499</v>
      </c>
      <c r="D46" s="29">
        <f t="shared" si="16"/>
        <v>1019510.2474529553</v>
      </c>
      <c r="E46" s="29">
        <f t="shared" si="16"/>
        <v>1024546.2486030899</v>
      </c>
      <c r="F46" s="29">
        <f t="shared" si="16"/>
        <v>1029607.1257244544</v>
      </c>
      <c r="G46" s="29">
        <f t="shared" si="16"/>
        <v>1034693.0016950875</v>
      </c>
      <c r="H46" s="29">
        <f t="shared" si="16"/>
        <v>1039803.9999999998</v>
      </c>
      <c r="I46" s="29">
        <f t="shared" si="16"/>
        <v>1044046.439834794</v>
      </c>
      <c r="J46" s="29">
        <f t="shared" si="16"/>
        <v>1048306.1889853359</v>
      </c>
      <c r="K46" s="29">
        <f t="shared" si="16"/>
        <v>1052583.3180742916</v>
      </c>
      <c r="L46" s="29">
        <f t="shared" si="16"/>
        <v>1056877.8980124702</v>
      </c>
      <c r="M46" s="29">
        <f t="shared" si="16"/>
        <v>1061190</v>
      </c>
      <c r="N46" s="29">
        <f t="shared" si="16"/>
        <v>1064584.2176212636</v>
      </c>
      <c r="O46" s="29">
        <f t="shared" si="16"/>
        <v>1067989.2916520867</v>
      </c>
      <c r="P46" s="29">
        <f t="shared" si="16"/>
        <v>1071405.2568167096</v>
      </c>
      <c r="Q46" s="29">
        <f t="shared" si="16"/>
        <v>1074832.1479504385</v>
      </c>
      <c r="R46" s="29">
        <f t="shared" si="16"/>
        <v>1078269.9999999998</v>
      </c>
      <c r="S46" s="29">
        <f t="shared" si="17"/>
        <v>1080904.0988758621</v>
      </c>
      <c r="T46" s="29">
        <f t="shared" si="17"/>
        <v>1083544.6325749946</v>
      </c>
      <c r="U46" s="29">
        <f t="shared" si="17"/>
        <v>1086191.6168169861</v>
      </c>
      <c r="V46" s="29">
        <f t="shared" si="17"/>
        <v>1088845.0673598265</v>
      </c>
      <c r="W46" s="29">
        <f t="shared" si="17"/>
        <v>1091505.0000000007</v>
      </c>
    </row>
    <row r="47" spans="1:23">
      <c r="A47">
        <f t="shared" si="15"/>
        <v>14</v>
      </c>
      <c r="B47" t="str">
        <f t="shared" si="15"/>
        <v>Kelapa sawit skala kecil</v>
      </c>
      <c r="C47" s="29">
        <f t="shared" si="16"/>
        <v>662075</v>
      </c>
      <c r="D47" s="29">
        <f t="shared" si="16"/>
        <v>657783.93655929482</v>
      </c>
      <c r="E47" s="29">
        <f t="shared" si="16"/>
        <v>653520.68450771039</v>
      </c>
      <c r="F47" s="29">
        <f t="shared" si="16"/>
        <v>649285.06359310762</v>
      </c>
      <c r="G47" s="29">
        <f t="shared" si="16"/>
        <v>645076.89473160356</v>
      </c>
      <c r="H47" s="29">
        <f t="shared" si="16"/>
        <v>640896</v>
      </c>
      <c r="I47" s="29">
        <f t="shared" si="16"/>
        <v>637995.46434764436</v>
      </c>
      <c r="J47" s="29">
        <f t="shared" si="16"/>
        <v>635108.05579714396</v>
      </c>
      <c r="K47" s="29">
        <f t="shared" si="16"/>
        <v>632233.71493850567</v>
      </c>
      <c r="L47" s="29">
        <f t="shared" si="16"/>
        <v>629372.38263061119</v>
      </c>
      <c r="M47" s="29">
        <f t="shared" si="16"/>
        <v>626524.00000000023</v>
      </c>
      <c r="N47" s="29">
        <f t="shared" si="16"/>
        <v>624286.06932221993</v>
      </c>
      <c r="O47" s="29">
        <f t="shared" si="16"/>
        <v>622056.13248620578</v>
      </c>
      <c r="P47" s="29">
        <f t="shared" si="16"/>
        <v>619834.16093812126</v>
      </c>
      <c r="Q47" s="29">
        <f t="shared" si="16"/>
        <v>617620.12622612377</v>
      </c>
      <c r="R47" s="29">
        <f t="shared" si="16"/>
        <v>615414.00000000023</v>
      </c>
      <c r="S47" s="29">
        <f t="shared" si="17"/>
        <v>613362.97434424469</v>
      </c>
      <c r="T47" s="29">
        <f t="shared" si="17"/>
        <v>611318.78425973176</v>
      </c>
      <c r="U47" s="29">
        <f t="shared" si="17"/>
        <v>609281.40696515958</v>
      </c>
      <c r="V47" s="29">
        <f t="shared" si="17"/>
        <v>607250.81975515094</v>
      </c>
      <c r="W47" s="29">
        <f t="shared" si="17"/>
        <v>605227.00000000023</v>
      </c>
    </row>
    <row r="48" spans="1:23">
      <c r="A48">
        <f t="shared" si="15"/>
        <v>15</v>
      </c>
      <c r="B48" t="str">
        <f t="shared" si="15"/>
        <v>Kelapa</v>
      </c>
      <c r="C48" s="29">
        <f t="shared" si="16"/>
        <v>91437</v>
      </c>
      <c r="D48" s="29">
        <f t="shared" si="16"/>
        <v>90260.090851386121</v>
      </c>
      <c r="E48" s="29">
        <f t="shared" si="16"/>
        <v>89098.330003176801</v>
      </c>
      <c r="F48" s="29">
        <f t="shared" si="16"/>
        <v>87951.52247770071</v>
      </c>
      <c r="G48" s="29">
        <f t="shared" si="16"/>
        <v>86819.475806894305</v>
      </c>
      <c r="H48" s="29">
        <f t="shared" si="16"/>
        <v>85702</v>
      </c>
      <c r="I48" s="29">
        <f t="shared" si="16"/>
        <v>85155.679040756222</v>
      </c>
      <c r="J48" s="29">
        <f t="shared" si="16"/>
        <v>84612.840690909055</v>
      </c>
      <c r="K48" s="29">
        <f t="shared" si="16"/>
        <v>84073.462750013874</v>
      </c>
      <c r="L48" s="29">
        <f t="shared" si="16"/>
        <v>83537.523159146294</v>
      </c>
      <c r="M48" s="29">
        <f t="shared" si="16"/>
        <v>83005.000000000015</v>
      </c>
      <c r="N48" s="29">
        <f t="shared" si="16"/>
        <v>82795.141524626219</v>
      </c>
      <c r="O48" s="29">
        <f t="shared" si="16"/>
        <v>82585.813626683754</v>
      </c>
      <c r="P48" s="29">
        <f t="shared" si="16"/>
        <v>82377.014964733273</v>
      </c>
      <c r="Q48" s="29">
        <f t="shared" si="16"/>
        <v>82168.744200726971</v>
      </c>
      <c r="R48" s="29">
        <f t="shared" si="16"/>
        <v>81960.999999999985</v>
      </c>
      <c r="S48" s="29">
        <f t="shared" si="17"/>
        <v>81867.386398343268</v>
      </c>
      <c r="T48" s="29">
        <f t="shared" si="17"/>
        <v>81773.879719569552</v>
      </c>
      <c r="U48" s="29">
        <f t="shared" si="17"/>
        <v>81680.479841554479</v>
      </c>
      <c r="V48" s="29">
        <f t="shared" si="17"/>
        <v>81587.186642313158</v>
      </c>
      <c r="W48" s="29">
        <f t="shared" si="17"/>
        <v>81494.000000000015</v>
      </c>
    </row>
    <row r="49" spans="1:23">
      <c r="A49">
        <f t="shared" si="15"/>
        <v>16</v>
      </c>
      <c r="B49" t="str">
        <f t="shared" si="15"/>
        <v>Teh</v>
      </c>
      <c r="C49" s="29">
        <f t="shared" si="16"/>
        <v>57076</v>
      </c>
      <c r="D49" s="29">
        <f t="shared" si="16"/>
        <v>56951.457671056756</v>
      </c>
      <c r="E49" s="29">
        <f t="shared" si="16"/>
        <v>56827.187098923707</v>
      </c>
      <c r="F49" s="29">
        <f t="shared" si="16"/>
        <v>56703.187690615603</v>
      </c>
      <c r="G49" s="29">
        <f t="shared" si="16"/>
        <v>56579.458854441109</v>
      </c>
      <c r="H49" s="29">
        <f t="shared" si="16"/>
        <v>56456</v>
      </c>
      <c r="I49" s="29">
        <f t="shared" si="16"/>
        <v>56624.194831108376</v>
      </c>
      <c r="J49" s="29">
        <f t="shared" si="16"/>
        <v>56792.890751582127</v>
      </c>
      <c r="K49" s="29">
        <f t="shared" si="16"/>
        <v>56962.089254276594</v>
      </c>
      <c r="L49" s="29">
        <f t="shared" si="16"/>
        <v>57131.79183649466</v>
      </c>
      <c r="M49" s="29">
        <f t="shared" si="16"/>
        <v>57302.000000000015</v>
      </c>
      <c r="N49" s="29">
        <f t="shared" si="16"/>
        <v>57490.357620783732</v>
      </c>
      <c r="O49" s="29">
        <f t="shared" si="16"/>
        <v>57679.334392614677</v>
      </c>
      <c r="P49" s="29">
        <f t="shared" si="16"/>
        <v>57868.932350706578</v>
      </c>
      <c r="Q49" s="29">
        <f t="shared" si="16"/>
        <v>58059.153536963146</v>
      </c>
      <c r="R49" s="29">
        <f t="shared" si="16"/>
        <v>58250.000000000036</v>
      </c>
      <c r="S49" s="29">
        <f t="shared" si="17"/>
        <v>58481.748617240191</v>
      </c>
      <c r="T49" s="29">
        <f t="shared" si="17"/>
        <v>58714.419250301718</v>
      </c>
      <c r="U49" s="29">
        <f t="shared" si="17"/>
        <v>58948.015567440234</v>
      </c>
      <c r="V49" s="29">
        <f t="shared" si="17"/>
        <v>59182.541251505601</v>
      </c>
      <c r="W49" s="29">
        <f t="shared" si="17"/>
        <v>59417.999999999971</v>
      </c>
    </row>
    <row r="50" spans="1:23">
      <c r="A50">
        <f t="shared" ref="A50:B60" si="18">A18</f>
        <v>17</v>
      </c>
      <c r="B50" t="str">
        <f t="shared" si="18"/>
        <v>Sawah irigasi</v>
      </c>
      <c r="C50" s="29">
        <f t="shared" ref="C50:R60" si="19">L18</f>
        <v>393253</v>
      </c>
      <c r="D50" s="29">
        <f t="shared" si="19"/>
        <v>390851.65148837148</v>
      </c>
      <c r="E50" s="29">
        <f t="shared" si="19"/>
        <v>388464.96650041424</v>
      </c>
      <c r="F50" s="29">
        <f t="shared" si="19"/>
        <v>386092.85549522017</v>
      </c>
      <c r="G50" s="29">
        <f t="shared" si="19"/>
        <v>383735.22947865108</v>
      </c>
      <c r="H50" s="29">
        <f t="shared" si="19"/>
        <v>381391.99999999994</v>
      </c>
      <c r="I50" s="29">
        <f t="shared" si="19"/>
        <v>379853.23335949611</v>
      </c>
      <c r="J50" s="29">
        <f t="shared" si="19"/>
        <v>378320.67503687495</v>
      </c>
      <c r="K50" s="29">
        <f t="shared" si="19"/>
        <v>376794.29998401686</v>
      </c>
      <c r="L50" s="29">
        <f t="shared" si="19"/>
        <v>375274.08325386146</v>
      </c>
      <c r="M50" s="29">
        <f t="shared" si="19"/>
        <v>373760.00000000006</v>
      </c>
      <c r="N50" s="29">
        <f t="shared" si="19"/>
        <v>372521.82357371872</v>
      </c>
      <c r="O50" s="29">
        <f t="shared" si="19"/>
        <v>371287.74892628647</v>
      </c>
      <c r="P50" s="29">
        <f t="shared" si="19"/>
        <v>370057.76246950252</v>
      </c>
      <c r="Q50" s="29">
        <f t="shared" si="19"/>
        <v>368831.85066018067</v>
      </c>
      <c r="R50" s="29">
        <f t="shared" si="19"/>
        <v>367610</v>
      </c>
      <c r="S50" s="29">
        <f t="shared" si="17"/>
        <v>366727.77566368505</v>
      </c>
      <c r="T50" s="29">
        <f t="shared" si="17"/>
        <v>365847.66857058869</v>
      </c>
      <c r="U50" s="29">
        <f t="shared" si="17"/>
        <v>364969.67363955564</v>
      </c>
      <c r="V50" s="29">
        <f t="shared" si="17"/>
        <v>364093.78580162482</v>
      </c>
      <c r="W50" s="29">
        <f t="shared" si="17"/>
        <v>363220.00000000017</v>
      </c>
    </row>
    <row r="51" spans="1:23">
      <c r="A51">
        <f t="shared" si="18"/>
        <v>18</v>
      </c>
      <c r="B51" t="str">
        <f t="shared" si="18"/>
        <v>Sawah tadah hujan</v>
      </c>
      <c r="C51" s="29">
        <f t="shared" si="19"/>
        <v>265014</v>
      </c>
      <c r="D51" s="29">
        <f t="shared" si="19"/>
        <v>272748.20033796364</v>
      </c>
      <c r="E51" s="29">
        <f t="shared" si="19"/>
        <v>280708.11650553538</v>
      </c>
      <c r="F51" s="29">
        <f t="shared" si="19"/>
        <v>288900.33582053852</v>
      </c>
      <c r="G51" s="29">
        <f t="shared" si="19"/>
        <v>297331.63784586929</v>
      </c>
      <c r="H51" s="29">
        <f t="shared" si="19"/>
        <v>306009</v>
      </c>
      <c r="I51" s="29">
        <f t="shared" si="19"/>
        <v>309496.01903050183</v>
      </c>
      <c r="J51" s="29">
        <f t="shared" si="19"/>
        <v>313022.77317245165</v>
      </c>
      <c r="K51" s="29">
        <f t="shared" si="19"/>
        <v>316589.71521347918</v>
      </c>
      <c r="L51" s="29">
        <f t="shared" si="19"/>
        <v>320197.30310079805</v>
      </c>
      <c r="M51" s="29">
        <f t="shared" si="19"/>
        <v>323845.99999999988</v>
      </c>
      <c r="N51" s="29">
        <f t="shared" si="19"/>
        <v>325970.5410871405</v>
      </c>
      <c r="O51" s="29">
        <f t="shared" si="19"/>
        <v>328109.01989415695</v>
      </c>
      <c r="P51" s="29">
        <f t="shared" si="19"/>
        <v>330261.52785728307</v>
      </c>
      <c r="Q51" s="29">
        <f t="shared" si="19"/>
        <v>332428.15701260563</v>
      </c>
      <c r="R51" s="29">
        <f t="shared" si="19"/>
        <v>334608.99999999988</v>
      </c>
      <c r="S51" s="29">
        <f t="shared" si="17"/>
        <v>336263.36008077493</v>
      </c>
      <c r="T51" s="29">
        <f t="shared" si="17"/>
        <v>337925.89958074322</v>
      </c>
      <c r="U51" s="29">
        <f t="shared" si="17"/>
        <v>339596.65894025343</v>
      </c>
      <c r="V51" s="29">
        <f t="shared" si="17"/>
        <v>341275.6787995976</v>
      </c>
      <c r="W51" s="29">
        <f t="shared" si="17"/>
        <v>342962.99999999994</v>
      </c>
    </row>
    <row r="52" spans="1:23">
      <c r="A52">
        <f t="shared" si="18"/>
        <v>19</v>
      </c>
      <c r="B52" t="str">
        <f t="shared" si="18"/>
        <v>Tebu</v>
      </c>
      <c r="C52" s="29">
        <f t="shared" si="19"/>
        <v>279198</v>
      </c>
      <c r="D52" s="29">
        <f t="shared" si="19"/>
        <v>281561.83284343575</v>
      </c>
      <c r="E52" s="29">
        <f t="shared" si="19"/>
        <v>283945.67910284048</v>
      </c>
      <c r="F52" s="29">
        <f t="shared" si="19"/>
        <v>286349.70822201384</v>
      </c>
      <c r="G52" s="29">
        <f t="shared" si="19"/>
        <v>288774.09107935324</v>
      </c>
      <c r="H52" s="29">
        <f t="shared" si="19"/>
        <v>291218.99999999983</v>
      </c>
      <c r="I52" s="29">
        <f t="shared" si="19"/>
        <v>293432.4946515492</v>
      </c>
      <c r="J52" s="29">
        <f t="shared" si="19"/>
        <v>295662.81361254398</v>
      </c>
      <c r="K52" s="29">
        <f t="shared" si="19"/>
        <v>297910.08476103825</v>
      </c>
      <c r="L52" s="29">
        <f t="shared" si="19"/>
        <v>300174.43694706023</v>
      </c>
      <c r="M52" s="29">
        <f t="shared" si="19"/>
        <v>302456.00000000017</v>
      </c>
      <c r="N52" s="29">
        <f t="shared" si="19"/>
        <v>304135.24964309583</v>
      </c>
      <c r="O52" s="29">
        <f t="shared" si="19"/>
        <v>305823.82255755621</v>
      </c>
      <c r="P52" s="29">
        <f t="shared" si="19"/>
        <v>307521.77050661319</v>
      </c>
      <c r="Q52" s="29">
        <f t="shared" si="19"/>
        <v>309229.14554089069</v>
      </c>
      <c r="R52" s="29">
        <f t="shared" si="19"/>
        <v>310946</v>
      </c>
      <c r="S52" s="29">
        <f t="shared" si="17"/>
        <v>312188.82527317555</v>
      </c>
      <c r="T52" s="29">
        <f t="shared" si="17"/>
        <v>313436.61801549251</v>
      </c>
      <c r="U52" s="29">
        <f t="shared" si="17"/>
        <v>314689.39808151143</v>
      </c>
      <c r="V52" s="29">
        <f t="shared" si="17"/>
        <v>315947.18540514994</v>
      </c>
      <c r="W52" s="29">
        <f t="shared" si="17"/>
        <v>317209.99999999988</v>
      </c>
    </row>
    <row r="53" spans="1:23">
      <c r="A53">
        <f t="shared" si="18"/>
        <v>20</v>
      </c>
      <c r="B53" t="str">
        <f t="shared" si="18"/>
        <v>Tanaman semusim lain</v>
      </c>
      <c r="C53" s="29">
        <f t="shared" si="19"/>
        <v>380150</v>
      </c>
      <c r="D53" s="29">
        <f t="shared" si="19"/>
        <v>371841.03311540553</v>
      </c>
      <c r="E53" s="29">
        <f t="shared" si="19"/>
        <v>363713.67593931896</v>
      </c>
      <c r="F53" s="29">
        <f t="shared" si="19"/>
        <v>355763.95901480515</v>
      </c>
      <c r="G53" s="29">
        <f t="shared" si="19"/>
        <v>347987.99964564497</v>
      </c>
      <c r="H53" s="29">
        <f t="shared" si="19"/>
        <v>340382</v>
      </c>
      <c r="I53" s="29">
        <f t="shared" si="19"/>
        <v>338780.39870514901</v>
      </c>
      <c r="J53" s="29">
        <f t="shared" si="19"/>
        <v>337186.33343367081</v>
      </c>
      <c r="K53" s="29">
        <f t="shared" si="19"/>
        <v>335599.76872627321</v>
      </c>
      <c r="L53" s="29">
        <f t="shared" si="19"/>
        <v>334020.66929051076</v>
      </c>
      <c r="M53" s="29">
        <f t="shared" si="19"/>
        <v>332448.99999999988</v>
      </c>
      <c r="N53" s="29">
        <f t="shared" si="19"/>
        <v>330720.51965640654</v>
      </c>
      <c r="O53" s="29">
        <f t="shared" si="19"/>
        <v>329001.02608762123</v>
      </c>
      <c r="P53" s="29">
        <f t="shared" si="19"/>
        <v>327290.47256929352</v>
      </c>
      <c r="Q53" s="29">
        <f t="shared" si="19"/>
        <v>325588.81262000371</v>
      </c>
      <c r="R53" s="29">
        <f t="shared" si="19"/>
        <v>323896</v>
      </c>
      <c r="S53" s="29">
        <f t="shared" si="17"/>
        <v>322441.39335931686</v>
      </c>
      <c r="T53" s="29">
        <f t="shared" si="17"/>
        <v>320993.31931082107</v>
      </c>
      <c r="U53" s="29">
        <f t="shared" si="17"/>
        <v>319551.74851684878</v>
      </c>
      <c r="V53" s="29">
        <f t="shared" si="17"/>
        <v>318116.65177149064</v>
      </c>
      <c r="W53" s="29">
        <f t="shared" si="17"/>
        <v>316688.00000000012</v>
      </c>
    </row>
    <row r="54" spans="1:23">
      <c r="A54">
        <f t="shared" si="18"/>
        <v>21</v>
      </c>
      <c r="B54" t="str">
        <f t="shared" si="18"/>
        <v>Semak belukar</v>
      </c>
      <c r="C54" s="29">
        <f t="shared" si="19"/>
        <v>368538</v>
      </c>
      <c r="D54" s="29">
        <f t="shared" si="19"/>
        <v>363638.86751751619</v>
      </c>
      <c r="E54" s="29">
        <f t="shared" si="19"/>
        <v>358804.86128817569</v>
      </c>
      <c r="F54" s="29">
        <f t="shared" si="19"/>
        <v>354035.11556097795</v>
      </c>
      <c r="G54" s="29">
        <f t="shared" si="19"/>
        <v>349328.77609371895</v>
      </c>
      <c r="H54" s="29">
        <f t="shared" si="19"/>
        <v>344684.99999999988</v>
      </c>
      <c r="I54" s="29">
        <f t="shared" si="19"/>
        <v>341298.0905970668</v>
      </c>
      <c r="J54" s="29">
        <f t="shared" si="19"/>
        <v>337944.46130584041</v>
      </c>
      <c r="K54" s="29">
        <f t="shared" si="19"/>
        <v>334623.78511260322</v>
      </c>
      <c r="L54" s="29">
        <f t="shared" si="19"/>
        <v>331335.73821690719</v>
      </c>
      <c r="M54" s="29">
        <f t="shared" si="19"/>
        <v>328080</v>
      </c>
      <c r="N54" s="29">
        <f t="shared" si="19"/>
        <v>327214.24281767948</v>
      </c>
      <c r="O54" s="29">
        <f t="shared" si="19"/>
        <v>326350.77024734003</v>
      </c>
      <c r="P54" s="29">
        <f t="shared" si="19"/>
        <v>325489.57626021048</v>
      </c>
      <c r="Q54" s="29">
        <f t="shared" si="19"/>
        <v>324630.65484342881</v>
      </c>
      <c r="R54" s="29">
        <f t="shared" si="19"/>
        <v>323774.00000000006</v>
      </c>
      <c r="S54" s="29">
        <f t="shared" si="17"/>
        <v>324435.2931567452</v>
      </c>
      <c r="T54" s="29">
        <f t="shared" si="17"/>
        <v>325097.93697363965</v>
      </c>
      <c r="U54" s="29">
        <f t="shared" si="17"/>
        <v>325761.9342093431</v>
      </c>
      <c r="V54" s="29">
        <f t="shared" si="17"/>
        <v>326427.28762814985</v>
      </c>
      <c r="W54" s="29">
        <f t="shared" si="17"/>
        <v>327093.99999999994</v>
      </c>
    </row>
    <row r="55" spans="1:23">
      <c r="A55">
        <f t="shared" si="18"/>
        <v>22</v>
      </c>
      <c r="B55" t="str">
        <f t="shared" si="18"/>
        <v>Rerumputan</v>
      </c>
      <c r="C55" s="29">
        <f t="shared" si="19"/>
        <v>139266</v>
      </c>
      <c r="D55" s="29">
        <f t="shared" si="19"/>
        <v>141615.38435291013</v>
      </c>
      <c r="E55" s="29">
        <f t="shared" si="19"/>
        <v>144004.4022620199</v>
      </c>
      <c r="F55" s="29">
        <f t="shared" si="19"/>
        <v>146433.72233601188</v>
      </c>
      <c r="G55" s="29">
        <f t="shared" si="19"/>
        <v>148904.02446283834</v>
      </c>
      <c r="H55" s="29">
        <f t="shared" si="19"/>
        <v>151415.99999999988</v>
      </c>
      <c r="I55" s="29">
        <f t="shared" si="19"/>
        <v>152854.7953016363</v>
      </c>
      <c r="J55" s="29">
        <f t="shared" si="19"/>
        <v>154307.26242078203</v>
      </c>
      <c r="K55" s="29">
        <f t="shared" si="19"/>
        <v>155773.53127070132</v>
      </c>
      <c r="L55" s="29">
        <f t="shared" si="19"/>
        <v>157253.73299912884</v>
      </c>
      <c r="M55" s="29">
        <f t="shared" si="19"/>
        <v>158748.00000000006</v>
      </c>
      <c r="N55" s="29">
        <f t="shared" si="19"/>
        <v>158956.45184485978</v>
      </c>
      <c r="O55" s="29">
        <f t="shared" si="19"/>
        <v>159165.17740763491</v>
      </c>
      <c r="P55" s="29">
        <f t="shared" si="19"/>
        <v>159374.17704774413</v>
      </c>
      <c r="Q55" s="29">
        <f t="shared" si="19"/>
        <v>159583.45112507811</v>
      </c>
      <c r="R55" s="29">
        <f t="shared" si="19"/>
        <v>159793.00000000009</v>
      </c>
      <c r="S55" s="29">
        <f t="shared" si="17"/>
        <v>160275.67521408695</v>
      </c>
      <c r="T55" s="29">
        <f t="shared" si="17"/>
        <v>160759.80841045282</v>
      </c>
      <c r="U55" s="29">
        <f t="shared" si="17"/>
        <v>161245.40399311975</v>
      </c>
      <c r="V55" s="29">
        <f t="shared" si="17"/>
        <v>161732.46637941274</v>
      </c>
      <c r="W55" s="29">
        <f t="shared" si="17"/>
        <v>162220.99999999997</v>
      </c>
    </row>
    <row r="56" spans="1:23">
      <c r="A56">
        <f t="shared" si="18"/>
        <v>23</v>
      </c>
      <c r="B56" t="str">
        <f t="shared" si="18"/>
        <v>Tambang</v>
      </c>
      <c r="C56" s="29">
        <f t="shared" si="19"/>
        <v>34910</v>
      </c>
      <c r="D56" s="29">
        <f t="shared" si="19"/>
        <v>35647.200372119521</v>
      </c>
      <c r="E56" s="29">
        <f t="shared" si="19"/>
        <v>36399.968329133146</v>
      </c>
      <c r="F56" s="29">
        <f t="shared" si="19"/>
        <v>37168.632614363043</v>
      </c>
      <c r="G56" s="29">
        <f t="shared" si="19"/>
        <v>37953.528913259695</v>
      </c>
      <c r="H56" s="29">
        <f t="shared" si="19"/>
        <v>38755</v>
      </c>
      <c r="I56" s="29">
        <f t="shared" si="19"/>
        <v>39477.178921442246</v>
      </c>
      <c r="J56" s="29">
        <f t="shared" si="19"/>
        <v>40212.815265012614</v>
      </c>
      <c r="K56" s="29">
        <f t="shared" si="19"/>
        <v>40962.159802652735</v>
      </c>
      <c r="L56" s="29">
        <f t="shared" si="19"/>
        <v>41725.467979306704</v>
      </c>
      <c r="M56" s="29">
        <f t="shared" si="19"/>
        <v>42503</v>
      </c>
      <c r="N56" s="29">
        <f t="shared" si="19"/>
        <v>43221.120165209744</v>
      </c>
      <c r="O56" s="29">
        <f t="shared" si="19"/>
        <v>43951.373510940408</v>
      </c>
      <c r="P56" s="29">
        <f t="shared" si="19"/>
        <v>44693.965036406174</v>
      </c>
      <c r="Q56" s="29">
        <f t="shared" si="19"/>
        <v>45449.103204437197</v>
      </c>
      <c r="R56" s="29">
        <f t="shared" si="19"/>
        <v>46216.999999999978</v>
      </c>
      <c r="S56" s="29">
        <f t="shared" si="17"/>
        <v>46933.628992512888</v>
      </c>
      <c r="T56" s="29">
        <f t="shared" si="17"/>
        <v>47661.369851068797</v>
      </c>
      <c r="U56" s="29">
        <f t="shared" si="17"/>
        <v>48400.394873423247</v>
      </c>
      <c r="V56" s="29">
        <f t="shared" si="17"/>
        <v>49150.879028936746</v>
      </c>
      <c r="W56" s="29">
        <f t="shared" si="17"/>
        <v>49912.999999999993</v>
      </c>
    </row>
    <row r="57" spans="1:23">
      <c r="A57">
        <f t="shared" si="18"/>
        <v>24</v>
      </c>
      <c r="B57" t="str">
        <f t="shared" si="18"/>
        <v>Lahan terbuka</v>
      </c>
      <c r="C57" s="29">
        <f t="shared" si="19"/>
        <v>110096</v>
      </c>
      <c r="D57" s="29">
        <f t="shared" si="19"/>
        <v>109894.46350319541</v>
      </c>
      <c r="E57" s="29">
        <f t="shared" si="19"/>
        <v>109693.29592950833</v>
      </c>
      <c r="F57" s="29">
        <f t="shared" si="19"/>
        <v>109492.49660360564</v>
      </c>
      <c r="G57" s="29">
        <f t="shared" si="19"/>
        <v>109292.0648513905</v>
      </c>
      <c r="H57" s="29">
        <f t="shared" si="19"/>
        <v>109092</v>
      </c>
      <c r="I57" s="29">
        <f t="shared" si="19"/>
        <v>108447.83753243003</v>
      </c>
      <c r="J57" s="29">
        <f t="shared" si="19"/>
        <v>107807.47869193286</v>
      </c>
      <c r="K57" s="29">
        <f t="shared" si="19"/>
        <v>107170.90101898991</v>
      </c>
      <c r="L57" s="29">
        <f t="shared" si="19"/>
        <v>106538.08218670075</v>
      </c>
      <c r="M57" s="29">
        <f t="shared" si="19"/>
        <v>105909.00000000001</v>
      </c>
      <c r="N57" s="29">
        <f t="shared" si="19"/>
        <v>105922.99630017641</v>
      </c>
      <c r="O57" s="29">
        <f t="shared" si="19"/>
        <v>105936.99445002017</v>
      </c>
      <c r="P57" s="29">
        <f t="shared" si="19"/>
        <v>105950.99444977571</v>
      </c>
      <c r="Q57" s="29">
        <f t="shared" si="19"/>
        <v>105964.99629968751</v>
      </c>
      <c r="R57" s="29">
        <f t="shared" si="19"/>
        <v>105979.00000000007</v>
      </c>
      <c r="S57" s="29">
        <f t="shared" si="17"/>
        <v>106529.25625615021</v>
      </c>
      <c r="T57" s="29">
        <f t="shared" si="17"/>
        <v>107082.36951177609</v>
      </c>
      <c r="U57" s="29">
        <f t="shared" si="17"/>
        <v>107638.35460077715</v>
      </c>
      <c r="V57" s="29">
        <f t="shared" si="17"/>
        <v>108197.22643407235</v>
      </c>
      <c r="W57" s="29">
        <f t="shared" si="17"/>
        <v>108759.00000000003</v>
      </c>
    </row>
    <row r="58" spans="1:23">
      <c r="A58">
        <f t="shared" si="18"/>
        <v>25</v>
      </c>
      <c r="B58" t="str">
        <f t="shared" si="18"/>
        <v>Pemukiman</v>
      </c>
      <c r="C58" s="29">
        <f t="shared" si="19"/>
        <v>168478</v>
      </c>
      <c r="D58" s="29">
        <f t="shared" si="19"/>
        <v>171564.24002051505</v>
      </c>
      <c r="E58" s="29">
        <f t="shared" si="19"/>
        <v>174707.01488512979</v>
      </c>
      <c r="F58" s="29">
        <f t="shared" si="19"/>
        <v>177907.36021925771</v>
      </c>
      <c r="G58" s="29">
        <f t="shared" si="19"/>
        <v>181166.33061926754</v>
      </c>
      <c r="H58" s="29">
        <f t="shared" si="19"/>
        <v>184485</v>
      </c>
      <c r="I58" s="29">
        <f t="shared" si="19"/>
        <v>187604.50401055854</v>
      </c>
      <c r="J58" s="29">
        <f t="shared" si="19"/>
        <v>190776.7565116279</v>
      </c>
      <c r="K58" s="29">
        <f t="shared" si="19"/>
        <v>194002.64944091413</v>
      </c>
      <c r="L58" s="29">
        <f t="shared" si="19"/>
        <v>197283.08981812591</v>
      </c>
      <c r="M58" s="29">
        <f t="shared" si="19"/>
        <v>200618.99999999991</v>
      </c>
      <c r="N58" s="29">
        <f t="shared" si="19"/>
        <v>203755.38901361113</v>
      </c>
      <c r="O58" s="29">
        <f t="shared" si="19"/>
        <v>206940.81095054807</v>
      </c>
      <c r="P58" s="29">
        <f t="shared" si="19"/>
        <v>210176.03236992049</v>
      </c>
      <c r="Q58" s="29">
        <f t="shared" si="19"/>
        <v>213461.83181488531</v>
      </c>
      <c r="R58" s="29">
        <f t="shared" si="19"/>
        <v>216798.99999999994</v>
      </c>
      <c r="S58" s="29">
        <f t="shared" si="17"/>
        <v>219937.03333221166</v>
      </c>
      <c r="T58" s="29">
        <f t="shared" si="17"/>
        <v>223120.48778349708</v>
      </c>
      <c r="U58" s="29">
        <f t="shared" si="17"/>
        <v>226350.0207968594</v>
      </c>
      <c r="V58" s="29">
        <f t="shared" si="17"/>
        <v>229626.29933138838</v>
      </c>
      <c r="W58" s="29">
        <f t="shared" si="17"/>
        <v>232949.99999999988</v>
      </c>
    </row>
    <row r="59" spans="1:23">
      <c r="A59">
        <f t="shared" si="18"/>
        <v>26</v>
      </c>
      <c r="B59" t="str">
        <f t="shared" si="18"/>
        <v>Tambak</v>
      </c>
      <c r="C59" s="29">
        <f t="shared" si="19"/>
        <v>108508</v>
      </c>
      <c r="D59" s="29">
        <f t="shared" si="19"/>
        <v>109593.46467460811</v>
      </c>
      <c r="E59" s="29">
        <f t="shared" si="19"/>
        <v>110689.7878440721</v>
      </c>
      <c r="F59" s="29">
        <f t="shared" si="19"/>
        <v>111797.07813183527</v>
      </c>
      <c r="G59" s="29">
        <f t="shared" si="19"/>
        <v>112915.44524796044</v>
      </c>
      <c r="H59" s="29">
        <f t="shared" si="19"/>
        <v>114044.99999999999</v>
      </c>
      <c r="I59" s="29">
        <f t="shared" si="19"/>
        <v>115158.25272390351</v>
      </c>
      <c r="J59" s="29">
        <f t="shared" si="19"/>
        <v>116282.37248824965</v>
      </c>
      <c r="K59" s="29">
        <f t="shared" si="19"/>
        <v>117417.46537188775</v>
      </c>
      <c r="L59" s="29">
        <f t="shared" si="19"/>
        <v>118563.63848915814</v>
      </c>
      <c r="M59" s="29">
        <f t="shared" si="19"/>
        <v>119721.00000000006</v>
      </c>
      <c r="N59" s="29">
        <f t="shared" si="19"/>
        <v>120764.6451336941</v>
      </c>
      <c r="O59" s="29">
        <f t="shared" si="19"/>
        <v>121817.38804609938</v>
      </c>
      <c r="P59" s="29">
        <f t="shared" si="19"/>
        <v>122879.30804537801</v>
      </c>
      <c r="Q59" s="29">
        <f t="shared" si="19"/>
        <v>123950.48513104599</v>
      </c>
      <c r="R59" s="29">
        <f t="shared" si="19"/>
        <v>125030.99999999996</v>
      </c>
      <c r="S59" s="29">
        <f t="shared" si="17"/>
        <v>125899.84064731625</v>
      </c>
      <c r="T59" s="29">
        <f t="shared" si="17"/>
        <v>126774.71886987727</v>
      </c>
      <c r="U59" s="29">
        <f t="shared" si="17"/>
        <v>127655.67662280446</v>
      </c>
      <c r="V59" s="29">
        <f t="shared" si="17"/>
        <v>128542.75615276545</v>
      </c>
      <c r="W59" s="29">
        <f t="shared" si="17"/>
        <v>129436</v>
      </c>
    </row>
    <row r="60" spans="1:23">
      <c r="A60">
        <f t="shared" si="18"/>
        <v>27</v>
      </c>
      <c r="B60" t="str">
        <f t="shared" si="18"/>
        <v>Tubuh air</v>
      </c>
      <c r="C60" s="29">
        <f t="shared" si="19"/>
        <v>165172</v>
      </c>
      <c r="D60" s="29">
        <f t="shared" si="19"/>
        <v>165137.78582850515</v>
      </c>
      <c r="E60" s="29">
        <f t="shared" si="19"/>
        <v>165103.57874422564</v>
      </c>
      <c r="F60" s="29">
        <f t="shared" si="19"/>
        <v>165069.37874569339</v>
      </c>
      <c r="G60" s="29">
        <f t="shared" si="19"/>
        <v>165035.18583144067</v>
      </c>
      <c r="H60" s="29">
        <f t="shared" si="19"/>
        <v>165001</v>
      </c>
      <c r="I60" s="29">
        <f t="shared" si="19"/>
        <v>165001</v>
      </c>
      <c r="J60" s="29">
        <f t="shared" si="19"/>
        <v>165001</v>
      </c>
      <c r="K60" s="29">
        <f t="shared" si="19"/>
        <v>165001</v>
      </c>
      <c r="L60" s="29">
        <f t="shared" si="19"/>
        <v>165001</v>
      </c>
      <c r="M60" s="29">
        <f t="shared" si="19"/>
        <v>165001</v>
      </c>
      <c r="N60" s="29">
        <f t="shared" si="19"/>
        <v>165001</v>
      </c>
      <c r="O60" s="29">
        <f t="shared" si="19"/>
        <v>165001</v>
      </c>
      <c r="P60" s="29">
        <f t="shared" si="19"/>
        <v>165001</v>
      </c>
      <c r="Q60" s="29">
        <f t="shared" si="19"/>
        <v>165001</v>
      </c>
      <c r="R60" s="29">
        <f t="shared" si="19"/>
        <v>165001</v>
      </c>
      <c r="S60" s="29">
        <f t="shared" si="17"/>
        <v>165001</v>
      </c>
      <c r="T60" s="29">
        <f t="shared" si="17"/>
        <v>165001</v>
      </c>
      <c r="U60" s="29">
        <f t="shared" si="17"/>
        <v>165001</v>
      </c>
      <c r="V60" s="29">
        <f t="shared" si="17"/>
        <v>165001</v>
      </c>
      <c r="W60" s="29">
        <f t="shared" si="17"/>
        <v>165001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98009-0DF6-4BB3-B890-CF30441E949E}">
  <dimension ref="A1:AF31"/>
  <sheetViews>
    <sheetView zoomScale="66" workbookViewId="0">
      <selection activeCell="K13" sqref="K13"/>
    </sheetView>
  </sheetViews>
  <sheetFormatPr defaultRowHeight="14.5"/>
  <cols>
    <col min="1" max="1" width="31.453125" bestFit="1" customWidth="1"/>
    <col min="2" max="2" width="13.81640625" bestFit="1" customWidth="1"/>
    <col min="3" max="16" width="10.1796875" bestFit="1" customWidth="1"/>
    <col min="17" max="17" width="8.81640625" customWidth="1"/>
    <col min="18" max="21" width="10.1796875" bestFit="1" customWidth="1"/>
    <col min="22" max="32" width="11.08984375" bestFit="1" customWidth="1"/>
  </cols>
  <sheetData>
    <row r="1" spans="1:32">
      <c r="A1" t="s">
        <v>482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3" t="s">
        <v>481</v>
      </c>
      <c r="B2" s="45">
        <v>8447760</v>
      </c>
      <c r="C2" s="45">
        <v>8548610</v>
      </c>
      <c r="D2" s="45">
        <v>8647260</v>
      </c>
      <c r="E2" s="45">
        <v>8743520</v>
      </c>
      <c r="F2" s="45">
        <v>8837300</v>
      </c>
      <c r="G2" s="45">
        <v>8928520</v>
      </c>
      <c r="H2" s="45">
        <v>9017140</v>
      </c>
      <c r="I2" s="45">
        <v>9103180</v>
      </c>
      <c r="J2" s="45">
        <v>9186600</v>
      </c>
      <c r="K2" s="45">
        <v>9267400</v>
      </c>
      <c r="L2" s="45">
        <v>9345650</v>
      </c>
      <c r="M2" s="45">
        <v>9421670</v>
      </c>
      <c r="N2" s="45">
        <v>9495790</v>
      </c>
      <c r="O2" s="45">
        <v>9568080</v>
      </c>
      <c r="P2" s="45">
        <v>9638580</v>
      </c>
      <c r="Q2" s="45">
        <v>9707360</v>
      </c>
      <c r="R2" s="45">
        <v>9774490</v>
      </c>
      <c r="S2" s="45">
        <v>9839900</v>
      </c>
      <c r="T2" s="45">
        <v>9903640</v>
      </c>
      <c r="U2" s="45">
        <v>9965680</v>
      </c>
      <c r="V2" s="45">
        <v>10025960</v>
      </c>
      <c r="W2" s="45">
        <v>10084270</v>
      </c>
      <c r="X2" s="45">
        <v>10140350</v>
      </c>
      <c r="Y2" s="45">
        <v>10194060</v>
      </c>
      <c r="Z2" s="45">
        <v>10245340</v>
      </c>
      <c r="AA2" s="45">
        <v>10294090</v>
      </c>
      <c r="AB2" s="45">
        <v>10340150</v>
      </c>
      <c r="AC2" s="45">
        <v>10383380</v>
      </c>
      <c r="AD2" s="45">
        <v>10423750</v>
      </c>
      <c r="AE2" s="45">
        <v>10461210</v>
      </c>
      <c r="AF2" s="45">
        <v>10495720</v>
      </c>
    </row>
    <row r="3" spans="1:32" ht="15.5">
      <c r="A3" s="42"/>
    </row>
    <row r="4" spans="1:32">
      <c r="A4" t="s">
        <v>483</v>
      </c>
      <c r="B4" t="s">
        <v>484</v>
      </c>
    </row>
    <row r="5" spans="1:32" ht="15.5">
      <c r="A5" s="42"/>
      <c r="D5" s="44"/>
      <c r="E5" s="44"/>
      <c r="F5" s="44"/>
      <c r="G5" s="44"/>
      <c r="H5" s="44"/>
      <c r="I5" s="44"/>
      <c r="J5" s="44"/>
      <c r="K5" s="44"/>
      <c r="L5" s="44"/>
      <c r="M5" s="44"/>
      <c r="N5" s="44"/>
      <c r="O5" s="44"/>
      <c r="P5" s="44"/>
      <c r="Q5" s="44"/>
      <c r="R5" s="44"/>
      <c r="S5" s="44"/>
      <c r="T5" s="44"/>
      <c r="U5" s="44"/>
      <c r="V5" s="44"/>
      <c r="W5" s="44"/>
      <c r="X5" s="44"/>
      <c r="Y5" s="44"/>
      <c r="Z5" s="44"/>
      <c r="AA5" s="44"/>
    </row>
    <row r="6" spans="1:32" ht="15.5">
      <c r="A6" s="42"/>
    </row>
    <row r="7" spans="1:32" ht="15.5">
      <c r="A7" s="42"/>
      <c r="Q7" s="43"/>
    </row>
    <row r="9" spans="1:32">
      <c r="A9" t="s">
        <v>485</v>
      </c>
    </row>
    <row r="10" spans="1:32">
      <c r="A10" s="46" t="s">
        <v>486</v>
      </c>
      <c r="B10" s="47" t="s">
        <v>487</v>
      </c>
    </row>
    <row r="11" spans="1:32">
      <c r="A11" cm="1">
        <f t="array" ref="A11:A31">TRANSPOSE(G1:AA1)</f>
        <v>2025</v>
      </c>
      <c r="B11" s="17" cm="1">
        <f t="array" ref="B11:B31">TRANSPOSE(G2:AA2)</f>
        <v>8928520</v>
      </c>
    </row>
    <row r="12" spans="1:32">
      <c r="A12">
        <v>2026</v>
      </c>
      <c r="B12" s="17">
        <v>9017140</v>
      </c>
    </row>
    <row r="13" spans="1:32">
      <c r="A13">
        <v>2027</v>
      </c>
      <c r="B13" s="17">
        <v>9103180</v>
      </c>
    </row>
    <row r="14" spans="1:32">
      <c r="A14">
        <v>2028</v>
      </c>
      <c r="B14" s="17">
        <v>9186600</v>
      </c>
    </row>
    <row r="15" spans="1:32">
      <c r="A15">
        <v>2029</v>
      </c>
      <c r="B15" s="17">
        <v>9267400</v>
      </c>
    </row>
    <row r="16" spans="1:32">
      <c r="A16">
        <v>2030</v>
      </c>
      <c r="B16" s="17">
        <v>9345650</v>
      </c>
    </row>
    <row r="17" spans="1:2">
      <c r="A17">
        <v>2031</v>
      </c>
      <c r="B17" s="17">
        <v>9421670</v>
      </c>
    </row>
    <row r="18" spans="1:2">
      <c r="A18">
        <v>2032</v>
      </c>
      <c r="B18" s="17">
        <v>9495790</v>
      </c>
    </row>
    <row r="19" spans="1:2">
      <c r="A19">
        <v>2033</v>
      </c>
      <c r="B19" s="17">
        <v>9568080</v>
      </c>
    </row>
    <row r="20" spans="1:2">
      <c r="A20">
        <v>2034</v>
      </c>
      <c r="B20" s="17">
        <v>9638580</v>
      </c>
    </row>
    <row r="21" spans="1:2">
      <c r="A21">
        <v>2035</v>
      </c>
      <c r="B21" s="17">
        <v>9707360</v>
      </c>
    </row>
    <row r="22" spans="1:2">
      <c r="A22">
        <v>2036</v>
      </c>
      <c r="B22" s="17">
        <v>9774490</v>
      </c>
    </row>
    <row r="23" spans="1:2">
      <c r="A23">
        <v>2037</v>
      </c>
      <c r="B23" s="17">
        <v>9839900</v>
      </c>
    </row>
    <row r="24" spans="1:2">
      <c r="A24">
        <v>2038</v>
      </c>
      <c r="B24" s="17">
        <v>9903640</v>
      </c>
    </row>
    <row r="25" spans="1:2">
      <c r="A25">
        <v>2039</v>
      </c>
      <c r="B25" s="17">
        <v>9965680</v>
      </c>
    </row>
    <row r="26" spans="1:2">
      <c r="A26">
        <v>2040</v>
      </c>
      <c r="B26" s="17">
        <v>10025960</v>
      </c>
    </row>
    <row r="27" spans="1:2">
      <c r="A27">
        <v>2041</v>
      </c>
      <c r="B27" s="17">
        <v>10084270</v>
      </c>
    </row>
    <row r="28" spans="1:2">
      <c r="A28">
        <v>2042</v>
      </c>
      <c r="B28" s="17">
        <v>10140350</v>
      </c>
    </row>
    <row r="29" spans="1:2">
      <c r="A29">
        <v>2043</v>
      </c>
      <c r="B29" s="17">
        <v>10194060</v>
      </c>
    </row>
    <row r="30" spans="1:2">
      <c r="A30">
        <v>2044</v>
      </c>
      <c r="B30" s="17">
        <v>10245340</v>
      </c>
    </row>
    <row r="31" spans="1:2">
      <c r="A31">
        <v>2045</v>
      </c>
      <c r="B31" s="17">
        <v>10294090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3E0A2-E10C-4D48-A433-9FA5EF0BD6D5}">
  <dimension ref="A1:L56"/>
  <sheetViews>
    <sheetView topLeftCell="A38" workbookViewId="0">
      <selection activeCell="K2" sqref="K2:K56"/>
    </sheetView>
  </sheetViews>
  <sheetFormatPr defaultRowHeight="14.5"/>
  <sheetData>
    <row r="1" spans="1:12">
      <c r="A1" t="s">
        <v>465</v>
      </c>
      <c r="B1" t="s">
        <v>466</v>
      </c>
      <c r="C1" t="s">
        <v>265</v>
      </c>
      <c r="D1" t="s">
        <v>267</v>
      </c>
      <c r="E1" t="s">
        <v>467</v>
      </c>
      <c r="F1" t="s">
        <v>468</v>
      </c>
      <c r="G1" t="s">
        <v>469</v>
      </c>
      <c r="H1" t="s">
        <v>470</v>
      </c>
      <c r="I1" t="s">
        <v>457</v>
      </c>
      <c r="J1" t="s">
        <v>456</v>
      </c>
      <c r="K1" t="s">
        <v>471</v>
      </c>
      <c r="L1" t="s">
        <v>472</v>
      </c>
    </row>
    <row r="2" spans="1:12">
      <c r="A2" t="s">
        <v>2</v>
      </c>
      <c r="B2" t="s">
        <v>69</v>
      </c>
      <c r="C2" t="s">
        <v>368</v>
      </c>
      <c r="D2" t="s">
        <v>269</v>
      </c>
      <c r="E2">
        <v>0.18329999999999999</v>
      </c>
      <c r="F2">
        <v>0.17219999999999999</v>
      </c>
      <c r="G2">
        <v>1.2616000000000001</v>
      </c>
      <c r="H2">
        <v>1.4121999999999999</v>
      </c>
      <c r="I2">
        <v>0.86970000000000003</v>
      </c>
      <c r="J2">
        <v>0.97360000000000002</v>
      </c>
      <c r="K2" t="s">
        <v>473</v>
      </c>
      <c r="L2" t="s">
        <v>474</v>
      </c>
    </row>
    <row r="3" spans="1:12">
      <c r="A3" t="s">
        <v>3</v>
      </c>
      <c r="B3" t="s">
        <v>70</v>
      </c>
      <c r="C3" t="s">
        <v>370</v>
      </c>
      <c r="D3" t="s">
        <v>269</v>
      </c>
      <c r="E3">
        <v>0.18410000000000001</v>
      </c>
      <c r="F3">
        <v>5.5800000000000002E-2</v>
      </c>
      <c r="G3">
        <v>1.2763</v>
      </c>
      <c r="H3">
        <v>1.081</v>
      </c>
      <c r="I3">
        <v>0.87990000000000002</v>
      </c>
      <c r="J3">
        <v>0.74529999999999996</v>
      </c>
      <c r="K3" t="s">
        <v>473</v>
      </c>
      <c r="L3" t="s">
        <v>474</v>
      </c>
    </row>
    <row r="4" spans="1:12">
      <c r="A4" t="s">
        <v>4</v>
      </c>
      <c r="B4" t="s">
        <v>71</v>
      </c>
      <c r="C4" t="s">
        <v>271</v>
      </c>
      <c r="D4" t="s">
        <v>269</v>
      </c>
      <c r="E4">
        <v>0.31180000000000002</v>
      </c>
      <c r="F4">
        <v>0.34870000000000001</v>
      </c>
      <c r="G4">
        <v>1.488</v>
      </c>
      <c r="H4">
        <v>1.4961</v>
      </c>
      <c r="I4">
        <v>1.0258</v>
      </c>
      <c r="J4">
        <v>1.0314000000000001</v>
      </c>
      <c r="K4" t="s">
        <v>475</v>
      </c>
      <c r="L4" t="s">
        <v>476</v>
      </c>
    </row>
    <row r="5" spans="1:12">
      <c r="A5" t="s">
        <v>5</v>
      </c>
      <c r="B5" t="s">
        <v>72</v>
      </c>
      <c r="C5" t="s">
        <v>272</v>
      </c>
      <c r="D5" t="s">
        <v>269</v>
      </c>
      <c r="E5">
        <v>0.26690000000000003</v>
      </c>
      <c r="F5">
        <v>0.20549999999999999</v>
      </c>
      <c r="G5">
        <v>1.4081999999999999</v>
      </c>
      <c r="H5">
        <v>1.5158</v>
      </c>
      <c r="I5">
        <v>0.97089999999999999</v>
      </c>
      <c r="J5">
        <v>1.0449999999999999</v>
      </c>
      <c r="K5" t="s">
        <v>477</v>
      </c>
      <c r="L5" t="s">
        <v>478</v>
      </c>
    </row>
    <row r="6" spans="1:12">
      <c r="A6" t="s">
        <v>6</v>
      </c>
      <c r="B6" t="s">
        <v>73</v>
      </c>
      <c r="C6" t="s">
        <v>273</v>
      </c>
      <c r="D6" t="s">
        <v>269</v>
      </c>
      <c r="E6">
        <v>0.35589999999999999</v>
      </c>
      <c r="F6">
        <v>0.1206</v>
      </c>
      <c r="G6">
        <v>1.5368999999999999</v>
      </c>
      <c r="H6">
        <v>1.2131000000000001</v>
      </c>
      <c r="I6">
        <v>1.0596000000000001</v>
      </c>
      <c r="J6">
        <v>0.83640000000000003</v>
      </c>
      <c r="K6" t="s">
        <v>479</v>
      </c>
      <c r="L6" t="s">
        <v>480</v>
      </c>
    </row>
    <row r="7" spans="1:12">
      <c r="A7" t="s">
        <v>7</v>
      </c>
      <c r="B7" t="s">
        <v>74</v>
      </c>
      <c r="C7" t="s">
        <v>274</v>
      </c>
      <c r="D7" t="s">
        <v>269</v>
      </c>
      <c r="E7">
        <v>0.29649999999999999</v>
      </c>
      <c r="F7">
        <v>0.1178</v>
      </c>
      <c r="G7">
        <v>1.4293</v>
      </c>
      <c r="H7">
        <v>1.2016</v>
      </c>
      <c r="I7">
        <v>0.98540000000000005</v>
      </c>
      <c r="J7">
        <v>0.82840000000000003</v>
      </c>
      <c r="K7" t="s">
        <v>473</v>
      </c>
      <c r="L7" t="s">
        <v>474</v>
      </c>
    </row>
    <row r="8" spans="1:12">
      <c r="A8" t="s">
        <v>8</v>
      </c>
      <c r="B8" t="s">
        <v>75</v>
      </c>
      <c r="C8" t="s">
        <v>275</v>
      </c>
      <c r="D8" t="s">
        <v>269</v>
      </c>
      <c r="E8">
        <v>0.26450000000000001</v>
      </c>
      <c r="F8">
        <v>0.22289999999999999</v>
      </c>
      <c r="G8">
        <v>1.4656</v>
      </c>
      <c r="H8">
        <v>1.2848999999999999</v>
      </c>
      <c r="I8">
        <v>1.0104</v>
      </c>
      <c r="J8">
        <v>0.88590000000000002</v>
      </c>
      <c r="K8" t="s">
        <v>479</v>
      </c>
      <c r="L8" t="s">
        <v>480</v>
      </c>
    </row>
    <row r="9" spans="1:12">
      <c r="A9" t="s">
        <v>9</v>
      </c>
      <c r="B9" t="s">
        <v>76</v>
      </c>
      <c r="C9" t="s">
        <v>276</v>
      </c>
      <c r="D9" t="s">
        <v>269</v>
      </c>
      <c r="E9">
        <v>9.4399999999999998E-2</v>
      </c>
      <c r="F9">
        <v>0.30609999999999998</v>
      </c>
      <c r="G9">
        <v>1.1292</v>
      </c>
      <c r="H9">
        <v>1.3611</v>
      </c>
      <c r="I9">
        <v>0.77849999999999997</v>
      </c>
      <c r="J9">
        <v>0.93840000000000001</v>
      </c>
      <c r="K9" t="s">
        <v>473</v>
      </c>
      <c r="L9" t="s">
        <v>474</v>
      </c>
    </row>
    <row r="10" spans="1:12">
      <c r="A10" t="s">
        <v>10</v>
      </c>
      <c r="B10" t="s">
        <v>77</v>
      </c>
      <c r="C10" t="s">
        <v>375</v>
      </c>
      <c r="D10" t="s">
        <v>269</v>
      </c>
      <c r="E10">
        <v>9.1700000000000004E-2</v>
      </c>
      <c r="F10">
        <v>0.1368</v>
      </c>
      <c r="G10">
        <v>1.1363000000000001</v>
      </c>
      <c r="H10">
        <v>1.2339</v>
      </c>
      <c r="I10">
        <v>0.78339999999999999</v>
      </c>
      <c r="J10">
        <v>0.85070000000000001</v>
      </c>
      <c r="K10" t="s">
        <v>473</v>
      </c>
      <c r="L10" t="s">
        <v>474</v>
      </c>
    </row>
    <row r="11" spans="1:12">
      <c r="A11" t="s">
        <v>11</v>
      </c>
      <c r="B11" t="s">
        <v>78</v>
      </c>
      <c r="C11" t="s">
        <v>277</v>
      </c>
      <c r="D11" t="s">
        <v>278</v>
      </c>
      <c r="E11">
        <v>0.16070000000000001</v>
      </c>
      <c r="F11">
        <v>1.2444999999999999</v>
      </c>
      <c r="G11">
        <v>1.2063999999999999</v>
      </c>
      <c r="H11">
        <v>3.5672999999999999</v>
      </c>
      <c r="I11">
        <v>0.83169999999999999</v>
      </c>
      <c r="J11">
        <v>2.4594</v>
      </c>
      <c r="K11" t="s">
        <v>477</v>
      </c>
      <c r="L11" t="s">
        <v>478</v>
      </c>
    </row>
    <row r="12" spans="1:12">
      <c r="A12" t="s">
        <v>12</v>
      </c>
      <c r="B12" t="s">
        <v>79</v>
      </c>
      <c r="C12" t="s">
        <v>279</v>
      </c>
      <c r="D12" t="s">
        <v>278</v>
      </c>
      <c r="E12">
        <v>0.41199999999999998</v>
      </c>
      <c r="F12">
        <v>0.7026</v>
      </c>
      <c r="G12">
        <v>1.5996999999999999</v>
      </c>
      <c r="H12">
        <v>2.0129000000000001</v>
      </c>
      <c r="I12">
        <v>1.1028</v>
      </c>
      <c r="J12">
        <v>1.3876999999999999</v>
      </c>
      <c r="K12" t="s">
        <v>475</v>
      </c>
      <c r="L12" t="s">
        <v>476</v>
      </c>
    </row>
    <row r="13" spans="1:12">
      <c r="A13" t="s">
        <v>13</v>
      </c>
      <c r="B13" t="s">
        <v>80</v>
      </c>
      <c r="C13" t="s">
        <v>378</v>
      </c>
      <c r="D13" t="s">
        <v>278</v>
      </c>
      <c r="E13">
        <v>0</v>
      </c>
      <c r="F13">
        <v>0</v>
      </c>
      <c r="G13">
        <v>1</v>
      </c>
      <c r="H13">
        <v>1</v>
      </c>
      <c r="I13">
        <v>0.68940000000000001</v>
      </c>
      <c r="J13">
        <v>0.68940000000000001</v>
      </c>
      <c r="K13" t="s">
        <v>473</v>
      </c>
      <c r="L13" t="s">
        <v>474</v>
      </c>
    </row>
    <row r="14" spans="1:12">
      <c r="A14" t="s">
        <v>14</v>
      </c>
      <c r="B14" t="s">
        <v>81</v>
      </c>
      <c r="C14" t="s">
        <v>280</v>
      </c>
      <c r="D14" t="s">
        <v>278</v>
      </c>
      <c r="E14">
        <v>0.224</v>
      </c>
      <c r="F14">
        <v>0.28210000000000002</v>
      </c>
      <c r="G14">
        <v>1.3183</v>
      </c>
      <c r="H14">
        <v>1.5466</v>
      </c>
      <c r="I14">
        <v>0.90890000000000004</v>
      </c>
      <c r="J14">
        <v>1.0662</v>
      </c>
      <c r="K14" t="s">
        <v>477</v>
      </c>
      <c r="L14" t="s">
        <v>478</v>
      </c>
    </row>
    <row r="15" spans="1:12">
      <c r="A15" t="s">
        <v>15</v>
      </c>
      <c r="B15" t="s">
        <v>82</v>
      </c>
      <c r="C15" t="s">
        <v>281</v>
      </c>
      <c r="D15" t="s">
        <v>282</v>
      </c>
      <c r="E15">
        <v>0.22839999999999999</v>
      </c>
      <c r="F15">
        <v>1.5059</v>
      </c>
      <c r="G15">
        <v>1.2813000000000001</v>
      </c>
      <c r="H15">
        <v>3.0329000000000002</v>
      </c>
      <c r="I15">
        <v>0.88339999999999996</v>
      </c>
      <c r="J15">
        <v>2.0909</v>
      </c>
      <c r="K15" t="s">
        <v>477</v>
      </c>
      <c r="L15" t="s">
        <v>478</v>
      </c>
    </row>
    <row r="16" spans="1:12">
      <c r="A16" t="s">
        <v>16</v>
      </c>
      <c r="B16" t="s">
        <v>83</v>
      </c>
      <c r="C16" t="s">
        <v>283</v>
      </c>
      <c r="D16" t="s">
        <v>282</v>
      </c>
      <c r="E16">
        <v>0.55030000000000001</v>
      </c>
      <c r="F16">
        <v>1.5062</v>
      </c>
      <c r="G16">
        <v>1.8259000000000001</v>
      </c>
      <c r="H16">
        <v>3.2408999999999999</v>
      </c>
      <c r="I16">
        <v>1.2587999999999999</v>
      </c>
      <c r="J16">
        <v>2.2343000000000002</v>
      </c>
      <c r="K16" t="s">
        <v>475</v>
      </c>
      <c r="L16" t="s">
        <v>476</v>
      </c>
    </row>
    <row r="17" spans="1:12">
      <c r="A17" t="s">
        <v>17</v>
      </c>
      <c r="B17" t="s">
        <v>84</v>
      </c>
      <c r="C17" t="s">
        <v>284</v>
      </c>
      <c r="D17" t="s">
        <v>282</v>
      </c>
      <c r="E17">
        <v>2.76E-2</v>
      </c>
      <c r="F17">
        <v>8.9999999999999998E-4</v>
      </c>
      <c r="G17">
        <v>1.0373000000000001</v>
      </c>
      <c r="H17">
        <v>1.0008999999999999</v>
      </c>
      <c r="I17">
        <v>0.71509999999999996</v>
      </c>
      <c r="J17">
        <v>0.69010000000000005</v>
      </c>
      <c r="K17" t="s">
        <v>473</v>
      </c>
      <c r="L17" t="s">
        <v>474</v>
      </c>
    </row>
    <row r="18" spans="1:12">
      <c r="A18" t="s">
        <v>18</v>
      </c>
      <c r="B18" t="s">
        <v>85</v>
      </c>
      <c r="C18" t="s">
        <v>285</v>
      </c>
      <c r="D18" t="s">
        <v>282</v>
      </c>
      <c r="E18">
        <v>0.4153</v>
      </c>
      <c r="F18">
        <v>5.0999999999999997E-2</v>
      </c>
      <c r="G18">
        <v>1.6323000000000001</v>
      </c>
      <c r="H18">
        <v>1.0589</v>
      </c>
      <c r="I18">
        <v>1.1253</v>
      </c>
      <c r="J18">
        <v>0.73009999999999997</v>
      </c>
      <c r="K18" t="s">
        <v>479</v>
      </c>
      <c r="L18" t="s">
        <v>480</v>
      </c>
    </row>
    <row r="19" spans="1:12">
      <c r="A19" t="s">
        <v>19</v>
      </c>
      <c r="B19" t="s">
        <v>86</v>
      </c>
      <c r="C19" t="s">
        <v>385</v>
      </c>
      <c r="D19" t="s">
        <v>282</v>
      </c>
      <c r="E19">
        <v>0.4078</v>
      </c>
      <c r="F19">
        <v>1E-4</v>
      </c>
      <c r="G19">
        <v>1.6446000000000001</v>
      </c>
      <c r="H19">
        <v>1.0001</v>
      </c>
      <c r="I19">
        <v>1.1337999999999999</v>
      </c>
      <c r="J19">
        <v>0.6895</v>
      </c>
      <c r="K19" t="s">
        <v>479</v>
      </c>
      <c r="L19" t="s">
        <v>480</v>
      </c>
    </row>
    <row r="20" spans="1:12">
      <c r="A20" t="s">
        <v>20</v>
      </c>
      <c r="B20" t="s">
        <v>87</v>
      </c>
      <c r="C20" t="s">
        <v>387</v>
      </c>
      <c r="D20" t="s">
        <v>282</v>
      </c>
      <c r="E20">
        <v>0.41970000000000002</v>
      </c>
      <c r="F20">
        <v>1.8800000000000001E-2</v>
      </c>
      <c r="G20">
        <v>1.5395000000000001</v>
      </c>
      <c r="H20">
        <v>1.0247999999999999</v>
      </c>
      <c r="I20">
        <v>1.0613999999999999</v>
      </c>
      <c r="J20">
        <v>0.70650000000000002</v>
      </c>
      <c r="K20" t="s">
        <v>479</v>
      </c>
      <c r="L20" t="s">
        <v>480</v>
      </c>
    </row>
    <row r="21" spans="1:12">
      <c r="A21" t="s">
        <v>21</v>
      </c>
      <c r="B21" t="s">
        <v>88</v>
      </c>
      <c r="C21" t="s">
        <v>286</v>
      </c>
      <c r="D21" t="s">
        <v>282</v>
      </c>
      <c r="E21">
        <v>0.4738</v>
      </c>
      <c r="F21">
        <v>0.3453</v>
      </c>
      <c r="G21">
        <v>1.7264999999999999</v>
      </c>
      <c r="H21">
        <v>1.538</v>
      </c>
      <c r="I21">
        <v>1.1902999999999999</v>
      </c>
      <c r="J21">
        <v>1.0604</v>
      </c>
      <c r="K21" t="s">
        <v>475</v>
      </c>
      <c r="L21" t="s">
        <v>476</v>
      </c>
    </row>
    <row r="22" spans="1:12">
      <c r="A22" t="s">
        <v>22</v>
      </c>
      <c r="B22" t="s">
        <v>89</v>
      </c>
      <c r="C22" t="s">
        <v>287</v>
      </c>
      <c r="D22" t="s">
        <v>282</v>
      </c>
      <c r="E22">
        <v>0.44230000000000003</v>
      </c>
      <c r="F22">
        <v>1.6653</v>
      </c>
      <c r="G22">
        <v>1.6231</v>
      </c>
      <c r="H22">
        <v>3.2265999999999999</v>
      </c>
      <c r="I22">
        <v>1.119</v>
      </c>
      <c r="J22">
        <v>2.2244999999999999</v>
      </c>
      <c r="K22" t="s">
        <v>475</v>
      </c>
      <c r="L22" t="s">
        <v>476</v>
      </c>
    </row>
    <row r="23" spans="1:12">
      <c r="A23" t="s">
        <v>23</v>
      </c>
      <c r="B23" t="s">
        <v>90</v>
      </c>
      <c r="C23" t="s">
        <v>391</v>
      </c>
      <c r="D23" t="s">
        <v>282</v>
      </c>
      <c r="E23">
        <v>0.54</v>
      </c>
      <c r="F23">
        <v>0.28939999999999999</v>
      </c>
      <c r="G23">
        <v>1.8152999999999999</v>
      </c>
      <c r="H23">
        <v>1.3971</v>
      </c>
      <c r="I23">
        <v>1.2515000000000001</v>
      </c>
      <c r="J23">
        <v>0.96319999999999995</v>
      </c>
      <c r="K23" t="s">
        <v>479</v>
      </c>
      <c r="L23" t="s">
        <v>480</v>
      </c>
    </row>
    <row r="24" spans="1:12">
      <c r="A24" t="s">
        <v>24</v>
      </c>
      <c r="B24" t="s">
        <v>91</v>
      </c>
      <c r="C24" t="s">
        <v>288</v>
      </c>
      <c r="D24" t="s">
        <v>282</v>
      </c>
      <c r="E24">
        <v>0.50539999999999996</v>
      </c>
      <c r="F24">
        <v>0.1074</v>
      </c>
      <c r="G24">
        <v>1.7729999999999999</v>
      </c>
      <c r="H24">
        <v>1.1404000000000001</v>
      </c>
      <c r="I24">
        <v>1.2223999999999999</v>
      </c>
      <c r="J24">
        <v>0.78620000000000001</v>
      </c>
      <c r="K24" t="s">
        <v>479</v>
      </c>
      <c r="L24" t="s">
        <v>480</v>
      </c>
    </row>
    <row r="25" spans="1:12">
      <c r="A25" t="s">
        <v>25</v>
      </c>
      <c r="B25" t="s">
        <v>92</v>
      </c>
      <c r="C25" t="s">
        <v>289</v>
      </c>
      <c r="D25" t="s">
        <v>282</v>
      </c>
      <c r="E25">
        <v>0.31419999999999998</v>
      </c>
      <c r="F25">
        <v>2.23E-2</v>
      </c>
      <c r="G25">
        <v>1.4505999999999999</v>
      </c>
      <c r="H25">
        <v>1.0251999999999999</v>
      </c>
      <c r="I25">
        <v>1.0001</v>
      </c>
      <c r="J25">
        <v>0.70679999999999998</v>
      </c>
      <c r="K25" t="s">
        <v>479</v>
      </c>
      <c r="L25" t="s">
        <v>480</v>
      </c>
    </row>
    <row r="26" spans="1:12">
      <c r="A26" t="s">
        <v>26</v>
      </c>
      <c r="B26" t="s">
        <v>93</v>
      </c>
      <c r="C26" t="s">
        <v>290</v>
      </c>
      <c r="D26" t="s">
        <v>282</v>
      </c>
      <c r="E26">
        <v>0.26540000000000002</v>
      </c>
      <c r="F26">
        <v>9.7100000000000006E-2</v>
      </c>
      <c r="G26">
        <v>1.3911</v>
      </c>
      <c r="H26">
        <v>1.1208</v>
      </c>
      <c r="I26">
        <v>0.95909999999999995</v>
      </c>
      <c r="J26">
        <v>0.77270000000000005</v>
      </c>
      <c r="K26" t="s">
        <v>473</v>
      </c>
      <c r="L26" t="s">
        <v>474</v>
      </c>
    </row>
    <row r="27" spans="1:12">
      <c r="A27" t="s">
        <v>27</v>
      </c>
      <c r="B27" t="s">
        <v>94</v>
      </c>
      <c r="C27" t="s">
        <v>396</v>
      </c>
      <c r="D27" t="s">
        <v>282</v>
      </c>
      <c r="E27">
        <v>0.13450000000000001</v>
      </c>
      <c r="F27">
        <v>4.0000000000000002E-4</v>
      </c>
      <c r="G27">
        <v>1.1856</v>
      </c>
      <c r="H27">
        <v>1.0005999999999999</v>
      </c>
      <c r="I27">
        <v>0.81740000000000002</v>
      </c>
      <c r="J27">
        <v>0.68979999999999997</v>
      </c>
      <c r="K27" t="s">
        <v>473</v>
      </c>
      <c r="L27" t="s">
        <v>474</v>
      </c>
    </row>
    <row r="28" spans="1:12">
      <c r="A28" t="s">
        <v>28</v>
      </c>
      <c r="B28" t="s">
        <v>95</v>
      </c>
      <c r="C28" t="s">
        <v>291</v>
      </c>
      <c r="D28" t="s">
        <v>282</v>
      </c>
      <c r="E28">
        <v>0.34899999999999998</v>
      </c>
      <c r="F28">
        <v>3.3500000000000002E-2</v>
      </c>
      <c r="G28">
        <v>1.4946999999999999</v>
      </c>
      <c r="H28">
        <v>1.0406</v>
      </c>
      <c r="I28">
        <v>1.0305</v>
      </c>
      <c r="J28">
        <v>0.71740000000000004</v>
      </c>
      <c r="K28" t="s">
        <v>479</v>
      </c>
      <c r="L28" t="s">
        <v>480</v>
      </c>
    </row>
    <row r="29" spans="1:12">
      <c r="A29" t="s">
        <v>29</v>
      </c>
      <c r="B29" t="s">
        <v>96</v>
      </c>
      <c r="C29" t="s">
        <v>292</v>
      </c>
      <c r="D29" t="s">
        <v>282</v>
      </c>
      <c r="E29">
        <v>0.31380000000000002</v>
      </c>
      <c r="F29">
        <v>4.1999999999999997E-3</v>
      </c>
      <c r="G29">
        <v>1.4661999999999999</v>
      </c>
      <c r="H29">
        <v>1.0048999999999999</v>
      </c>
      <c r="I29">
        <v>1.0107999999999999</v>
      </c>
      <c r="J29">
        <v>0.69279999999999997</v>
      </c>
      <c r="K29" t="s">
        <v>479</v>
      </c>
      <c r="L29" t="s">
        <v>480</v>
      </c>
    </row>
    <row r="30" spans="1:12">
      <c r="A30" t="s">
        <v>30</v>
      </c>
      <c r="B30" t="s">
        <v>97</v>
      </c>
      <c r="C30" t="s">
        <v>400</v>
      </c>
      <c r="D30" t="s">
        <v>282</v>
      </c>
      <c r="E30">
        <v>0.3201</v>
      </c>
      <c r="F30">
        <v>5.2900000000000003E-2</v>
      </c>
      <c r="G30">
        <v>1.4753000000000001</v>
      </c>
      <c r="H30">
        <v>1.0663</v>
      </c>
      <c r="I30">
        <v>1.0170999999999999</v>
      </c>
      <c r="J30">
        <v>0.73509999999999998</v>
      </c>
      <c r="K30" t="s">
        <v>479</v>
      </c>
      <c r="L30" t="s">
        <v>480</v>
      </c>
    </row>
    <row r="31" spans="1:12">
      <c r="A31" t="s">
        <v>31</v>
      </c>
      <c r="B31" t="s">
        <v>98</v>
      </c>
      <c r="C31" t="s">
        <v>402</v>
      </c>
      <c r="D31" t="s">
        <v>293</v>
      </c>
      <c r="E31">
        <v>0.83930000000000005</v>
      </c>
      <c r="F31">
        <v>0.41</v>
      </c>
      <c r="G31">
        <v>2.2761999999999998</v>
      </c>
      <c r="H31">
        <v>1.5682</v>
      </c>
      <c r="I31">
        <v>1.5692999999999999</v>
      </c>
      <c r="J31">
        <v>1.0810999999999999</v>
      </c>
      <c r="K31" t="s">
        <v>475</v>
      </c>
      <c r="L31" t="s">
        <v>476</v>
      </c>
    </row>
    <row r="32" spans="1:12">
      <c r="A32" t="s">
        <v>32</v>
      </c>
      <c r="B32" t="s">
        <v>99</v>
      </c>
      <c r="C32" t="s">
        <v>294</v>
      </c>
      <c r="D32" t="s">
        <v>293</v>
      </c>
      <c r="E32">
        <v>0.2848</v>
      </c>
      <c r="F32">
        <v>1.32E-2</v>
      </c>
      <c r="G32">
        <v>1.3707</v>
      </c>
      <c r="H32">
        <v>1.0164</v>
      </c>
      <c r="I32">
        <v>0.94499999999999995</v>
      </c>
      <c r="J32">
        <v>0.70069999999999999</v>
      </c>
      <c r="K32" t="s">
        <v>473</v>
      </c>
      <c r="L32" t="s">
        <v>474</v>
      </c>
    </row>
    <row r="33" spans="1:12">
      <c r="A33" t="s">
        <v>33</v>
      </c>
      <c r="B33" t="s">
        <v>100</v>
      </c>
      <c r="C33" t="s">
        <v>404</v>
      </c>
      <c r="D33" t="s">
        <v>406</v>
      </c>
      <c r="E33">
        <v>0.34079999999999999</v>
      </c>
      <c r="F33">
        <v>5.8700000000000002E-2</v>
      </c>
      <c r="G33">
        <v>1.5385</v>
      </c>
      <c r="H33">
        <v>1.0677000000000001</v>
      </c>
      <c r="I33">
        <v>1.0606</v>
      </c>
      <c r="J33">
        <v>0.73609999999999998</v>
      </c>
      <c r="K33" t="s">
        <v>479</v>
      </c>
      <c r="L33" t="s">
        <v>480</v>
      </c>
    </row>
    <row r="34" spans="1:12">
      <c r="A34" t="s">
        <v>34</v>
      </c>
      <c r="B34" t="s">
        <v>101</v>
      </c>
      <c r="C34" t="s">
        <v>295</v>
      </c>
      <c r="D34" t="s">
        <v>101</v>
      </c>
      <c r="E34">
        <v>0.32279999999999998</v>
      </c>
      <c r="F34">
        <v>0.84330000000000005</v>
      </c>
      <c r="G34">
        <v>1.4522999999999999</v>
      </c>
      <c r="H34">
        <v>2.2265999999999999</v>
      </c>
      <c r="I34">
        <v>1.0013000000000001</v>
      </c>
      <c r="J34">
        <v>1.5349999999999999</v>
      </c>
      <c r="K34" t="s">
        <v>475</v>
      </c>
      <c r="L34" t="s">
        <v>476</v>
      </c>
    </row>
    <row r="35" spans="1:12">
      <c r="A35" t="s">
        <v>35</v>
      </c>
      <c r="B35" t="s">
        <v>102</v>
      </c>
      <c r="C35" t="s">
        <v>407</v>
      </c>
      <c r="D35" t="s">
        <v>297</v>
      </c>
      <c r="E35">
        <v>0.1908</v>
      </c>
      <c r="F35">
        <v>0.3715</v>
      </c>
      <c r="G35">
        <v>1.272</v>
      </c>
      <c r="H35">
        <v>1.5105999999999999</v>
      </c>
      <c r="I35">
        <v>0.877</v>
      </c>
      <c r="J35">
        <v>1.0414000000000001</v>
      </c>
      <c r="K35" t="s">
        <v>477</v>
      </c>
      <c r="L35" t="s">
        <v>478</v>
      </c>
    </row>
    <row r="36" spans="1:12">
      <c r="A36" t="s">
        <v>36</v>
      </c>
      <c r="B36" t="s">
        <v>103</v>
      </c>
      <c r="C36" t="s">
        <v>298</v>
      </c>
      <c r="D36" t="s">
        <v>297</v>
      </c>
      <c r="E36">
        <v>0.24390000000000001</v>
      </c>
      <c r="F36">
        <v>1.8982000000000001</v>
      </c>
      <c r="G36">
        <v>1.3438000000000001</v>
      </c>
      <c r="H36">
        <v>3.58</v>
      </c>
      <c r="I36">
        <v>0.92649999999999999</v>
      </c>
      <c r="J36">
        <v>2.4681000000000002</v>
      </c>
      <c r="K36" t="s">
        <v>477</v>
      </c>
      <c r="L36" t="s">
        <v>478</v>
      </c>
    </row>
    <row r="37" spans="1:12">
      <c r="A37" t="s">
        <v>37</v>
      </c>
      <c r="B37" t="s">
        <v>104</v>
      </c>
      <c r="C37" t="s">
        <v>299</v>
      </c>
      <c r="D37" t="s">
        <v>300</v>
      </c>
      <c r="E37">
        <v>0.503</v>
      </c>
      <c r="F37">
        <v>8.0999999999999996E-3</v>
      </c>
      <c r="G37">
        <v>1.7478</v>
      </c>
      <c r="H37">
        <v>1.0127999999999999</v>
      </c>
      <c r="I37">
        <v>1.2050000000000001</v>
      </c>
      <c r="J37">
        <v>0.69820000000000004</v>
      </c>
      <c r="K37" t="s">
        <v>479</v>
      </c>
      <c r="L37" t="s">
        <v>480</v>
      </c>
    </row>
    <row r="38" spans="1:12">
      <c r="A38" t="s">
        <v>38</v>
      </c>
      <c r="B38" t="s">
        <v>105</v>
      </c>
      <c r="C38" t="s">
        <v>301</v>
      </c>
      <c r="D38" t="s">
        <v>300</v>
      </c>
      <c r="E38">
        <v>0.37819999999999998</v>
      </c>
      <c r="F38">
        <v>0.29559999999999997</v>
      </c>
      <c r="G38">
        <v>1.5022</v>
      </c>
      <c r="H38">
        <v>1.4098999999999999</v>
      </c>
      <c r="I38">
        <v>1.0356000000000001</v>
      </c>
      <c r="J38">
        <v>0.97199999999999998</v>
      </c>
      <c r="K38" t="s">
        <v>479</v>
      </c>
      <c r="L38" t="s">
        <v>480</v>
      </c>
    </row>
    <row r="39" spans="1:12">
      <c r="A39" t="s">
        <v>39</v>
      </c>
      <c r="B39" t="s">
        <v>106</v>
      </c>
      <c r="C39" t="s">
        <v>302</v>
      </c>
      <c r="D39" t="s">
        <v>300</v>
      </c>
      <c r="E39">
        <v>0.56089999999999995</v>
      </c>
      <c r="F39">
        <v>4.3299999999999998E-2</v>
      </c>
      <c r="G39">
        <v>1.7914000000000001</v>
      </c>
      <c r="H39">
        <v>1.0583</v>
      </c>
      <c r="I39">
        <v>1.2350000000000001</v>
      </c>
      <c r="J39">
        <v>0.72960000000000003</v>
      </c>
      <c r="K39" t="s">
        <v>479</v>
      </c>
      <c r="L39" t="s">
        <v>480</v>
      </c>
    </row>
    <row r="40" spans="1:12">
      <c r="A40" t="s">
        <v>40</v>
      </c>
      <c r="B40" t="s">
        <v>107</v>
      </c>
      <c r="C40" t="s">
        <v>413</v>
      </c>
      <c r="D40" t="s">
        <v>300</v>
      </c>
      <c r="E40">
        <v>0.42520000000000002</v>
      </c>
      <c r="F40">
        <v>4.7899999999999998E-2</v>
      </c>
      <c r="G40">
        <v>1.5904</v>
      </c>
      <c r="H40">
        <v>1.0604</v>
      </c>
      <c r="I40">
        <v>1.0965</v>
      </c>
      <c r="J40">
        <v>0.73099999999999998</v>
      </c>
      <c r="K40" t="s">
        <v>479</v>
      </c>
      <c r="L40" t="s">
        <v>480</v>
      </c>
    </row>
    <row r="41" spans="1:12">
      <c r="A41" t="s">
        <v>41</v>
      </c>
      <c r="B41" t="s">
        <v>108</v>
      </c>
      <c r="C41" t="s">
        <v>303</v>
      </c>
      <c r="D41" t="s">
        <v>300</v>
      </c>
      <c r="E41">
        <v>0.443</v>
      </c>
      <c r="F41">
        <v>0.1948</v>
      </c>
      <c r="G41">
        <v>1.6185</v>
      </c>
      <c r="H41">
        <v>1.2714000000000001</v>
      </c>
      <c r="I41">
        <v>1.1157999999999999</v>
      </c>
      <c r="J41">
        <v>0.87649999999999995</v>
      </c>
      <c r="K41" t="s">
        <v>479</v>
      </c>
      <c r="L41" t="s">
        <v>480</v>
      </c>
    </row>
    <row r="42" spans="1:12">
      <c r="A42" t="s">
        <v>42</v>
      </c>
      <c r="B42" t="s">
        <v>109</v>
      </c>
      <c r="C42" t="s">
        <v>416</v>
      </c>
      <c r="D42" t="s">
        <v>300</v>
      </c>
      <c r="E42">
        <v>0.309</v>
      </c>
      <c r="F42">
        <v>0.1381</v>
      </c>
      <c r="G42">
        <v>1.4601</v>
      </c>
      <c r="H42">
        <v>1.1658999999999999</v>
      </c>
      <c r="I42">
        <v>1.0065999999999999</v>
      </c>
      <c r="J42">
        <v>0.80379999999999996</v>
      </c>
      <c r="K42" t="s">
        <v>479</v>
      </c>
      <c r="L42" t="s">
        <v>480</v>
      </c>
    </row>
    <row r="43" spans="1:12">
      <c r="A43" t="s">
        <v>43</v>
      </c>
      <c r="B43" t="s">
        <v>110</v>
      </c>
      <c r="C43" t="s">
        <v>418</v>
      </c>
      <c r="D43" t="s">
        <v>304</v>
      </c>
      <c r="E43">
        <v>0.31040000000000001</v>
      </c>
      <c r="F43">
        <v>0.26779999999999998</v>
      </c>
      <c r="G43">
        <v>1.5075000000000001</v>
      </c>
      <c r="H43">
        <v>1.3197000000000001</v>
      </c>
      <c r="I43">
        <v>1.0392999999999999</v>
      </c>
      <c r="J43">
        <v>0.90980000000000005</v>
      </c>
      <c r="K43" t="s">
        <v>479</v>
      </c>
      <c r="L43" t="s">
        <v>480</v>
      </c>
    </row>
    <row r="44" spans="1:12">
      <c r="A44" t="s">
        <v>44</v>
      </c>
      <c r="B44" t="s">
        <v>111</v>
      </c>
      <c r="C44" t="s">
        <v>296</v>
      </c>
      <c r="D44" t="s">
        <v>304</v>
      </c>
      <c r="E44">
        <v>0.48859999999999998</v>
      </c>
      <c r="F44">
        <v>0.1389</v>
      </c>
      <c r="G44">
        <v>1.7921</v>
      </c>
      <c r="H44">
        <v>1.2025999999999999</v>
      </c>
      <c r="I44">
        <v>1.2355</v>
      </c>
      <c r="J44">
        <v>0.82909999999999995</v>
      </c>
      <c r="K44" t="s">
        <v>479</v>
      </c>
      <c r="L44" t="s">
        <v>480</v>
      </c>
    </row>
    <row r="45" spans="1:12">
      <c r="A45" t="s">
        <v>45</v>
      </c>
      <c r="B45" t="s">
        <v>112</v>
      </c>
      <c r="C45" t="s">
        <v>421</v>
      </c>
      <c r="D45" t="s">
        <v>305</v>
      </c>
      <c r="E45">
        <v>0.25779999999999997</v>
      </c>
      <c r="F45">
        <v>0.90749999999999997</v>
      </c>
      <c r="G45">
        <v>1.3666</v>
      </c>
      <c r="H45">
        <v>2.3210999999999999</v>
      </c>
      <c r="I45">
        <v>0.94220000000000004</v>
      </c>
      <c r="J45">
        <v>1.6002000000000001</v>
      </c>
      <c r="K45" t="s">
        <v>477</v>
      </c>
      <c r="L45" t="s">
        <v>478</v>
      </c>
    </row>
    <row r="46" spans="1:12">
      <c r="A46" t="s">
        <v>46</v>
      </c>
      <c r="B46" t="s">
        <v>113</v>
      </c>
      <c r="C46" t="s">
        <v>306</v>
      </c>
      <c r="D46" t="s">
        <v>307</v>
      </c>
      <c r="E46">
        <v>9.9299999999999999E-2</v>
      </c>
      <c r="F46">
        <v>0.40200000000000002</v>
      </c>
      <c r="G46">
        <v>1.1416999999999999</v>
      </c>
      <c r="H46">
        <v>1.5674999999999999</v>
      </c>
      <c r="I46">
        <v>0.78710000000000002</v>
      </c>
      <c r="J46">
        <v>1.0807</v>
      </c>
      <c r="K46" t="s">
        <v>477</v>
      </c>
      <c r="L46" t="s">
        <v>478</v>
      </c>
    </row>
    <row r="47" spans="1:12">
      <c r="A47" t="s">
        <v>47</v>
      </c>
      <c r="B47" t="s">
        <v>114</v>
      </c>
      <c r="C47" t="s">
        <v>308</v>
      </c>
      <c r="D47" t="s">
        <v>307</v>
      </c>
      <c r="E47">
        <v>0.22850000000000001</v>
      </c>
      <c r="F47">
        <v>0.13009999999999999</v>
      </c>
      <c r="G47">
        <v>1.3247</v>
      </c>
      <c r="H47">
        <v>1.1713</v>
      </c>
      <c r="I47">
        <v>0.9133</v>
      </c>
      <c r="J47">
        <v>0.8075</v>
      </c>
      <c r="K47" t="s">
        <v>473</v>
      </c>
      <c r="L47" t="s">
        <v>474</v>
      </c>
    </row>
    <row r="48" spans="1:12">
      <c r="A48" t="s">
        <v>48</v>
      </c>
      <c r="B48" t="s">
        <v>115</v>
      </c>
      <c r="C48" t="s">
        <v>309</v>
      </c>
      <c r="D48" t="s">
        <v>307</v>
      </c>
      <c r="E48">
        <v>0.2361</v>
      </c>
      <c r="F48">
        <v>0.20649999999999999</v>
      </c>
      <c r="G48">
        <v>1.3120000000000001</v>
      </c>
      <c r="H48">
        <v>1.268</v>
      </c>
      <c r="I48">
        <v>0.90449999999999997</v>
      </c>
      <c r="J48">
        <v>0.87419999999999998</v>
      </c>
      <c r="K48" t="s">
        <v>473</v>
      </c>
      <c r="L48" t="s">
        <v>474</v>
      </c>
    </row>
    <row r="49" spans="1:12">
      <c r="A49" t="s">
        <v>49</v>
      </c>
      <c r="B49" t="s">
        <v>116</v>
      </c>
      <c r="C49" t="s">
        <v>426</v>
      </c>
      <c r="D49" t="s">
        <v>307</v>
      </c>
      <c r="E49">
        <v>0.2467</v>
      </c>
      <c r="F49">
        <v>1.1999999999999999E-3</v>
      </c>
      <c r="G49">
        <v>1.3492999999999999</v>
      </c>
      <c r="H49">
        <v>1.0015000000000001</v>
      </c>
      <c r="I49">
        <v>0.93020000000000003</v>
      </c>
      <c r="J49">
        <v>0.69040000000000001</v>
      </c>
      <c r="K49" t="s">
        <v>473</v>
      </c>
      <c r="L49" t="s">
        <v>474</v>
      </c>
    </row>
    <row r="50" spans="1:12">
      <c r="A50" t="s">
        <v>50</v>
      </c>
      <c r="B50" t="s">
        <v>117</v>
      </c>
      <c r="C50" t="s">
        <v>310</v>
      </c>
      <c r="D50" t="s">
        <v>429</v>
      </c>
      <c r="E50">
        <v>0.14699999999999999</v>
      </c>
      <c r="F50">
        <v>0.18129999999999999</v>
      </c>
      <c r="G50">
        <v>1.2103999999999999</v>
      </c>
      <c r="H50">
        <v>1.2806999999999999</v>
      </c>
      <c r="I50">
        <v>0.83450000000000002</v>
      </c>
      <c r="J50">
        <v>0.88300000000000001</v>
      </c>
      <c r="K50" t="s">
        <v>473</v>
      </c>
      <c r="L50" t="s">
        <v>474</v>
      </c>
    </row>
    <row r="51" spans="1:12">
      <c r="A51" t="s">
        <v>51</v>
      </c>
      <c r="B51" t="s">
        <v>118</v>
      </c>
      <c r="C51" t="s">
        <v>430</v>
      </c>
      <c r="D51" t="s">
        <v>118</v>
      </c>
      <c r="E51">
        <v>0.28110000000000002</v>
      </c>
      <c r="F51">
        <v>6.0600000000000001E-2</v>
      </c>
      <c r="G51">
        <v>1.3974</v>
      </c>
      <c r="H51">
        <v>1.0844</v>
      </c>
      <c r="I51">
        <v>0.96340000000000003</v>
      </c>
      <c r="J51">
        <v>0.74760000000000004</v>
      </c>
      <c r="K51" t="s">
        <v>473</v>
      </c>
      <c r="L51" t="s">
        <v>474</v>
      </c>
    </row>
    <row r="52" spans="1:12">
      <c r="A52" t="s">
        <v>52</v>
      </c>
      <c r="B52" t="s">
        <v>119</v>
      </c>
      <c r="C52" t="s">
        <v>432</v>
      </c>
      <c r="D52" t="s">
        <v>434</v>
      </c>
      <c r="E52">
        <v>0.28460000000000002</v>
      </c>
      <c r="F52">
        <v>0.32840000000000003</v>
      </c>
      <c r="G52">
        <v>1.4412</v>
      </c>
      <c r="H52">
        <v>1.4038999999999999</v>
      </c>
      <c r="I52">
        <v>0.99360000000000004</v>
      </c>
      <c r="J52">
        <v>0.96789999999999998</v>
      </c>
      <c r="K52" t="s">
        <v>473</v>
      </c>
      <c r="L52" t="s">
        <v>474</v>
      </c>
    </row>
    <row r="53" spans="1:12">
      <c r="A53" t="s">
        <v>53</v>
      </c>
      <c r="B53" t="s">
        <v>120</v>
      </c>
      <c r="C53" t="s">
        <v>435</v>
      </c>
      <c r="D53" t="s">
        <v>120</v>
      </c>
      <c r="E53">
        <v>0.22140000000000001</v>
      </c>
      <c r="F53">
        <v>1.7100000000000001E-2</v>
      </c>
      <c r="G53">
        <v>1.3412999999999999</v>
      </c>
      <c r="H53">
        <v>1.0239</v>
      </c>
      <c r="I53">
        <v>0.92469999999999997</v>
      </c>
      <c r="J53">
        <v>0.70589999999999997</v>
      </c>
      <c r="K53" t="s">
        <v>473</v>
      </c>
      <c r="L53" t="s">
        <v>474</v>
      </c>
    </row>
    <row r="54" spans="1:12">
      <c r="A54" t="s">
        <v>54</v>
      </c>
      <c r="B54" t="s">
        <v>121</v>
      </c>
      <c r="C54" t="s">
        <v>437</v>
      </c>
      <c r="D54" t="s">
        <v>121</v>
      </c>
      <c r="E54">
        <v>0.39019999999999999</v>
      </c>
      <c r="F54">
        <v>3.9699999999999999E-2</v>
      </c>
      <c r="G54">
        <v>1.6234999999999999</v>
      </c>
      <c r="H54">
        <v>1.0551999999999999</v>
      </c>
      <c r="I54">
        <v>1.1193</v>
      </c>
      <c r="J54">
        <v>0.72750000000000004</v>
      </c>
      <c r="K54" t="s">
        <v>479</v>
      </c>
      <c r="L54" t="s">
        <v>480</v>
      </c>
    </row>
    <row r="55" spans="1:12">
      <c r="A55" t="s">
        <v>55</v>
      </c>
      <c r="B55" t="s">
        <v>312</v>
      </c>
      <c r="C55" t="s">
        <v>311</v>
      </c>
      <c r="D55" t="s">
        <v>312</v>
      </c>
      <c r="E55">
        <v>0.25850000000000001</v>
      </c>
      <c r="F55">
        <v>0.22489999999999999</v>
      </c>
      <c r="G55">
        <v>1.3875999999999999</v>
      </c>
      <c r="H55">
        <v>1.2839</v>
      </c>
      <c r="I55">
        <v>0.95660000000000001</v>
      </c>
      <c r="J55">
        <v>0.88519999999999999</v>
      </c>
      <c r="K55" t="s">
        <v>473</v>
      </c>
      <c r="L55" t="s">
        <v>474</v>
      </c>
    </row>
    <row r="56" spans="1:12">
      <c r="A56" t="s">
        <v>56</v>
      </c>
      <c r="B56" t="s">
        <v>123</v>
      </c>
      <c r="C56" t="s">
        <v>439</v>
      </c>
      <c r="D56" t="s">
        <v>312</v>
      </c>
      <c r="E56">
        <v>0</v>
      </c>
      <c r="F56">
        <v>0</v>
      </c>
      <c r="G56">
        <v>1</v>
      </c>
      <c r="H56">
        <v>1</v>
      </c>
      <c r="I56">
        <v>0.68940000000000001</v>
      </c>
      <c r="J56">
        <v>0.68940000000000001</v>
      </c>
      <c r="K56" t="s">
        <v>473</v>
      </c>
      <c r="L56" t="s">
        <v>474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4EDC2-2880-4DCF-ACF6-5EBE3C11CE1C}">
  <dimension ref="A1:AE61"/>
  <sheetViews>
    <sheetView workbookViewId="0">
      <pane xSplit="2" ySplit="1" topLeftCell="H2" activePane="bottomRight" state="frozen"/>
      <selection pane="topRight" activeCell="C1" sqref="C1"/>
      <selection pane="bottomLeft" activeCell="A2" sqref="A2"/>
      <selection pane="bottomRight" activeCell="J28" sqref="J28"/>
    </sheetView>
  </sheetViews>
  <sheetFormatPr defaultRowHeight="14.5"/>
  <cols>
    <col min="2" max="2" width="35.1796875" customWidth="1"/>
    <col min="3" max="3" width="22.90625" bestFit="1" customWidth="1"/>
    <col min="4" max="4" width="28.1796875" bestFit="1" customWidth="1"/>
    <col min="5" max="5" width="29.90625" bestFit="1" customWidth="1"/>
    <col min="6" max="6" width="16.81640625" bestFit="1" customWidth="1"/>
    <col min="7" max="7" width="18.90625" bestFit="1" customWidth="1"/>
  </cols>
  <sheetData>
    <row r="1" spans="1:31">
      <c r="A1" t="s">
        <v>263</v>
      </c>
      <c r="B1" t="s">
        <v>264</v>
      </c>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c r="AE1" s="35" t="s">
        <v>451</v>
      </c>
    </row>
    <row r="2" spans="1:31">
      <c r="A2">
        <v>1</v>
      </c>
      <c r="B2" t="s">
        <v>69</v>
      </c>
      <c r="C2" s="32">
        <v>0</v>
      </c>
      <c r="D2" s="32">
        <v>0</v>
      </c>
      <c r="E2" s="32">
        <v>0</v>
      </c>
      <c r="F2" s="32">
        <v>0</v>
      </c>
      <c r="G2" s="32">
        <v>0</v>
      </c>
      <c r="H2" s="32">
        <v>0</v>
      </c>
      <c r="I2" s="32">
        <v>0</v>
      </c>
      <c r="J2" s="32">
        <v>0</v>
      </c>
      <c r="K2">
        <v>0.1</v>
      </c>
      <c r="L2" s="32">
        <v>0</v>
      </c>
      <c r="M2">
        <v>0.01</v>
      </c>
      <c r="N2" s="32">
        <v>0</v>
      </c>
      <c r="O2" s="32">
        <v>0</v>
      </c>
      <c r="P2" s="32">
        <v>0</v>
      </c>
      <c r="Q2" s="32">
        <v>0</v>
      </c>
      <c r="R2" s="32">
        <v>0</v>
      </c>
      <c r="S2">
        <v>1</v>
      </c>
      <c r="T2">
        <v>1</v>
      </c>
      <c r="U2" s="32">
        <v>0</v>
      </c>
      <c r="V2" s="32">
        <v>0</v>
      </c>
      <c r="W2" s="32">
        <v>0</v>
      </c>
      <c r="X2" s="32">
        <v>0</v>
      </c>
      <c r="Y2" s="32">
        <v>0</v>
      </c>
      <c r="Z2" s="32">
        <v>0</v>
      </c>
      <c r="AA2" s="32">
        <v>0</v>
      </c>
      <c r="AB2" s="32">
        <v>0</v>
      </c>
      <c r="AC2" s="32">
        <v>0</v>
      </c>
      <c r="AE2" s="35">
        <f>SUM(C2:AC2)</f>
        <v>2.1100000000000003</v>
      </c>
    </row>
    <row r="3" spans="1:31">
      <c r="A3">
        <v>2</v>
      </c>
      <c r="B3" t="s">
        <v>70</v>
      </c>
      <c r="C3" s="32">
        <v>0</v>
      </c>
      <c r="D3" s="32">
        <v>0</v>
      </c>
      <c r="E3" s="32">
        <v>0</v>
      </c>
      <c r="F3" s="32">
        <v>0</v>
      </c>
      <c r="G3" s="32">
        <v>0</v>
      </c>
      <c r="H3" s="32">
        <v>0</v>
      </c>
      <c r="I3" s="32">
        <v>0</v>
      </c>
      <c r="J3" s="32">
        <v>0</v>
      </c>
      <c r="K3">
        <v>0.1</v>
      </c>
      <c r="L3" s="32">
        <v>0</v>
      </c>
      <c r="M3">
        <v>0.01</v>
      </c>
      <c r="N3" s="32">
        <v>0</v>
      </c>
      <c r="O3" s="32">
        <v>0</v>
      </c>
      <c r="P3" s="32">
        <v>0</v>
      </c>
      <c r="Q3" s="32">
        <v>0</v>
      </c>
      <c r="R3" s="32">
        <v>0</v>
      </c>
      <c r="S3" s="32">
        <v>0</v>
      </c>
      <c r="T3" s="32">
        <v>0</v>
      </c>
      <c r="U3" s="32">
        <v>0</v>
      </c>
      <c r="V3">
        <v>1</v>
      </c>
      <c r="W3" s="32">
        <v>0</v>
      </c>
      <c r="X3" s="32">
        <v>0</v>
      </c>
      <c r="Y3" s="32">
        <v>0</v>
      </c>
      <c r="Z3" s="32">
        <v>0</v>
      </c>
      <c r="AA3" s="32">
        <v>0</v>
      </c>
      <c r="AB3" s="32">
        <v>0</v>
      </c>
      <c r="AC3" s="32">
        <v>0</v>
      </c>
      <c r="AE3" s="35">
        <f t="shared" ref="AE3:AE10" si="0">SUM(C3:AC3)</f>
        <v>1.1100000000000001</v>
      </c>
    </row>
    <row r="4" spans="1:31">
      <c r="A4">
        <v>3</v>
      </c>
      <c r="B4" t="s">
        <v>71</v>
      </c>
      <c r="C4" s="32">
        <v>0</v>
      </c>
      <c r="D4" s="32">
        <v>0</v>
      </c>
      <c r="E4" s="32">
        <v>0</v>
      </c>
      <c r="F4" s="32">
        <v>0</v>
      </c>
      <c r="G4">
        <v>0.05</v>
      </c>
      <c r="H4" s="32">
        <v>0</v>
      </c>
      <c r="I4" s="32">
        <v>0</v>
      </c>
      <c r="J4" s="32">
        <v>0</v>
      </c>
      <c r="K4">
        <v>0.2</v>
      </c>
      <c r="L4" s="32">
        <v>0</v>
      </c>
      <c r="M4">
        <v>0.9</v>
      </c>
      <c r="N4">
        <v>1</v>
      </c>
      <c r="O4" s="32">
        <v>0</v>
      </c>
      <c r="P4" s="32">
        <v>0</v>
      </c>
      <c r="Q4" s="32">
        <v>0</v>
      </c>
      <c r="R4" s="32">
        <v>0</v>
      </c>
      <c r="S4" s="32">
        <v>0</v>
      </c>
      <c r="T4" s="32">
        <v>0</v>
      </c>
      <c r="U4" s="32">
        <v>0</v>
      </c>
      <c r="V4" s="32">
        <v>0</v>
      </c>
      <c r="W4" s="32">
        <v>0</v>
      </c>
      <c r="X4" s="32">
        <v>0</v>
      </c>
      <c r="Y4" s="32">
        <v>0</v>
      </c>
      <c r="Z4" s="32">
        <v>0</v>
      </c>
      <c r="AA4" s="32">
        <v>0</v>
      </c>
      <c r="AB4" s="32">
        <v>0</v>
      </c>
      <c r="AC4" s="32">
        <v>0</v>
      </c>
      <c r="AE4" s="35">
        <f t="shared" si="0"/>
        <v>2.15</v>
      </c>
    </row>
    <row r="5" spans="1:31">
      <c r="A5">
        <v>4</v>
      </c>
      <c r="B5" t="s">
        <v>72</v>
      </c>
      <c r="C5" s="32">
        <v>0</v>
      </c>
      <c r="D5" s="32">
        <v>0</v>
      </c>
      <c r="E5" s="32">
        <v>0</v>
      </c>
      <c r="F5" s="32">
        <v>0</v>
      </c>
      <c r="G5" s="32">
        <v>0</v>
      </c>
      <c r="H5" s="32">
        <v>0</v>
      </c>
      <c r="I5" s="32">
        <v>0</v>
      </c>
      <c r="J5" s="32">
        <v>0</v>
      </c>
      <c r="K5" s="32">
        <v>0</v>
      </c>
      <c r="L5" s="32">
        <v>0</v>
      </c>
      <c r="M5" s="32">
        <v>0</v>
      </c>
      <c r="N5" s="32">
        <v>0</v>
      </c>
      <c r="O5">
        <v>1</v>
      </c>
      <c r="P5">
        <v>1</v>
      </c>
      <c r="Q5" s="32">
        <v>0</v>
      </c>
      <c r="R5" s="32">
        <v>0</v>
      </c>
      <c r="S5" s="32">
        <v>0</v>
      </c>
      <c r="T5" s="32">
        <v>0</v>
      </c>
      <c r="U5" s="32">
        <v>0</v>
      </c>
      <c r="V5" s="32">
        <v>0</v>
      </c>
      <c r="W5" s="32">
        <v>0</v>
      </c>
      <c r="X5" s="32">
        <v>0</v>
      </c>
      <c r="Y5" s="32">
        <v>0</v>
      </c>
      <c r="Z5" s="32">
        <v>0</v>
      </c>
      <c r="AA5" s="32">
        <v>0</v>
      </c>
      <c r="AB5" s="32">
        <v>0</v>
      </c>
      <c r="AC5" s="32">
        <v>0</v>
      </c>
      <c r="AE5" s="35">
        <f t="shared" si="0"/>
        <v>2</v>
      </c>
    </row>
    <row r="6" spans="1:31">
      <c r="A6">
        <v>5</v>
      </c>
      <c r="B6" t="s">
        <v>73</v>
      </c>
      <c r="C6" s="32">
        <v>0</v>
      </c>
      <c r="D6" s="32">
        <v>0</v>
      </c>
      <c r="E6" s="32">
        <v>0</v>
      </c>
      <c r="F6" s="32">
        <v>0</v>
      </c>
      <c r="G6">
        <v>0.01</v>
      </c>
      <c r="H6" s="32">
        <v>0</v>
      </c>
      <c r="I6" s="32">
        <v>0</v>
      </c>
      <c r="J6" s="32">
        <v>0</v>
      </c>
      <c r="K6">
        <v>0.3</v>
      </c>
      <c r="L6">
        <v>1</v>
      </c>
      <c r="M6">
        <v>0.08</v>
      </c>
      <c r="N6" s="32">
        <v>0</v>
      </c>
      <c r="O6" s="32">
        <v>0</v>
      </c>
      <c r="P6" s="32">
        <v>0</v>
      </c>
      <c r="Q6">
        <v>1</v>
      </c>
      <c r="R6">
        <v>1</v>
      </c>
      <c r="S6" s="32">
        <v>0</v>
      </c>
      <c r="T6" s="32">
        <v>0</v>
      </c>
      <c r="U6">
        <v>1</v>
      </c>
      <c r="V6" s="32">
        <v>0</v>
      </c>
      <c r="W6" s="32">
        <v>0</v>
      </c>
      <c r="X6" s="32">
        <v>0</v>
      </c>
      <c r="Y6" s="32">
        <v>0</v>
      </c>
      <c r="Z6" s="32">
        <v>0</v>
      </c>
      <c r="AA6" s="32">
        <v>0</v>
      </c>
      <c r="AB6" s="32">
        <v>0</v>
      </c>
      <c r="AC6" s="32">
        <v>0</v>
      </c>
      <c r="AE6" s="35">
        <f>SUM(C6:AC6)</f>
        <v>4.3900000000000006</v>
      </c>
    </row>
    <row r="7" spans="1:31">
      <c r="A7">
        <v>6</v>
      </c>
      <c r="B7" t="s">
        <v>74</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v>0.2</v>
      </c>
      <c r="Y7" s="32">
        <v>0</v>
      </c>
      <c r="Z7" s="32">
        <v>0</v>
      </c>
      <c r="AA7" s="32">
        <v>0</v>
      </c>
      <c r="AB7" s="32">
        <v>0</v>
      </c>
      <c r="AC7" s="32">
        <v>0</v>
      </c>
      <c r="AE7" s="35">
        <f t="shared" si="0"/>
        <v>0.2</v>
      </c>
    </row>
    <row r="8" spans="1:31">
      <c r="A8">
        <v>7</v>
      </c>
      <c r="B8" t="s">
        <v>75</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E8" s="36"/>
    </row>
    <row r="9" spans="1:31">
      <c r="A9">
        <v>8</v>
      </c>
      <c r="B9" t="s">
        <v>76</v>
      </c>
      <c r="C9" s="32">
        <v>0</v>
      </c>
      <c r="D9">
        <v>7.0000000000000007E-2</v>
      </c>
      <c r="E9">
        <v>0.1</v>
      </c>
      <c r="F9" s="32">
        <v>0</v>
      </c>
      <c r="G9">
        <v>0.01</v>
      </c>
      <c r="H9" s="32">
        <v>0</v>
      </c>
      <c r="I9" s="32">
        <v>0</v>
      </c>
      <c r="J9">
        <v>0.2</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E9" s="35">
        <f t="shared" si="0"/>
        <v>0.38</v>
      </c>
    </row>
    <row r="10" spans="1:31">
      <c r="A10">
        <v>9</v>
      </c>
      <c r="B10" t="s">
        <v>77</v>
      </c>
      <c r="C10" s="32">
        <v>0</v>
      </c>
      <c r="D10" s="32">
        <v>0</v>
      </c>
      <c r="E10" s="32">
        <v>0</v>
      </c>
      <c r="F10" s="32">
        <v>0</v>
      </c>
      <c r="G10">
        <v>0.01</v>
      </c>
      <c r="H10">
        <v>0.03</v>
      </c>
      <c r="I10">
        <v>7.0000000000000007E-2</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v>1</v>
      </c>
      <c r="AC10" s="32">
        <v>0</v>
      </c>
      <c r="AE10" s="35">
        <f t="shared" si="0"/>
        <v>1.1100000000000001</v>
      </c>
    </row>
    <row r="11" spans="1:31">
      <c r="A11">
        <v>10</v>
      </c>
      <c r="B11" t="s">
        <v>78</v>
      </c>
    </row>
    <row r="12" spans="1:31">
      <c r="A12">
        <v>11</v>
      </c>
      <c r="B12" t="s">
        <v>79</v>
      </c>
    </row>
    <row r="13" spans="1:31">
      <c r="A13">
        <v>12</v>
      </c>
      <c r="B13" t="s">
        <v>80</v>
      </c>
    </row>
    <row r="14" spans="1:31">
      <c r="A14">
        <v>13</v>
      </c>
      <c r="B14" t="s">
        <v>81</v>
      </c>
    </row>
    <row r="15" spans="1:31">
      <c r="A15">
        <v>14</v>
      </c>
      <c r="B15" t="s">
        <v>82</v>
      </c>
    </row>
    <row r="16" spans="1:31">
      <c r="A16">
        <v>15</v>
      </c>
      <c r="B16" t="s">
        <v>83</v>
      </c>
    </row>
    <row r="17" spans="1:2">
      <c r="A17">
        <v>16</v>
      </c>
      <c r="B17" t="s">
        <v>84</v>
      </c>
    </row>
    <row r="18" spans="1:2">
      <c r="A18">
        <v>17</v>
      </c>
      <c r="B18" t="s">
        <v>85</v>
      </c>
    </row>
    <row r="19" spans="1:2">
      <c r="A19">
        <v>18</v>
      </c>
      <c r="B19" t="s">
        <v>86</v>
      </c>
    </row>
    <row r="20" spans="1:2">
      <c r="A20">
        <v>19</v>
      </c>
      <c r="B20" t="s">
        <v>87</v>
      </c>
    </row>
    <row r="21" spans="1:2">
      <c r="A21">
        <v>20</v>
      </c>
      <c r="B21" t="s">
        <v>88</v>
      </c>
    </row>
    <row r="22" spans="1:2">
      <c r="A22">
        <v>21</v>
      </c>
      <c r="B22" t="s">
        <v>89</v>
      </c>
    </row>
    <row r="23" spans="1:2">
      <c r="A23">
        <v>22</v>
      </c>
      <c r="B23" t="s">
        <v>90</v>
      </c>
    </row>
    <row r="24" spans="1:2">
      <c r="A24">
        <v>23</v>
      </c>
      <c r="B24" t="s">
        <v>91</v>
      </c>
    </row>
    <row r="25" spans="1:2">
      <c r="A25">
        <v>24</v>
      </c>
      <c r="B25" t="s">
        <v>92</v>
      </c>
    </row>
    <row r="26" spans="1:2">
      <c r="A26">
        <v>25</v>
      </c>
      <c r="B26" t="s">
        <v>93</v>
      </c>
    </row>
    <row r="27" spans="1:2">
      <c r="A27">
        <v>26</v>
      </c>
      <c r="B27" t="s">
        <v>94</v>
      </c>
    </row>
    <row r="28" spans="1:2">
      <c r="A28">
        <v>27</v>
      </c>
      <c r="B28" t="s">
        <v>95</v>
      </c>
    </row>
    <row r="29" spans="1:2">
      <c r="A29">
        <v>28</v>
      </c>
      <c r="B29" t="s">
        <v>96</v>
      </c>
    </row>
    <row r="30" spans="1:2">
      <c r="A30">
        <v>29</v>
      </c>
      <c r="B30" t="s">
        <v>97</v>
      </c>
    </row>
    <row r="31" spans="1:2">
      <c r="A31">
        <v>30</v>
      </c>
      <c r="B31" t="s">
        <v>98</v>
      </c>
    </row>
    <row r="32" spans="1:2">
      <c r="A32">
        <v>31</v>
      </c>
      <c r="B32" t="s">
        <v>99</v>
      </c>
    </row>
    <row r="33" spans="1:2">
      <c r="A33">
        <v>32</v>
      </c>
      <c r="B33" t="s">
        <v>100</v>
      </c>
    </row>
    <row r="34" spans="1:2">
      <c r="A34">
        <v>33</v>
      </c>
      <c r="B34" t="s">
        <v>101</v>
      </c>
    </row>
    <row r="35" spans="1:2">
      <c r="A35">
        <v>34</v>
      </c>
      <c r="B35" t="s">
        <v>102</v>
      </c>
    </row>
    <row r="36" spans="1:2">
      <c r="A36">
        <v>35</v>
      </c>
      <c r="B36" t="s">
        <v>103</v>
      </c>
    </row>
    <row r="37" spans="1:2">
      <c r="A37">
        <v>36</v>
      </c>
      <c r="B37" t="s">
        <v>104</v>
      </c>
    </row>
    <row r="38" spans="1:2">
      <c r="A38">
        <v>37</v>
      </c>
      <c r="B38" t="s">
        <v>105</v>
      </c>
    </row>
    <row r="39" spans="1:2">
      <c r="A39">
        <v>38</v>
      </c>
      <c r="B39" t="s">
        <v>106</v>
      </c>
    </row>
    <row r="40" spans="1:2">
      <c r="A40">
        <v>39</v>
      </c>
      <c r="B40" t="s">
        <v>107</v>
      </c>
    </row>
    <row r="41" spans="1:2">
      <c r="A41">
        <v>40</v>
      </c>
      <c r="B41" t="s">
        <v>108</v>
      </c>
    </row>
    <row r="42" spans="1:2">
      <c r="A42">
        <v>41</v>
      </c>
      <c r="B42" t="s">
        <v>109</v>
      </c>
    </row>
    <row r="43" spans="1:2">
      <c r="A43">
        <v>42</v>
      </c>
      <c r="B43" t="s">
        <v>110</v>
      </c>
    </row>
    <row r="44" spans="1:2">
      <c r="A44">
        <v>43</v>
      </c>
      <c r="B44" t="s">
        <v>111</v>
      </c>
    </row>
    <row r="45" spans="1:2">
      <c r="A45">
        <v>44</v>
      </c>
      <c r="B45" t="s">
        <v>112</v>
      </c>
    </row>
    <row r="46" spans="1:2">
      <c r="A46">
        <v>45</v>
      </c>
      <c r="B46" t="s">
        <v>113</v>
      </c>
    </row>
    <row r="47" spans="1:2">
      <c r="A47">
        <v>46</v>
      </c>
      <c r="B47" t="s">
        <v>114</v>
      </c>
    </row>
    <row r="48" spans="1:2">
      <c r="A48">
        <v>47</v>
      </c>
      <c r="B48" t="s">
        <v>115</v>
      </c>
    </row>
    <row r="49" spans="1:29">
      <c r="A49">
        <v>48</v>
      </c>
      <c r="B49" t="s">
        <v>116</v>
      </c>
    </row>
    <row r="50" spans="1:29">
      <c r="A50">
        <v>49</v>
      </c>
      <c r="B50" t="s">
        <v>117</v>
      </c>
    </row>
    <row r="51" spans="1:29">
      <c r="A51">
        <v>50</v>
      </c>
      <c r="B51" t="s">
        <v>118</v>
      </c>
    </row>
    <row r="52" spans="1:29">
      <c r="A52">
        <v>51</v>
      </c>
      <c r="B52" t="s">
        <v>119</v>
      </c>
    </row>
    <row r="53" spans="1:29">
      <c r="A53">
        <v>52</v>
      </c>
      <c r="B53" t="s">
        <v>120</v>
      </c>
    </row>
    <row r="54" spans="1:29">
      <c r="A54">
        <v>53</v>
      </c>
      <c r="B54" t="s">
        <v>121</v>
      </c>
    </row>
    <row r="55" spans="1:29">
      <c r="A55">
        <v>54</v>
      </c>
      <c r="B55" t="s">
        <v>122</v>
      </c>
    </row>
    <row r="56" spans="1:29">
      <c r="A56" s="30">
        <v>61</v>
      </c>
      <c r="B56" s="31" t="s">
        <v>123</v>
      </c>
      <c r="C56" s="32">
        <f>C60-C61</f>
        <v>1</v>
      </c>
      <c r="D56" s="32">
        <f t="shared" ref="D56:AC56" si="1">D60-D61</f>
        <v>0.92999999999999994</v>
      </c>
      <c r="E56" s="32">
        <f t="shared" si="1"/>
        <v>0.9</v>
      </c>
      <c r="F56" s="32">
        <f t="shared" si="1"/>
        <v>1</v>
      </c>
      <c r="G56" s="32">
        <f t="shared" si="1"/>
        <v>0.92</v>
      </c>
      <c r="H56" s="32">
        <f t="shared" si="1"/>
        <v>0.97</v>
      </c>
      <c r="I56" s="32">
        <f t="shared" si="1"/>
        <v>0.92999999999999994</v>
      </c>
      <c r="J56" s="32">
        <f t="shared" si="1"/>
        <v>0.8</v>
      </c>
      <c r="K56" s="32">
        <f t="shared" si="1"/>
        <v>0.30000000000000004</v>
      </c>
      <c r="L56" s="32">
        <f t="shared" si="1"/>
        <v>0</v>
      </c>
      <c r="M56" s="32">
        <f>M60-M61</f>
        <v>0</v>
      </c>
      <c r="N56" s="32">
        <f t="shared" si="1"/>
        <v>0</v>
      </c>
      <c r="O56" s="32">
        <f t="shared" si="1"/>
        <v>0</v>
      </c>
      <c r="P56" s="32">
        <f t="shared" si="1"/>
        <v>0</v>
      </c>
      <c r="Q56" s="32">
        <f t="shared" si="1"/>
        <v>0</v>
      </c>
      <c r="R56" s="32">
        <f t="shared" si="1"/>
        <v>0</v>
      </c>
      <c r="S56" s="32">
        <f t="shared" si="1"/>
        <v>0</v>
      </c>
      <c r="T56" s="32">
        <f t="shared" si="1"/>
        <v>0</v>
      </c>
      <c r="U56" s="32">
        <f t="shared" si="1"/>
        <v>0</v>
      </c>
      <c r="V56" s="32">
        <f t="shared" si="1"/>
        <v>0</v>
      </c>
      <c r="W56" s="32">
        <f t="shared" si="1"/>
        <v>1</v>
      </c>
      <c r="X56" s="32">
        <f t="shared" si="1"/>
        <v>0.8</v>
      </c>
      <c r="Y56" s="32">
        <f t="shared" si="1"/>
        <v>1</v>
      </c>
      <c r="Z56" s="32">
        <f t="shared" si="1"/>
        <v>1</v>
      </c>
      <c r="AA56" s="32">
        <f t="shared" si="1"/>
        <v>1</v>
      </c>
      <c r="AB56" s="32">
        <f t="shared" si="1"/>
        <v>0</v>
      </c>
      <c r="AC56" s="32">
        <f t="shared" si="1"/>
        <v>1</v>
      </c>
    </row>
    <row r="58" spans="1:29">
      <c r="C58" s="33">
        <f>SUM(C2:C56)</f>
        <v>1</v>
      </c>
      <c r="D58" s="33">
        <f t="shared" ref="D58:AC58" si="2">SUM(D2:D56)</f>
        <v>1</v>
      </c>
      <c r="E58" s="33">
        <f t="shared" si="2"/>
        <v>1</v>
      </c>
      <c r="F58" s="33">
        <f t="shared" si="2"/>
        <v>1</v>
      </c>
      <c r="G58" s="33">
        <f t="shared" si="2"/>
        <v>1</v>
      </c>
      <c r="H58" s="33">
        <f t="shared" si="2"/>
        <v>1</v>
      </c>
      <c r="I58" s="33">
        <f t="shared" si="2"/>
        <v>1</v>
      </c>
      <c r="J58" s="33">
        <f t="shared" si="2"/>
        <v>1</v>
      </c>
      <c r="K58" s="33">
        <f t="shared" si="2"/>
        <v>1</v>
      </c>
      <c r="L58" s="33">
        <f t="shared" si="2"/>
        <v>1</v>
      </c>
      <c r="M58" s="33">
        <f t="shared" si="2"/>
        <v>1</v>
      </c>
      <c r="N58" s="33">
        <f t="shared" si="2"/>
        <v>1</v>
      </c>
      <c r="O58" s="33">
        <f t="shared" si="2"/>
        <v>1</v>
      </c>
      <c r="P58" s="33">
        <f t="shared" si="2"/>
        <v>1</v>
      </c>
      <c r="Q58" s="33">
        <f t="shared" si="2"/>
        <v>1</v>
      </c>
      <c r="R58" s="33">
        <f t="shared" si="2"/>
        <v>1</v>
      </c>
      <c r="S58" s="33">
        <f t="shared" si="2"/>
        <v>1</v>
      </c>
      <c r="T58" s="33">
        <f t="shared" si="2"/>
        <v>1</v>
      </c>
      <c r="U58" s="33">
        <f t="shared" si="2"/>
        <v>1</v>
      </c>
      <c r="V58" s="33">
        <f t="shared" si="2"/>
        <v>1</v>
      </c>
      <c r="W58" s="33">
        <f t="shared" si="2"/>
        <v>1</v>
      </c>
      <c r="X58" s="33">
        <f t="shared" si="2"/>
        <v>1</v>
      </c>
      <c r="Y58" s="33">
        <f t="shared" si="2"/>
        <v>1</v>
      </c>
      <c r="Z58" s="33">
        <f t="shared" si="2"/>
        <v>1</v>
      </c>
      <c r="AA58" s="33">
        <f t="shared" si="2"/>
        <v>1</v>
      </c>
      <c r="AB58" s="33">
        <f t="shared" si="2"/>
        <v>1</v>
      </c>
      <c r="AC58" s="33">
        <f t="shared" si="2"/>
        <v>1</v>
      </c>
    </row>
    <row r="60" spans="1:29">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row>
    <row r="61" spans="1:29">
      <c r="C61" s="33">
        <f>SUM(C2:C55)</f>
        <v>0</v>
      </c>
      <c r="D61" s="33">
        <f t="shared" ref="D61:AC61" si="3">SUM(D2:D55)</f>
        <v>7.0000000000000007E-2</v>
      </c>
      <c r="E61" s="33">
        <f t="shared" si="3"/>
        <v>0.1</v>
      </c>
      <c r="F61" s="33">
        <f t="shared" si="3"/>
        <v>0</v>
      </c>
      <c r="G61" s="33">
        <f t="shared" si="3"/>
        <v>0.08</v>
      </c>
      <c r="H61" s="33">
        <f t="shared" si="3"/>
        <v>0.03</v>
      </c>
      <c r="I61" s="33">
        <f t="shared" si="3"/>
        <v>7.0000000000000007E-2</v>
      </c>
      <c r="J61" s="33">
        <f t="shared" si="3"/>
        <v>0.2</v>
      </c>
      <c r="K61" s="33">
        <f t="shared" si="3"/>
        <v>0.7</v>
      </c>
      <c r="L61" s="33">
        <f t="shared" si="3"/>
        <v>1</v>
      </c>
      <c r="M61" s="33">
        <f t="shared" si="3"/>
        <v>1</v>
      </c>
      <c r="N61" s="33">
        <f t="shared" si="3"/>
        <v>1</v>
      </c>
      <c r="O61" s="33">
        <f t="shared" si="3"/>
        <v>1</v>
      </c>
      <c r="P61" s="33">
        <f t="shared" si="3"/>
        <v>1</v>
      </c>
      <c r="Q61" s="33">
        <f t="shared" si="3"/>
        <v>1</v>
      </c>
      <c r="R61" s="33">
        <f t="shared" si="3"/>
        <v>1</v>
      </c>
      <c r="S61" s="33">
        <f t="shared" si="3"/>
        <v>1</v>
      </c>
      <c r="T61" s="33">
        <f t="shared" si="3"/>
        <v>1</v>
      </c>
      <c r="U61" s="33">
        <f t="shared" si="3"/>
        <v>1</v>
      </c>
      <c r="V61" s="33">
        <f t="shared" si="3"/>
        <v>1</v>
      </c>
      <c r="W61" s="33">
        <f t="shared" si="3"/>
        <v>0</v>
      </c>
      <c r="X61" s="33">
        <f t="shared" si="3"/>
        <v>0.2</v>
      </c>
      <c r="Y61" s="33">
        <f t="shared" si="3"/>
        <v>0</v>
      </c>
      <c r="Z61" s="33">
        <f t="shared" si="3"/>
        <v>0</v>
      </c>
      <c r="AA61" s="33">
        <f t="shared" si="3"/>
        <v>0</v>
      </c>
      <c r="AB61" s="33">
        <f t="shared" si="3"/>
        <v>1</v>
      </c>
      <c r="AC61" s="33">
        <f t="shared" si="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0AB6D-C28E-499E-898B-42B2FBC58F71}">
  <dimension ref="A1:AE67"/>
  <sheetViews>
    <sheetView workbookViewId="0">
      <pane xSplit="2" ySplit="2" topLeftCell="N3" activePane="bottomRight" state="frozen"/>
      <selection pane="topRight" activeCell="C1" sqref="C1"/>
      <selection pane="bottomLeft" activeCell="A2" sqref="A2"/>
      <selection pane="bottomRight" activeCell="G12" sqref="G12"/>
    </sheetView>
  </sheetViews>
  <sheetFormatPr defaultRowHeight="14.5"/>
  <cols>
    <col min="2" max="2" width="35.1796875" customWidth="1"/>
    <col min="13" max="13" width="15.54296875" bestFit="1" customWidth="1"/>
  </cols>
  <sheetData>
    <row r="1" spans="1:31">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row>
    <row r="2" spans="1:31">
      <c r="A2" t="s">
        <v>263</v>
      </c>
      <c r="B2" t="s">
        <v>264</v>
      </c>
      <c r="C2">
        <v>1</v>
      </c>
      <c r="D2">
        <v>2</v>
      </c>
      <c r="E2">
        <v>3</v>
      </c>
      <c r="F2">
        <v>4</v>
      </c>
      <c r="G2">
        <v>5</v>
      </c>
      <c r="H2">
        <v>6</v>
      </c>
      <c r="I2">
        <v>7</v>
      </c>
      <c r="J2">
        <v>8</v>
      </c>
      <c r="K2">
        <v>9</v>
      </c>
      <c r="L2">
        <v>10</v>
      </c>
      <c r="M2">
        <v>11</v>
      </c>
      <c r="N2">
        <v>12</v>
      </c>
      <c r="O2">
        <v>13</v>
      </c>
      <c r="P2">
        <v>14</v>
      </c>
      <c r="Q2">
        <v>15</v>
      </c>
      <c r="R2">
        <v>16</v>
      </c>
      <c r="S2">
        <v>17</v>
      </c>
      <c r="T2">
        <v>18</v>
      </c>
      <c r="U2">
        <v>19</v>
      </c>
      <c r="V2">
        <v>20</v>
      </c>
      <c r="W2" s="4">
        <v>21</v>
      </c>
      <c r="X2" s="4">
        <v>22</v>
      </c>
      <c r="Y2">
        <v>23</v>
      </c>
      <c r="Z2">
        <v>24</v>
      </c>
      <c r="AA2">
        <v>25</v>
      </c>
      <c r="AB2">
        <v>26</v>
      </c>
      <c r="AC2">
        <v>27</v>
      </c>
      <c r="AE2" s="35" t="s">
        <v>451</v>
      </c>
    </row>
    <row r="3" spans="1:31">
      <c r="A3">
        <v>1</v>
      </c>
      <c r="B3" t="s">
        <v>69</v>
      </c>
      <c r="C3" s="32">
        <v>0</v>
      </c>
      <c r="D3" s="32">
        <v>0</v>
      </c>
      <c r="E3" s="32">
        <v>0</v>
      </c>
      <c r="F3" s="32">
        <v>0</v>
      </c>
      <c r="G3" s="32">
        <v>0</v>
      </c>
      <c r="H3" s="32">
        <v>0</v>
      </c>
      <c r="I3" s="32">
        <v>0</v>
      </c>
      <c r="J3" s="32">
        <v>0</v>
      </c>
      <c r="K3">
        <v>0.1</v>
      </c>
      <c r="L3" s="32">
        <v>0</v>
      </c>
      <c r="M3">
        <v>0.01</v>
      </c>
      <c r="N3" s="32">
        <v>0</v>
      </c>
      <c r="O3" s="32">
        <v>0</v>
      </c>
      <c r="P3" s="32">
        <v>0</v>
      </c>
      <c r="Q3" s="32">
        <v>0</v>
      </c>
      <c r="R3" s="32">
        <v>0</v>
      </c>
      <c r="S3">
        <v>1</v>
      </c>
      <c r="T3">
        <v>1</v>
      </c>
      <c r="U3" s="32">
        <v>0</v>
      </c>
      <c r="V3" s="32">
        <v>0</v>
      </c>
      <c r="W3" s="32">
        <v>0</v>
      </c>
      <c r="X3" s="32">
        <v>0</v>
      </c>
      <c r="Y3" s="32">
        <v>0</v>
      </c>
      <c r="Z3" s="32">
        <v>0</v>
      </c>
      <c r="AA3" s="32">
        <v>0</v>
      </c>
      <c r="AB3" s="32">
        <v>0</v>
      </c>
      <c r="AC3" s="32">
        <v>0</v>
      </c>
      <c r="AE3" s="35">
        <f>SUM(C3:AC3)</f>
        <v>2.1100000000000003</v>
      </c>
    </row>
    <row r="4" spans="1:31">
      <c r="A4">
        <v>2</v>
      </c>
      <c r="B4" t="s">
        <v>70</v>
      </c>
      <c r="C4" s="32">
        <v>0</v>
      </c>
      <c r="D4" s="32">
        <v>0</v>
      </c>
      <c r="E4" s="32">
        <v>0</v>
      </c>
      <c r="F4" s="32">
        <v>0</v>
      </c>
      <c r="G4" s="32">
        <v>0</v>
      </c>
      <c r="H4" s="32">
        <v>0</v>
      </c>
      <c r="I4" s="32">
        <v>0</v>
      </c>
      <c r="J4" s="32">
        <v>0</v>
      </c>
      <c r="K4">
        <v>0.1</v>
      </c>
      <c r="L4" s="32">
        <v>0</v>
      </c>
      <c r="M4">
        <v>0.01</v>
      </c>
      <c r="N4" s="32">
        <v>0</v>
      </c>
      <c r="O4" s="32">
        <v>0</v>
      </c>
      <c r="P4" s="32">
        <v>0</v>
      </c>
      <c r="Q4" s="32">
        <v>0</v>
      </c>
      <c r="R4" s="32">
        <v>0</v>
      </c>
      <c r="S4" s="32">
        <v>0</v>
      </c>
      <c r="T4" s="32">
        <v>0</v>
      </c>
      <c r="U4" s="32">
        <v>0</v>
      </c>
      <c r="V4">
        <v>1</v>
      </c>
      <c r="W4" s="32">
        <v>0</v>
      </c>
      <c r="X4" s="32">
        <v>0</v>
      </c>
      <c r="Y4" s="32">
        <v>0</v>
      </c>
      <c r="Z4" s="32">
        <v>0</v>
      </c>
      <c r="AA4" s="32">
        <v>0</v>
      </c>
      <c r="AB4" s="32">
        <v>0</v>
      </c>
      <c r="AC4" s="32">
        <v>0</v>
      </c>
      <c r="AE4" s="35">
        <f t="shared" ref="AE4:AE11" si="0">SUM(C4:AC4)</f>
        <v>1.1100000000000001</v>
      </c>
    </row>
    <row r="5" spans="1:31">
      <c r="A5">
        <v>3</v>
      </c>
      <c r="B5" t="s">
        <v>71</v>
      </c>
      <c r="C5" s="32">
        <v>0</v>
      </c>
      <c r="D5" s="32">
        <v>0</v>
      </c>
      <c r="E5" s="32">
        <v>0</v>
      </c>
      <c r="F5" s="32">
        <v>0</v>
      </c>
      <c r="G5">
        <f>0.05+0.03</f>
        <v>0.08</v>
      </c>
      <c r="H5" s="32">
        <v>0</v>
      </c>
      <c r="I5" s="32">
        <v>0</v>
      </c>
      <c r="J5" s="32">
        <v>0</v>
      </c>
      <c r="K5">
        <v>0.2</v>
      </c>
      <c r="L5" s="32">
        <v>0</v>
      </c>
      <c r="M5">
        <v>0.9</v>
      </c>
      <c r="N5">
        <v>1</v>
      </c>
      <c r="O5" s="32">
        <v>0</v>
      </c>
      <c r="P5" s="32">
        <v>0</v>
      </c>
      <c r="Q5" s="32">
        <v>0</v>
      </c>
      <c r="R5" s="32">
        <v>0</v>
      </c>
      <c r="S5" s="32">
        <v>0</v>
      </c>
      <c r="T5" s="32">
        <v>0</v>
      </c>
      <c r="U5" s="32">
        <v>0</v>
      </c>
      <c r="V5" s="32">
        <v>0</v>
      </c>
      <c r="W5" s="32">
        <v>0</v>
      </c>
      <c r="X5" s="32">
        <v>0</v>
      </c>
      <c r="Y5" s="32">
        <v>0</v>
      </c>
      <c r="Z5" s="32">
        <v>0</v>
      </c>
      <c r="AA5" s="32">
        <v>0</v>
      </c>
      <c r="AB5" s="32">
        <v>0</v>
      </c>
      <c r="AC5" s="32">
        <v>0</v>
      </c>
      <c r="AE5" s="35">
        <f t="shared" si="0"/>
        <v>2.1800000000000002</v>
      </c>
    </row>
    <row r="6" spans="1:31">
      <c r="A6">
        <v>4</v>
      </c>
      <c r="B6" t="s">
        <v>72</v>
      </c>
      <c r="C6" s="32">
        <v>0</v>
      </c>
      <c r="D6" s="32">
        <v>0</v>
      </c>
      <c r="E6" s="32">
        <v>0</v>
      </c>
      <c r="F6" s="32">
        <v>0</v>
      </c>
      <c r="G6" s="32">
        <v>0</v>
      </c>
      <c r="H6" s="32">
        <v>0</v>
      </c>
      <c r="I6" s="32">
        <v>0</v>
      </c>
      <c r="J6" s="32">
        <v>0</v>
      </c>
      <c r="K6" s="32">
        <v>0</v>
      </c>
      <c r="L6" s="32">
        <v>0</v>
      </c>
      <c r="M6" s="32">
        <v>0</v>
      </c>
      <c r="N6" s="32">
        <v>0</v>
      </c>
      <c r="O6">
        <v>1</v>
      </c>
      <c r="P6">
        <v>1</v>
      </c>
      <c r="Q6" s="32">
        <v>0</v>
      </c>
      <c r="R6" s="32">
        <v>0</v>
      </c>
      <c r="S6" s="32">
        <v>0</v>
      </c>
      <c r="T6" s="32">
        <v>0</v>
      </c>
      <c r="U6" s="32">
        <v>0</v>
      </c>
      <c r="V6" s="32">
        <v>0</v>
      </c>
      <c r="W6" s="32">
        <v>0</v>
      </c>
      <c r="X6" s="32">
        <v>0</v>
      </c>
      <c r="Y6" s="32">
        <v>0</v>
      </c>
      <c r="Z6" s="32">
        <v>0</v>
      </c>
      <c r="AA6" s="32">
        <v>0</v>
      </c>
      <c r="AB6" s="32">
        <v>0</v>
      </c>
      <c r="AC6" s="32">
        <v>0</v>
      </c>
      <c r="AE6" s="35">
        <f t="shared" si="0"/>
        <v>2</v>
      </c>
    </row>
    <row r="7" spans="1:31">
      <c r="A7">
        <v>5</v>
      </c>
      <c r="B7" t="s">
        <v>73</v>
      </c>
      <c r="C7" s="35">
        <f>0.05</f>
        <v>0.05</v>
      </c>
      <c r="D7" s="35">
        <v>0.05</v>
      </c>
      <c r="E7" s="35">
        <v>0.05</v>
      </c>
      <c r="F7" s="32">
        <v>0</v>
      </c>
      <c r="G7">
        <f>0.01+0.03</f>
        <v>0.04</v>
      </c>
      <c r="H7" s="32">
        <v>0</v>
      </c>
      <c r="I7" s="32">
        <v>0</v>
      </c>
      <c r="J7" s="32">
        <v>0</v>
      </c>
      <c r="K7">
        <v>0.3</v>
      </c>
      <c r="L7">
        <v>1</v>
      </c>
      <c r="M7">
        <v>0.08</v>
      </c>
      <c r="N7" s="32">
        <v>0</v>
      </c>
      <c r="O7" s="32">
        <v>0</v>
      </c>
      <c r="P7" s="32">
        <v>0</v>
      </c>
      <c r="Q7">
        <v>1</v>
      </c>
      <c r="R7">
        <v>1</v>
      </c>
      <c r="S7" s="32">
        <v>0</v>
      </c>
      <c r="T7" s="32">
        <v>0</v>
      </c>
      <c r="U7">
        <v>1</v>
      </c>
      <c r="V7" s="32">
        <v>0</v>
      </c>
      <c r="W7" s="32">
        <v>0</v>
      </c>
      <c r="X7" s="32">
        <v>0</v>
      </c>
      <c r="Y7" s="32">
        <v>0</v>
      </c>
      <c r="Z7" s="32">
        <v>0</v>
      </c>
      <c r="AA7" s="32">
        <v>0</v>
      </c>
      <c r="AB7" s="32">
        <v>0</v>
      </c>
      <c r="AC7" s="32">
        <v>0</v>
      </c>
      <c r="AE7" s="35">
        <f>SUM(C7:AC7)</f>
        <v>4.57</v>
      </c>
    </row>
    <row r="8" spans="1:31">
      <c r="A8">
        <v>6</v>
      </c>
      <c r="B8" t="s">
        <v>74</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f>0.2+0.1</f>
        <v>0.30000000000000004</v>
      </c>
      <c r="Y8" s="32">
        <v>0</v>
      </c>
      <c r="Z8" s="32">
        <v>0</v>
      </c>
      <c r="AA8" s="32">
        <v>0</v>
      </c>
      <c r="AB8" s="32">
        <v>0</v>
      </c>
      <c r="AC8" s="32">
        <v>0</v>
      </c>
      <c r="AE8" s="35">
        <f t="shared" si="0"/>
        <v>0.30000000000000004</v>
      </c>
    </row>
    <row r="9" spans="1:31">
      <c r="A9">
        <v>7</v>
      </c>
      <c r="B9" t="s">
        <v>75</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E9" s="36"/>
    </row>
    <row r="10" spans="1:31">
      <c r="A10">
        <v>8</v>
      </c>
      <c r="B10" t="s">
        <v>76</v>
      </c>
      <c r="C10" s="35">
        <v>0.05</v>
      </c>
      <c r="D10" s="35">
        <f>0.07+0.03</f>
        <v>0.1</v>
      </c>
      <c r="E10" s="35">
        <f>0.1+0.03</f>
        <v>0.13</v>
      </c>
      <c r="F10" s="32">
        <v>0</v>
      </c>
      <c r="G10">
        <f>0.01+0.03</f>
        <v>0.04</v>
      </c>
      <c r="H10" s="32">
        <v>0</v>
      </c>
      <c r="I10" s="32">
        <v>0</v>
      </c>
      <c r="J10" s="35">
        <f>0.2+0.2</f>
        <v>0.4</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E10" s="35">
        <f t="shared" si="0"/>
        <v>0.72</v>
      </c>
    </row>
    <row r="11" spans="1:31">
      <c r="A11">
        <v>9</v>
      </c>
      <c r="B11" t="s">
        <v>77</v>
      </c>
      <c r="C11" s="32">
        <v>0</v>
      </c>
      <c r="D11" s="32">
        <v>0</v>
      </c>
      <c r="E11" s="32">
        <v>0</v>
      </c>
      <c r="F11" s="32">
        <v>0</v>
      </c>
      <c r="G11">
        <f>0.01+0.03</f>
        <v>0.04</v>
      </c>
      <c r="H11">
        <f>0.03+0.02</f>
        <v>0.05</v>
      </c>
      <c r="I11">
        <f>0.07+0.02</f>
        <v>9.0000000000000011E-2</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v>1</v>
      </c>
      <c r="AC11" s="32">
        <v>0</v>
      </c>
      <c r="AE11" s="35">
        <f t="shared" si="0"/>
        <v>1.18</v>
      </c>
    </row>
    <row r="12" spans="1:31">
      <c r="A12">
        <v>10</v>
      </c>
      <c r="B12" t="s">
        <v>78</v>
      </c>
    </row>
    <row r="13" spans="1:31">
      <c r="A13">
        <v>11</v>
      </c>
      <c r="B13" t="s">
        <v>79</v>
      </c>
    </row>
    <row r="14" spans="1:31">
      <c r="A14">
        <v>12</v>
      </c>
      <c r="B14" t="s">
        <v>80</v>
      </c>
    </row>
    <row r="15" spans="1:31">
      <c r="A15">
        <v>13</v>
      </c>
      <c r="B15" t="s">
        <v>81</v>
      </c>
    </row>
    <row r="16" spans="1:31">
      <c r="A16">
        <v>14</v>
      </c>
      <c r="B16" t="s">
        <v>82</v>
      </c>
    </row>
    <row r="17" spans="1:2">
      <c r="A17">
        <v>15</v>
      </c>
      <c r="B17" t="s">
        <v>83</v>
      </c>
    </row>
    <row r="18" spans="1:2">
      <c r="A18">
        <v>16</v>
      </c>
      <c r="B18" t="s">
        <v>84</v>
      </c>
    </row>
    <row r="19" spans="1:2">
      <c r="A19">
        <v>17</v>
      </c>
      <c r="B19" t="s">
        <v>85</v>
      </c>
    </row>
    <row r="20" spans="1:2">
      <c r="A20">
        <v>18</v>
      </c>
      <c r="B20" t="s">
        <v>86</v>
      </c>
    </row>
    <row r="21" spans="1:2">
      <c r="A21">
        <v>19</v>
      </c>
      <c r="B21" t="s">
        <v>87</v>
      </c>
    </row>
    <row r="22" spans="1:2">
      <c r="A22">
        <v>20</v>
      </c>
      <c r="B22" t="s">
        <v>88</v>
      </c>
    </row>
    <row r="23" spans="1:2">
      <c r="A23">
        <v>21</v>
      </c>
      <c r="B23" t="s">
        <v>89</v>
      </c>
    </row>
    <row r="24" spans="1:2">
      <c r="A24">
        <v>22</v>
      </c>
      <c r="B24" t="s">
        <v>90</v>
      </c>
    </row>
    <row r="25" spans="1:2">
      <c r="A25">
        <v>23</v>
      </c>
      <c r="B25" t="s">
        <v>91</v>
      </c>
    </row>
    <row r="26" spans="1:2">
      <c r="A26">
        <v>24</v>
      </c>
      <c r="B26" t="s">
        <v>92</v>
      </c>
    </row>
    <row r="27" spans="1:2">
      <c r="A27">
        <v>25</v>
      </c>
      <c r="B27" t="s">
        <v>93</v>
      </c>
    </row>
    <row r="28" spans="1:2">
      <c r="A28">
        <v>26</v>
      </c>
      <c r="B28" t="s">
        <v>94</v>
      </c>
    </row>
    <row r="29" spans="1:2">
      <c r="A29">
        <v>27</v>
      </c>
      <c r="B29" t="s">
        <v>95</v>
      </c>
    </row>
    <row r="30" spans="1:2">
      <c r="A30">
        <v>28</v>
      </c>
      <c r="B30" t="s">
        <v>96</v>
      </c>
    </row>
    <row r="31" spans="1:2">
      <c r="A31">
        <v>29</v>
      </c>
      <c r="B31" t="s">
        <v>97</v>
      </c>
    </row>
    <row r="32" spans="1:2">
      <c r="A32">
        <v>30</v>
      </c>
      <c r="B32" t="s">
        <v>98</v>
      </c>
    </row>
    <row r="33" spans="1:2">
      <c r="A33">
        <v>31</v>
      </c>
      <c r="B33" t="s">
        <v>99</v>
      </c>
    </row>
    <row r="34" spans="1:2">
      <c r="A34">
        <v>32</v>
      </c>
      <c r="B34" t="s">
        <v>100</v>
      </c>
    </row>
    <row r="35" spans="1:2">
      <c r="A35">
        <v>33</v>
      </c>
      <c r="B35" t="s">
        <v>101</v>
      </c>
    </row>
    <row r="36" spans="1:2">
      <c r="A36">
        <v>34</v>
      </c>
      <c r="B36" t="s">
        <v>102</v>
      </c>
    </row>
    <row r="37" spans="1:2">
      <c r="A37">
        <v>35</v>
      </c>
      <c r="B37" t="s">
        <v>103</v>
      </c>
    </row>
    <row r="38" spans="1:2">
      <c r="A38">
        <v>36</v>
      </c>
      <c r="B38" t="s">
        <v>104</v>
      </c>
    </row>
    <row r="39" spans="1:2">
      <c r="A39">
        <v>37</v>
      </c>
      <c r="B39" t="s">
        <v>105</v>
      </c>
    </row>
    <row r="40" spans="1:2">
      <c r="A40">
        <v>38</v>
      </c>
      <c r="B40" t="s">
        <v>106</v>
      </c>
    </row>
    <row r="41" spans="1:2">
      <c r="A41">
        <v>39</v>
      </c>
      <c r="B41" t="s">
        <v>107</v>
      </c>
    </row>
    <row r="42" spans="1:2">
      <c r="A42">
        <v>40</v>
      </c>
      <c r="B42" t="s">
        <v>108</v>
      </c>
    </row>
    <row r="43" spans="1:2">
      <c r="A43">
        <v>41</v>
      </c>
      <c r="B43" t="s">
        <v>109</v>
      </c>
    </row>
    <row r="44" spans="1:2">
      <c r="A44">
        <v>42</v>
      </c>
      <c r="B44" t="s">
        <v>110</v>
      </c>
    </row>
    <row r="45" spans="1:2">
      <c r="A45">
        <v>43</v>
      </c>
      <c r="B45" t="s">
        <v>111</v>
      </c>
    </row>
    <row r="46" spans="1:2">
      <c r="A46">
        <v>44</v>
      </c>
      <c r="B46" t="s">
        <v>112</v>
      </c>
    </row>
    <row r="47" spans="1:2">
      <c r="A47">
        <v>45</v>
      </c>
      <c r="B47" t="s">
        <v>113</v>
      </c>
    </row>
    <row r="48" spans="1:2">
      <c r="A48">
        <v>46</v>
      </c>
      <c r="B48" t="s">
        <v>114</v>
      </c>
    </row>
    <row r="49" spans="1:29">
      <c r="A49">
        <v>47</v>
      </c>
      <c r="B49" t="s">
        <v>115</v>
      </c>
    </row>
    <row r="50" spans="1:29">
      <c r="A50">
        <v>48</v>
      </c>
      <c r="B50" t="s">
        <v>116</v>
      </c>
    </row>
    <row r="51" spans="1:29">
      <c r="A51">
        <v>49</v>
      </c>
      <c r="B51" t="s">
        <v>117</v>
      </c>
    </row>
    <row r="52" spans="1:29">
      <c r="A52">
        <v>50</v>
      </c>
      <c r="B52" t="s">
        <v>118</v>
      </c>
    </row>
    <row r="53" spans="1:29">
      <c r="A53">
        <v>51</v>
      </c>
      <c r="B53" t="s">
        <v>119</v>
      </c>
    </row>
    <row r="54" spans="1:29">
      <c r="A54">
        <v>52</v>
      </c>
      <c r="B54" t="s">
        <v>120</v>
      </c>
    </row>
    <row r="55" spans="1:29">
      <c r="A55">
        <v>53</v>
      </c>
      <c r="B55" t="s">
        <v>121</v>
      </c>
    </row>
    <row r="56" spans="1:29">
      <c r="A56">
        <v>54</v>
      </c>
      <c r="B56" t="s">
        <v>122</v>
      </c>
    </row>
    <row r="57" spans="1:29">
      <c r="A57" s="30">
        <v>61</v>
      </c>
      <c r="B57" s="31" t="s">
        <v>123</v>
      </c>
      <c r="C57" s="32">
        <f>C61-C62</f>
        <v>0.9</v>
      </c>
      <c r="D57" s="32">
        <f t="shared" ref="D57:AC57" si="1">D61-D62</f>
        <v>0.85</v>
      </c>
      <c r="E57" s="32">
        <f t="shared" si="1"/>
        <v>0.82000000000000006</v>
      </c>
      <c r="F57" s="32">
        <f t="shared" si="1"/>
        <v>1</v>
      </c>
      <c r="G57" s="32">
        <f t="shared" si="1"/>
        <v>0.8</v>
      </c>
      <c r="H57" s="32">
        <f t="shared" si="1"/>
        <v>0.95</v>
      </c>
      <c r="I57" s="32">
        <f t="shared" si="1"/>
        <v>0.91</v>
      </c>
      <c r="J57" s="32">
        <f t="shared" si="1"/>
        <v>0.6</v>
      </c>
      <c r="K57" s="32">
        <f t="shared" si="1"/>
        <v>0.30000000000000004</v>
      </c>
      <c r="L57" s="32">
        <f t="shared" si="1"/>
        <v>0</v>
      </c>
      <c r="M57" s="32">
        <f>M61-M62</f>
        <v>0</v>
      </c>
      <c r="N57" s="32">
        <f t="shared" si="1"/>
        <v>0</v>
      </c>
      <c r="O57" s="32">
        <f t="shared" si="1"/>
        <v>0</v>
      </c>
      <c r="P57" s="32">
        <f t="shared" si="1"/>
        <v>0</v>
      </c>
      <c r="Q57" s="32">
        <f t="shared" si="1"/>
        <v>0</v>
      </c>
      <c r="R57" s="32">
        <f t="shared" si="1"/>
        <v>0</v>
      </c>
      <c r="S57" s="32">
        <f t="shared" si="1"/>
        <v>0</v>
      </c>
      <c r="T57" s="32">
        <f t="shared" si="1"/>
        <v>0</v>
      </c>
      <c r="U57" s="32">
        <f t="shared" si="1"/>
        <v>0</v>
      </c>
      <c r="V57" s="32">
        <f t="shared" si="1"/>
        <v>0</v>
      </c>
      <c r="W57" s="32">
        <f t="shared" si="1"/>
        <v>1</v>
      </c>
      <c r="X57" s="32">
        <f t="shared" si="1"/>
        <v>0.7</v>
      </c>
      <c r="Y57" s="32">
        <f t="shared" si="1"/>
        <v>1</v>
      </c>
      <c r="Z57" s="32">
        <f t="shared" si="1"/>
        <v>1</v>
      </c>
      <c r="AA57" s="32">
        <f t="shared" si="1"/>
        <v>1</v>
      </c>
      <c r="AB57" s="32">
        <f t="shared" si="1"/>
        <v>0</v>
      </c>
      <c r="AC57" s="32">
        <f t="shared" si="1"/>
        <v>1</v>
      </c>
    </row>
    <row r="59" spans="1:29">
      <c r="C59" s="33">
        <f>SUM(C3:C57)</f>
        <v>1</v>
      </c>
      <c r="D59" s="33">
        <f t="shared" ref="D59:AC59" si="2">SUM(D3:D57)</f>
        <v>1</v>
      </c>
      <c r="E59" s="33">
        <f t="shared" si="2"/>
        <v>1</v>
      </c>
      <c r="F59" s="33">
        <f t="shared" si="2"/>
        <v>1</v>
      </c>
      <c r="G59" s="33">
        <f t="shared" si="2"/>
        <v>1</v>
      </c>
      <c r="H59" s="33">
        <f t="shared" si="2"/>
        <v>1</v>
      </c>
      <c r="I59" s="33">
        <f t="shared" si="2"/>
        <v>1</v>
      </c>
      <c r="J59" s="33">
        <f t="shared" si="2"/>
        <v>1</v>
      </c>
      <c r="K59" s="33">
        <f t="shared" si="2"/>
        <v>1</v>
      </c>
      <c r="L59" s="33">
        <f t="shared" si="2"/>
        <v>1</v>
      </c>
      <c r="M59" s="33">
        <f t="shared" si="2"/>
        <v>1</v>
      </c>
      <c r="N59" s="33">
        <f t="shared" si="2"/>
        <v>1</v>
      </c>
      <c r="O59" s="33">
        <f t="shared" si="2"/>
        <v>1</v>
      </c>
      <c r="P59" s="33">
        <f t="shared" si="2"/>
        <v>1</v>
      </c>
      <c r="Q59" s="33">
        <f t="shared" si="2"/>
        <v>1</v>
      </c>
      <c r="R59" s="33">
        <f t="shared" si="2"/>
        <v>1</v>
      </c>
      <c r="S59" s="33">
        <f t="shared" si="2"/>
        <v>1</v>
      </c>
      <c r="T59" s="33">
        <f t="shared" si="2"/>
        <v>1</v>
      </c>
      <c r="U59" s="33">
        <f t="shared" si="2"/>
        <v>1</v>
      </c>
      <c r="V59" s="33">
        <f t="shared" si="2"/>
        <v>1</v>
      </c>
      <c r="W59" s="33">
        <f t="shared" si="2"/>
        <v>1</v>
      </c>
      <c r="X59" s="33">
        <f t="shared" si="2"/>
        <v>1</v>
      </c>
      <c r="Y59" s="33">
        <f t="shared" si="2"/>
        <v>1</v>
      </c>
      <c r="Z59" s="33">
        <f t="shared" si="2"/>
        <v>1</v>
      </c>
      <c r="AA59" s="33">
        <f t="shared" si="2"/>
        <v>1</v>
      </c>
      <c r="AB59" s="33">
        <f t="shared" si="2"/>
        <v>1</v>
      </c>
      <c r="AC59" s="33">
        <f t="shared" si="2"/>
        <v>1</v>
      </c>
    </row>
    <row r="61" spans="1:29">
      <c r="C61">
        <v>1</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row>
    <row r="62" spans="1:29">
      <c r="C62" s="33">
        <f>SUM(C3:C56)</f>
        <v>0.1</v>
      </c>
      <c r="D62" s="33">
        <f t="shared" ref="D62:AC62" si="3">SUM(D3:D56)</f>
        <v>0.15000000000000002</v>
      </c>
      <c r="E62" s="33">
        <f t="shared" si="3"/>
        <v>0.18</v>
      </c>
      <c r="F62" s="33">
        <f t="shared" si="3"/>
        <v>0</v>
      </c>
      <c r="G62" s="33">
        <f t="shared" si="3"/>
        <v>0.2</v>
      </c>
      <c r="H62" s="33">
        <f t="shared" si="3"/>
        <v>0.05</v>
      </c>
      <c r="I62" s="33">
        <f t="shared" si="3"/>
        <v>9.0000000000000011E-2</v>
      </c>
      <c r="J62" s="33">
        <f t="shared" si="3"/>
        <v>0.4</v>
      </c>
      <c r="K62" s="33">
        <f t="shared" si="3"/>
        <v>0.7</v>
      </c>
      <c r="L62" s="33">
        <f t="shared" si="3"/>
        <v>1</v>
      </c>
      <c r="M62" s="33">
        <f t="shared" si="3"/>
        <v>1</v>
      </c>
      <c r="N62" s="33">
        <f t="shared" si="3"/>
        <v>1</v>
      </c>
      <c r="O62" s="33">
        <f t="shared" si="3"/>
        <v>1</v>
      </c>
      <c r="P62" s="33">
        <f t="shared" si="3"/>
        <v>1</v>
      </c>
      <c r="Q62" s="33">
        <f t="shared" si="3"/>
        <v>1</v>
      </c>
      <c r="R62" s="33">
        <f t="shared" si="3"/>
        <v>1</v>
      </c>
      <c r="S62" s="33">
        <f t="shared" si="3"/>
        <v>1</v>
      </c>
      <c r="T62" s="33">
        <f t="shared" si="3"/>
        <v>1</v>
      </c>
      <c r="U62" s="33">
        <f t="shared" si="3"/>
        <v>1</v>
      </c>
      <c r="V62" s="33">
        <f t="shared" si="3"/>
        <v>1</v>
      </c>
      <c r="W62" s="33">
        <f t="shared" si="3"/>
        <v>0</v>
      </c>
      <c r="X62" s="33">
        <f t="shared" si="3"/>
        <v>0.30000000000000004</v>
      </c>
      <c r="Y62" s="33">
        <f t="shared" si="3"/>
        <v>0</v>
      </c>
      <c r="Z62" s="33">
        <f t="shared" si="3"/>
        <v>0</v>
      </c>
      <c r="AA62" s="33">
        <f t="shared" si="3"/>
        <v>0</v>
      </c>
      <c r="AB62" s="33">
        <f t="shared" si="3"/>
        <v>1</v>
      </c>
      <c r="AC62" s="33">
        <f t="shared" si="3"/>
        <v>0</v>
      </c>
    </row>
    <row r="63" spans="1:29" ht="20">
      <c r="B63" s="50" t="s">
        <v>490</v>
      </c>
    </row>
    <row r="64" spans="1:29" ht="20">
      <c r="B64" s="50" t="s">
        <v>491</v>
      </c>
    </row>
    <row r="65" spans="2:2" ht="22.5">
      <c r="B65" s="49" t="s">
        <v>489</v>
      </c>
    </row>
    <row r="66" spans="2:2" ht="30">
      <c r="B66" s="49" t="s">
        <v>492</v>
      </c>
    </row>
    <row r="67" spans="2:2" ht="20">
      <c r="B67" s="51" t="s">
        <v>493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F8D53-00EB-4FEE-8CEB-3D3D74D6696F}">
  <dimension ref="A1:AL101"/>
  <sheetViews>
    <sheetView tabSelected="1" topLeftCell="B76" zoomScale="55" workbookViewId="0">
      <selection activeCell="H80" sqref="H80"/>
    </sheetView>
  </sheetViews>
  <sheetFormatPr defaultRowHeight="14.5"/>
  <cols>
    <col min="2" max="2" width="82" bestFit="1" customWidth="1"/>
    <col min="3" max="3" width="30.54296875" customWidth="1"/>
    <col min="4" max="5" width="14.6328125" bestFit="1" customWidth="1"/>
  </cols>
  <sheetData>
    <row r="1" spans="1:23">
      <c r="A1" t="s">
        <v>263</v>
      </c>
      <c r="B1" t="s">
        <v>264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row>
    <row r="2" spans="1:23">
      <c r="A2">
        <v>1</v>
      </c>
      <c r="B2" s="34" t="s">
        <v>69</v>
      </c>
      <c r="C2" s="32">
        <v>0</v>
      </c>
      <c r="D2" s="32">
        <v>0</v>
      </c>
      <c r="E2" s="32">
        <v>0</v>
      </c>
      <c r="F2" s="32">
        <v>0</v>
      </c>
      <c r="G2" s="32">
        <v>0</v>
      </c>
      <c r="H2" s="3">
        <v>1.0000000000000028E-2</v>
      </c>
      <c r="I2" s="3">
        <v>1.6000000000000025E-2</v>
      </c>
      <c r="J2" s="3">
        <v>2.200000000000002E-2</v>
      </c>
      <c r="K2" s="3">
        <v>2.8000000000000018E-2</v>
      </c>
      <c r="L2" s="3">
        <v>3.4000000000000016E-2</v>
      </c>
      <c r="M2" s="3">
        <v>4.0000000000000008E-2</v>
      </c>
      <c r="N2" s="3">
        <v>4.6000000000000006E-2</v>
      </c>
      <c r="O2" s="3">
        <v>5.2000000000000005E-2</v>
      </c>
      <c r="P2" s="3">
        <v>5.8000000000000003E-2</v>
      </c>
      <c r="Q2" s="3">
        <v>6.4000000000000001E-2</v>
      </c>
      <c r="R2" s="3">
        <v>6.9999999999999993E-2</v>
      </c>
      <c r="S2" s="3">
        <v>7.5999999999999984E-2</v>
      </c>
      <c r="T2" s="3">
        <v>8.199999999999999E-2</v>
      </c>
      <c r="U2" s="3">
        <v>8.7999999999999981E-2</v>
      </c>
      <c r="V2" s="3">
        <v>9.3999999999999986E-2</v>
      </c>
      <c r="W2" s="3">
        <v>9.9999999999999978E-2</v>
      </c>
    </row>
    <row r="3" spans="1:23">
      <c r="A3">
        <v>2</v>
      </c>
      <c r="B3" s="34" t="s">
        <v>70</v>
      </c>
      <c r="C3" s="32">
        <v>0</v>
      </c>
      <c r="D3" s="32">
        <v>0</v>
      </c>
      <c r="E3" s="32">
        <v>0</v>
      </c>
      <c r="F3" s="32">
        <v>0</v>
      </c>
      <c r="G3" s="32">
        <v>0</v>
      </c>
      <c r="H3" s="3">
        <v>1.0000000000000028E-2</v>
      </c>
      <c r="I3" s="3">
        <v>1.6000000000000025E-2</v>
      </c>
      <c r="J3" s="3">
        <v>2.200000000000002E-2</v>
      </c>
      <c r="K3" s="3">
        <v>2.8000000000000018E-2</v>
      </c>
      <c r="L3" s="3">
        <v>3.4000000000000016E-2</v>
      </c>
      <c r="M3" s="3">
        <v>4.0000000000000008E-2</v>
      </c>
      <c r="N3" s="3">
        <v>4.6000000000000006E-2</v>
      </c>
      <c r="O3" s="3">
        <v>5.2000000000000005E-2</v>
      </c>
      <c r="P3" s="3">
        <v>5.8000000000000003E-2</v>
      </c>
      <c r="Q3" s="3">
        <v>6.4000000000000001E-2</v>
      </c>
      <c r="R3" s="3">
        <v>6.9999999999999993E-2</v>
      </c>
      <c r="S3" s="3">
        <v>7.5999999999999984E-2</v>
      </c>
      <c r="T3" s="3">
        <v>8.199999999999999E-2</v>
      </c>
      <c r="U3" s="3">
        <v>8.7999999999999981E-2</v>
      </c>
      <c r="V3" s="3">
        <v>9.3999999999999986E-2</v>
      </c>
      <c r="W3" s="3">
        <v>9.9999999999999978E-2</v>
      </c>
    </row>
    <row r="4" spans="1:23">
      <c r="A4">
        <v>3</v>
      </c>
      <c r="B4" s="34" t="s">
        <v>71</v>
      </c>
      <c r="C4" s="32">
        <v>0</v>
      </c>
      <c r="D4" s="32">
        <v>0</v>
      </c>
      <c r="E4" s="32">
        <v>0</v>
      </c>
      <c r="F4" s="32">
        <v>0</v>
      </c>
      <c r="G4" s="32">
        <v>0</v>
      </c>
      <c r="H4" s="3">
        <v>1.0000000000000028E-2</v>
      </c>
      <c r="I4" s="3">
        <v>1.6000000000000025E-2</v>
      </c>
      <c r="J4" s="3">
        <v>2.200000000000002E-2</v>
      </c>
      <c r="K4" s="3">
        <v>2.8000000000000018E-2</v>
      </c>
      <c r="L4" s="3">
        <v>3.4000000000000016E-2</v>
      </c>
      <c r="M4" s="3">
        <v>4.0000000000000008E-2</v>
      </c>
      <c r="N4" s="3">
        <v>4.6000000000000006E-2</v>
      </c>
      <c r="O4" s="3">
        <v>5.2000000000000005E-2</v>
      </c>
      <c r="P4" s="3">
        <v>5.8000000000000003E-2</v>
      </c>
      <c r="Q4" s="3">
        <v>6.4000000000000001E-2</v>
      </c>
      <c r="R4" s="3">
        <v>6.9999999999999993E-2</v>
      </c>
      <c r="S4" s="3">
        <v>7.5999999999999984E-2</v>
      </c>
      <c r="T4" s="3">
        <v>8.199999999999999E-2</v>
      </c>
      <c r="U4" s="3">
        <v>8.7999999999999981E-2</v>
      </c>
      <c r="V4" s="3">
        <v>9.3999999999999986E-2</v>
      </c>
      <c r="W4" s="3">
        <v>9.9999999999999978E-2</v>
      </c>
    </row>
    <row r="5" spans="1:23">
      <c r="A5">
        <v>4</v>
      </c>
      <c r="B5" s="34" t="s">
        <v>72</v>
      </c>
      <c r="C5" s="32">
        <v>0</v>
      </c>
      <c r="D5" s="32">
        <v>0</v>
      </c>
      <c r="E5" s="32">
        <v>0</v>
      </c>
      <c r="F5" s="32">
        <v>0</v>
      </c>
      <c r="G5" s="32">
        <v>0</v>
      </c>
      <c r="H5" s="3">
        <v>1.0000000000000028E-2</v>
      </c>
      <c r="I5" s="3">
        <v>1.6000000000000025E-2</v>
      </c>
      <c r="J5" s="3">
        <v>2.200000000000002E-2</v>
      </c>
      <c r="K5" s="3">
        <v>2.8000000000000018E-2</v>
      </c>
      <c r="L5" s="3">
        <v>3.4000000000000016E-2</v>
      </c>
      <c r="M5" s="3">
        <v>4.0000000000000008E-2</v>
      </c>
      <c r="N5" s="3">
        <v>4.6000000000000006E-2</v>
      </c>
      <c r="O5" s="3">
        <v>5.2000000000000005E-2</v>
      </c>
      <c r="P5" s="3">
        <v>5.8000000000000003E-2</v>
      </c>
      <c r="Q5" s="3">
        <v>6.4000000000000001E-2</v>
      </c>
      <c r="R5" s="3">
        <v>6.9999999999999993E-2</v>
      </c>
      <c r="S5" s="3">
        <v>7.5999999999999984E-2</v>
      </c>
      <c r="T5" s="3">
        <v>8.199999999999999E-2</v>
      </c>
      <c r="U5" s="3">
        <v>8.7999999999999981E-2</v>
      </c>
      <c r="V5" s="3">
        <v>9.3999999999999986E-2</v>
      </c>
      <c r="W5" s="3">
        <v>9.9999999999999978E-2</v>
      </c>
    </row>
    <row r="6" spans="1:23">
      <c r="A6">
        <v>5</v>
      </c>
      <c r="B6" s="34" t="s">
        <v>73</v>
      </c>
      <c r="C6" s="32">
        <v>0</v>
      </c>
      <c r="D6" s="32">
        <v>0</v>
      </c>
      <c r="E6" s="32">
        <v>0</v>
      </c>
      <c r="F6" s="32">
        <v>0</v>
      </c>
      <c r="G6" s="32">
        <v>0</v>
      </c>
      <c r="H6" s="3">
        <v>1.0000000000000028E-2</v>
      </c>
      <c r="I6" s="3">
        <v>1.6000000000000025E-2</v>
      </c>
      <c r="J6" s="3">
        <v>2.200000000000002E-2</v>
      </c>
      <c r="K6" s="3">
        <v>2.8000000000000018E-2</v>
      </c>
      <c r="L6" s="3">
        <v>3.4000000000000016E-2</v>
      </c>
      <c r="M6" s="3">
        <v>4.0000000000000008E-2</v>
      </c>
      <c r="N6" s="3">
        <v>4.6000000000000006E-2</v>
      </c>
      <c r="O6" s="3">
        <v>5.2000000000000005E-2</v>
      </c>
      <c r="P6" s="3">
        <v>5.8000000000000003E-2</v>
      </c>
      <c r="Q6" s="3">
        <v>6.4000000000000001E-2</v>
      </c>
      <c r="R6" s="3">
        <v>6.9999999999999993E-2</v>
      </c>
      <c r="S6" s="3">
        <v>7.5999999999999984E-2</v>
      </c>
      <c r="T6" s="3">
        <v>8.199999999999999E-2</v>
      </c>
      <c r="U6" s="3">
        <v>8.7999999999999981E-2</v>
      </c>
      <c r="V6" s="3">
        <v>9.3999999999999986E-2</v>
      </c>
      <c r="W6" s="3">
        <v>9.9999999999999978E-2</v>
      </c>
    </row>
    <row r="7" spans="1:23">
      <c r="A7">
        <v>6</v>
      </c>
      <c r="B7" s="34" t="s">
        <v>74</v>
      </c>
      <c r="C7" s="32">
        <v>0</v>
      </c>
      <c r="D7" s="32">
        <v>0</v>
      </c>
      <c r="E7" s="32">
        <v>0</v>
      </c>
      <c r="F7" s="32">
        <v>0</v>
      </c>
      <c r="G7" s="32">
        <v>0</v>
      </c>
      <c r="H7" s="3">
        <v>1.0000000000000028E-2</v>
      </c>
      <c r="I7" s="3">
        <v>1.6000000000000025E-2</v>
      </c>
      <c r="J7" s="3">
        <v>2.200000000000002E-2</v>
      </c>
      <c r="K7" s="3">
        <v>2.8000000000000018E-2</v>
      </c>
      <c r="L7" s="3">
        <v>3.4000000000000016E-2</v>
      </c>
      <c r="M7" s="3">
        <v>4.0000000000000008E-2</v>
      </c>
      <c r="N7" s="3">
        <v>4.6000000000000006E-2</v>
      </c>
      <c r="O7" s="3">
        <v>5.2000000000000005E-2</v>
      </c>
      <c r="P7" s="3">
        <v>5.8000000000000003E-2</v>
      </c>
      <c r="Q7" s="3">
        <v>6.4000000000000001E-2</v>
      </c>
      <c r="R7" s="3">
        <v>6.9999999999999993E-2</v>
      </c>
      <c r="S7" s="3">
        <v>7.5999999999999984E-2</v>
      </c>
      <c r="T7" s="3">
        <v>8.199999999999999E-2</v>
      </c>
      <c r="U7" s="3">
        <v>8.7999999999999981E-2</v>
      </c>
      <c r="V7" s="3">
        <v>9.3999999999999986E-2</v>
      </c>
      <c r="W7" s="3">
        <v>9.9999999999999978E-2</v>
      </c>
    </row>
    <row r="8" spans="1:23">
      <c r="A8">
        <v>7</v>
      </c>
      <c r="B8" t="s">
        <v>75</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row>
    <row r="9" spans="1:23">
      <c r="A9">
        <v>8</v>
      </c>
      <c r="B9" s="34" t="s">
        <v>76</v>
      </c>
      <c r="C9" s="32">
        <v>0</v>
      </c>
      <c r="D9" s="32">
        <v>0</v>
      </c>
      <c r="E9" s="32">
        <v>0</v>
      </c>
      <c r="F9" s="32">
        <v>0</v>
      </c>
      <c r="G9" s="32">
        <v>0</v>
      </c>
      <c r="H9" s="3">
        <v>1.0000000000000028E-2</v>
      </c>
      <c r="I9" s="3">
        <v>1.6000000000000025E-2</v>
      </c>
      <c r="J9" s="3">
        <v>2.200000000000002E-2</v>
      </c>
      <c r="K9" s="3">
        <v>2.8000000000000018E-2</v>
      </c>
      <c r="L9" s="3">
        <v>3.4000000000000016E-2</v>
      </c>
      <c r="M9" s="3">
        <v>4.0000000000000008E-2</v>
      </c>
      <c r="N9" s="3">
        <v>4.6000000000000006E-2</v>
      </c>
      <c r="O9" s="3">
        <v>5.2000000000000005E-2</v>
      </c>
      <c r="P9" s="3">
        <v>5.8000000000000003E-2</v>
      </c>
      <c r="Q9" s="3">
        <v>6.4000000000000001E-2</v>
      </c>
      <c r="R9" s="3">
        <v>6.9999999999999993E-2</v>
      </c>
      <c r="S9" s="3">
        <v>7.5999999999999984E-2</v>
      </c>
      <c r="T9" s="3">
        <v>8.199999999999999E-2</v>
      </c>
      <c r="U9" s="3">
        <v>8.7999999999999981E-2</v>
      </c>
      <c r="V9" s="3">
        <v>9.3999999999999986E-2</v>
      </c>
      <c r="W9" s="3">
        <v>9.9999999999999978E-2</v>
      </c>
    </row>
    <row r="10" spans="1:23">
      <c r="A10">
        <v>9</v>
      </c>
      <c r="B10" s="34" t="s">
        <v>77</v>
      </c>
      <c r="C10" s="32">
        <v>0</v>
      </c>
      <c r="D10" s="32">
        <v>0</v>
      </c>
      <c r="E10" s="32">
        <v>0</v>
      </c>
      <c r="F10" s="32">
        <v>0</v>
      </c>
      <c r="G10" s="32">
        <v>0</v>
      </c>
      <c r="H10" s="3">
        <v>1.0000000000000028E-2</v>
      </c>
      <c r="I10" s="3">
        <v>1.6000000000000025E-2</v>
      </c>
      <c r="J10" s="3">
        <v>2.200000000000002E-2</v>
      </c>
      <c r="K10" s="3">
        <v>2.8000000000000018E-2</v>
      </c>
      <c r="L10" s="3">
        <v>3.4000000000000016E-2</v>
      </c>
      <c r="M10" s="3">
        <v>4.0000000000000008E-2</v>
      </c>
      <c r="N10" s="3">
        <v>4.6000000000000006E-2</v>
      </c>
      <c r="O10" s="3">
        <v>5.2000000000000005E-2</v>
      </c>
      <c r="P10" s="3">
        <v>5.8000000000000003E-2</v>
      </c>
      <c r="Q10" s="3">
        <v>6.4000000000000001E-2</v>
      </c>
      <c r="R10" s="3">
        <v>6.9999999999999993E-2</v>
      </c>
      <c r="S10" s="3">
        <v>7.5999999999999984E-2</v>
      </c>
      <c r="T10" s="3">
        <v>8.199999999999999E-2</v>
      </c>
      <c r="U10" s="3">
        <v>8.7999999999999981E-2</v>
      </c>
      <c r="V10" s="3">
        <v>9.3999999999999986E-2</v>
      </c>
      <c r="W10" s="3">
        <v>9.9999999999999978E-2</v>
      </c>
    </row>
    <row r="11" spans="1:23">
      <c r="A11">
        <v>10</v>
      </c>
      <c r="B11" t="s">
        <v>78</v>
      </c>
      <c r="C11" s="32">
        <v>0</v>
      </c>
      <c r="D11" s="32">
        <v>0</v>
      </c>
      <c r="E11" s="32">
        <v>0</v>
      </c>
      <c r="F11" s="32">
        <v>0</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row>
    <row r="12" spans="1:23">
      <c r="A12">
        <v>11</v>
      </c>
      <c r="B12" t="s">
        <v>79</v>
      </c>
      <c r="C12" s="32">
        <v>0</v>
      </c>
      <c r="D12" s="32">
        <v>0</v>
      </c>
      <c r="E12" s="32">
        <v>0</v>
      </c>
      <c r="F12" s="32">
        <v>0</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row>
    <row r="13" spans="1:23">
      <c r="A13">
        <v>12</v>
      </c>
      <c r="B13" t="s">
        <v>80</v>
      </c>
      <c r="C13" s="32">
        <v>0</v>
      </c>
      <c r="D13" s="32">
        <v>0</v>
      </c>
      <c r="E13" s="32">
        <v>0</v>
      </c>
      <c r="F13" s="32">
        <v>0</v>
      </c>
      <c r="G13" s="32">
        <v>0</v>
      </c>
      <c r="H13" s="32">
        <v>0</v>
      </c>
      <c r="I13" s="32">
        <v>0</v>
      </c>
      <c r="J13" s="32">
        <v>0</v>
      </c>
      <c r="K13" s="32">
        <v>0</v>
      </c>
      <c r="L13" s="32">
        <v>0</v>
      </c>
      <c r="M13" s="32">
        <v>0</v>
      </c>
      <c r="N13" s="32">
        <v>0</v>
      </c>
      <c r="O13" s="32">
        <v>0</v>
      </c>
      <c r="P13" s="32">
        <v>0</v>
      </c>
      <c r="Q13" s="32">
        <v>0</v>
      </c>
      <c r="R13" s="32">
        <v>0</v>
      </c>
      <c r="S13" s="32">
        <v>0</v>
      </c>
      <c r="T13" s="32">
        <v>0</v>
      </c>
      <c r="U13" s="32">
        <v>0</v>
      </c>
      <c r="V13" s="32">
        <v>0</v>
      </c>
      <c r="W13" s="32">
        <v>0</v>
      </c>
    </row>
    <row r="14" spans="1:23">
      <c r="A14">
        <v>13</v>
      </c>
      <c r="B14" t="s">
        <v>81</v>
      </c>
      <c r="C14" s="32">
        <v>0</v>
      </c>
      <c r="D14" s="32">
        <v>0</v>
      </c>
      <c r="E14" s="32">
        <v>0</v>
      </c>
      <c r="F14" s="32">
        <v>0</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row>
    <row r="15" spans="1:23">
      <c r="A15">
        <v>14</v>
      </c>
      <c r="B15" t="s">
        <v>82</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row>
    <row r="16" spans="1:23">
      <c r="A16">
        <v>15</v>
      </c>
      <c r="B16" t="s">
        <v>83</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row>
    <row r="17" spans="1:23">
      <c r="A17">
        <v>16</v>
      </c>
      <c r="B17" t="s">
        <v>84</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row>
    <row r="18" spans="1:23">
      <c r="A18">
        <v>17</v>
      </c>
      <c r="B18" t="s">
        <v>85</v>
      </c>
      <c r="C18" s="32">
        <v>0</v>
      </c>
      <c r="D18" s="32">
        <v>0</v>
      </c>
      <c r="E18" s="32">
        <v>0</v>
      </c>
      <c r="F18" s="32">
        <v>0</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row>
    <row r="19" spans="1:23">
      <c r="A19">
        <v>18</v>
      </c>
      <c r="B19" t="s">
        <v>86</v>
      </c>
      <c r="C19" s="32">
        <v>0</v>
      </c>
      <c r="D19" s="32">
        <v>0</v>
      </c>
      <c r="E19" s="32">
        <v>0</v>
      </c>
      <c r="F19" s="32">
        <v>0</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row>
    <row r="20" spans="1:23">
      <c r="A20">
        <v>19</v>
      </c>
      <c r="B20" t="s">
        <v>87</v>
      </c>
      <c r="C20" s="32">
        <v>0</v>
      </c>
      <c r="D20" s="32">
        <v>0</v>
      </c>
      <c r="E20" s="32">
        <v>0</v>
      </c>
      <c r="F20" s="32">
        <v>0</v>
      </c>
      <c r="G20" s="32">
        <v>0</v>
      </c>
      <c r="H20" s="32">
        <v>0</v>
      </c>
      <c r="I20" s="32">
        <v>0</v>
      </c>
      <c r="J20" s="32">
        <v>0</v>
      </c>
      <c r="K20" s="32">
        <v>0</v>
      </c>
      <c r="L20" s="32">
        <v>0</v>
      </c>
      <c r="M20" s="32">
        <v>0</v>
      </c>
      <c r="N20" s="32">
        <v>0</v>
      </c>
      <c r="O20" s="32">
        <v>0</v>
      </c>
      <c r="P20" s="32">
        <v>0</v>
      </c>
      <c r="Q20" s="32">
        <v>0</v>
      </c>
      <c r="R20" s="32">
        <v>0</v>
      </c>
      <c r="S20" s="32">
        <v>0</v>
      </c>
      <c r="T20" s="32">
        <v>0</v>
      </c>
      <c r="U20" s="32">
        <v>0</v>
      </c>
      <c r="V20" s="32">
        <v>0</v>
      </c>
      <c r="W20" s="32">
        <v>0</v>
      </c>
    </row>
    <row r="21" spans="1:23">
      <c r="A21">
        <v>20</v>
      </c>
      <c r="B21" t="s">
        <v>88</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row>
    <row r="22" spans="1:23">
      <c r="A22">
        <v>21</v>
      </c>
      <c r="B22" t="s">
        <v>89</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row>
    <row r="23" spans="1:23">
      <c r="A23">
        <v>22</v>
      </c>
      <c r="B23" t="s">
        <v>90</v>
      </c>
      <c r="C23" s="32">
        <v>0</v>
      </c>
      <c r="D23" s="32">
        <v>0</v>
      </c>
      <c r="E23" s="32">
        <v>0</v>
      </c>
      <c r="F23" s="32">
        <v>0</v>
      </c>
      <c r="G23" s="32">
        <v>0</v>
      </c>
      <c r="H23" s="32">
        <v>0</v>
      </c>
      <c r="I23" s="32">
        <v>0</v>
      </c>
      <c r="J23" s="32">
        <v>0</v>
      </c>
      <c r="K23" s="32">
        <v>0</v>
      </c>
      <c r="L23" s="32">
        <v>0</v>
      </c>
      <c r="M23" s="32">
        <v>0</v>
      </c>
      <c r="N23" s="32">
        <v>0</v>
      </c>
      <c r="O23" s="32">
        <v>0</v>
      </c>
      <c r="P23" s="32">
        <v>0</v>
      </c>
      <c r="Q23" s="32">
        <v>0</v>
      </c>
      <c r="R23" s="32">
        <v>0</v>
      </c>
      <c r="S23" s="32">
        <v>0</v>
      </c>
      <c r="T23" s="32">
        <v>0</v>
      </c>
      <c r="U23" s="32">
        <v>0</v>
      </c>
      <c r="V23" s="32">
        <v>0</v>
      </c>
      <c r="W23" s="32">
        <v>0</v>
      </c>
    </row>
    <row r="24" spans="1:23">
      <c r="A24">
        <v>23</v>
      </c>
      <c r="B24" t="s">
        <v>91</v>
      </c>
      <c r="C24" s="32">
        <v>0</v>
      </c>
      <c r="D24" s="32">
        <v>0</v>
      </c>
      <c r="E24" s="32">
        <v>0</v>
      </c>
      <c r="F24" s="32">
        <v>0</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row>
    <row r="25" spans="1:23">
      <c r="A25">
        <v>24</v>
      </c>
      <c r="B25" t="s">
        <v>92</v>
      </c>
      <c r="C25" s="32">
        <v>0</v>
      </c>
      <c r="D25" s="32">
        <v>0</v>
      </c>
      <c r="E25" s="32">
        <v>0</v>
      </c>
      <c r="F25" s="32">
        <v>0</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row>
    <row r="26" spans="1:23">
      <c r="A26">
        <v>25</v>
      </c>
      <c r="B26" t="s">
        <v>93</v>
      </c>
      <c r="C26" s="32">
        <v>0</v>
      </c>
      <c r="D26" s="32">
        <v>0</v>
      </c>
      <c r="E26" s="32">
        <v>0</v>
      </c>
      <c r="F26" s="32">
        <v>0</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row>
    <row r="27" spans="1:23">
      <c r="A27">
        <v>26</v>
      </c>
      <c r="B27" t="s">
        <v>94</v>
      </c>
      <c r="C27" s="32">
        <v>0</v>
      </c>
      <c r="D27" s="32">
        <v>0</v>
      </c>
      <c r="E27" s="32">
        <v>0</v>
      </c>
      <c r="F27" s="32">
        <v>0</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row>
    <row r="28" spans="1:23">
      <c r="A28">
        <v>27</v>
      </c>
      <c r="B28" t="s">
        <v>95</v>
      </c>
      <c r="C28" s="32">
        <v>0</v>
      </c>
      <c r="D28" s="32">
        <v>0</v>
      </c>
      <c r="E28" s="32">
        <v>0</v>
      </c>
      <c r="F28" s="32">
        <v>0</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row>
    <row r="29" spans="1:23">
      <c r="A29">
        <v>28</v>
      </c>
      <c r="B29" t="s">
        <v>96</v>
      </c>
      <c r="C29" s="32">
        <v>0</v>
      </c>
      <c r="D29" s="32">
        <v>0</v>
      </c>
      <c r="E29" s="32">
        <v>0</v>
      </c>
      <c r="F29" s="32">
        <v>0</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row>
    <row r="30" spans="1:23">
      <c r="A30">
        <v>29</v>
      </c>
      <c r="B30" t="s">
        <v>97</v>
      </c>
      <c r="C30" s="32">
        <v>0</v>
      </c>
      <c r="D30" s="32">
        <v>0</v>
      </c>
      <c r="E30" s="32">
        <v>0</v>
      </c>
      <c r="F30" s="32">
        <v>0</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row>
    <row r="31" spans="1:23">
      <c r="A31">
        <v>30</v>
      </c>
      <c r="B31" t="s">
        <v>98</v>
      </c>
      <c r="C31" s="32">
        <v>0</v>
      </c>
      <c r="D31" s="32">
        <v>0</v>
      </c>
      <c r="E31" s="32">
        <v>0</v>
      </c>
      <c r="F31" s="32">
        <v>0</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row>
    <row r="32" spans="1:23">
      <c r="A32">
        <v>31</v>
      </c>
      <c r="B32" t="s">
        <v>99</v>
      </c>
      <c r="C32" s="32">
        <v>0</v>
      </c>
      <c r="D32" s="32">
        <v>0</v>
      </c>
      <c r="E32" s="32">
        <v>0</v>
      </c>
      <c r="F32" s="32">
        <v>0</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row>
    <row r="33" spans="1:23">
      <c r="A33">
        <v>32</v>
      </c>
      <c r="B33" t="s">
        <v>100</v>
      </c>
      <c r="C33" s="32">
        <v>0</v>
      </c>
      <c r="D33" s="32">
        <v>0</v>
      </c>
      <c r="E33" s="32">
        <v>0</v>
      </c>
      <c r="F33" s="32">
        <v>0</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row>
    <row r="34" spans="1:23">
      <c r="A34">
        <v>33</v>
      </c>
      <c r="B34" t="s">
        <v>101</v>
      </c>
      <c r="C34" s="32">
        <v>0</v>
      </c>
      <c r="D34" s="32">
        <v>0</v>
      </c>
      <c r="E34" s="32">
        <v>0</v>
      </c>
      <c r="F34" s="32">
        <v>0</v>
      </c>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0</v>
      </c>
    </row>
    <row r="35" spans="1:23">
      <c r="A35">
        <v>34</v>
      </c>
      <c r="B35" t="s">
        <v>102</v>
      </c>
      <c r="C35" s="32">
        <v>0</v>
      </c>
      <c r="D35" s="32">
        <v>0</v>
      </c>
      <c r="E35" s="32">
        <v>0</v>
      </c>
      <c r="F35" s="32">
        <v>0</v>
      </c>
      <c r="G35" s="32">
        <v>0</v>
      </c>
      <c r="H35" s="32">
        <v>0</v>
      </c>
      <c r="I35" s="32">
        <v>0</v>
      </c>
      <c r="J35" s="32">
        <v>0</v>
      </c>
      <c r="K35" s="32">
        <v>0</v>
      </c>
      <c r="L35" s="32">
        <v>0</v>
      </c>
      <c r="M35" s="32">
        <v>0</v>
      </c>
      <c r="N35" s="32">
        <v>0</v>
      </c>
      <c r="O35" s="32">
        <v>0</v>
      </c>
      <c r="P35" s="32">
        <v>0</v>
      </c>
      <c r="Q35" s="32">
        <v>0</v>
      </c>
      <c r="R35" s="32">
        <v>0</v>
      </c>
      <c r="S35" s="32">
        <v>0</v>
      </c>
      <c r="T35" s="32">
        <v>0</v>
      </c>
      <c r="U35" s="32">
        <v>0</v>
      </c>
      <c r="V35" s="32">
        <v>0</v>
      </c>
      <c r="W35" s="32">
        <v>0</v>
      </c>
    </row>
    <row r="36" spans="1:23">
      <c r="A36">
        <v>35</v>
      </c>
      <c r="B36" t="s">
        <v>103</v>
      </c>
      <c r="C36" s="32">
        <v>0</v>
      </c>
      <c r="D36" s="32">
        <v>0</v>
      </c>
      <c r="E36" s="32">
        <v>0</v>
      </c>
      <c r="F36" s="32">
        <v>0</v>
      </c>
      <c r="G36" s="32">
        <v>0</v>
      </c>
      <c r="H36" s="32">
        <v>0</v>
      </c>
      <c r="I36" s="32">
        <v>0</v>
      </c>
      <c r="J36" s="32">
        <v>0</v>
      </c>
      <c r="K36" s="32">
        <v>0</v>
      </c>
      <c r="L36" s="32">
        <v>0</v>
      </c>
      <c r="M36" s="32">
        <v>0</v>
      </c>
      <c r="N36" s="32">
        <v>0</v>
      </c>
      <c r="O36" s="32">
        <v>0</v>
      </c>
      <c r="P36" s="32">
        <v>0</v>
      </c>
      <c r="Q36" s="32">
        <v>0</v>
      </c>
      <c r="R36" s="32">
        <v>0</v>
      </c>
      <c r="S36" s="32">
        <v>0</v>
      </c>
      <c r="T36" s="32">
        <v>0</v>
      </c>
      <c r="U36" s="32">
        <v>0</v>
      </c>
      <c r="V36" s="32">
        <v>0</v>
      </c>
      <c r="W36" s="32">
        <v>0</v>
      </c>
    </row>
    <row r="37" spans="1:23">
      <c r="A37">
        <v>36</v>
      </c>
      <c r="B37" t="s">
        <v>104</v>
      </c>
      <c r="C37" s="32">
        <v>0</v>
      </c>
      <c r="D37" s="32">
        <v>0</v>
      </c>
      <c r="E37" s="32">
        <v>0</v>
      </c>
      <c r="F37" s="32">
        <v>0</v>
      </c>
      <c r="G37" s="32">
        <v>0</v>
      </c>
      <c r="H37" s="32">
        <v>0</v>
      </c>
      <c r="I37" s="32">
        <v>0</v>
      </c>
      <c r="J37" s="32">
        <v>0</v>
      </c>
      <c r="K37" s="32">
        <v>0</v>
      </c>
      <c r="L37" s="32">
        <v>0</v>
      </c>
      <c r="M37" s="32">
        <v>0</v>
      </c>
      <c r="N37" s="32">
        <v>0</v>
      </c>
      <c r="O37" s="32">
        <v>0</v>
      </c>
      <c r="P37" s="32">
        <v>0</v>
      </c>
      <c r="Q37" s="32">
        <v>0</v>
      </c>
      <c r="R37" s="32">
        <v>0</v>
      </c>
      <c r="S37" s="32">
        <v>0</v>
      </c>
      <c r="T37" s="32">
        <v>0</v>
      </c>
      <c r="U37" s="32">
        <v>0</v>
      </c>
      <c r="V37" s="32">
        <v>0</v>
      </c>
      <c r="W37" s="32">
        <v>0</v>
      </c>
    </row>
    <row r="38" spans="1:23">
      <c r="A38">
        <v>37</v>
      </c>
      <c r="B38" t="s">
        <v>105</v>
      </c>
      <c r="C38" s="32">
        <v>0</v>
      </c>
      <c r="D38" s="32">
        <v>0</v>
      </c>
      <c r="E38" s="32">
        <v>0</v>
      </c>
      <c r="F38" s="32">
        <v>0</v>
      </c>
      <c r="G38" s="32">
        <v>0</v>
      </c>
      <c r="H38" s="32">
        <v>0</v>
      </c>
      <c r="I38" s="32">
        <v>0</v>
      </c>
      <c r="J38" s="32">
        <v>0</v>
      </c>
      <c r="K38" s="32">
        <v>0</v>
      </c>
      <c r="L38" s="32">
        <v>0</v>
      </c>
      <c r="M38" s="32">
        <v>0</v>
      </c>
      <c r="N38" s="32">
        <v>0</v>
      </c>
      <c r="O38" s="32">
        <v>0</v>
      </c>
      <c r="P38" s="32">
        <v>0</v>
      </c>
      <c r="Q38" s="32">
        <v>0</v>
      </c>
      <c r="R38" s="32">
        <v>0</v>
      </c>
      <c r="S38" s="32">
        <v>0</v>
      </c>
      <c r="T38" s="32">
        <v>0</v>
      </c>
      <c r="U38" s="32">
        <v>0</v>
      </c>
      <c r="V38" s="32">
        <v>0</v>
      </c>
      <c r="W38" s="32">
        <v>0</v>
      </c>
    </row>
    <row r="39" spans="1:23">
      <c r="A39">
        <v>38</v>
      </c>
      <c r="B39" t="s">
        <v>106</v>
      </c>
      <c r="C39" s="32">
        <v>0</v>
      </c>
      <c r="D39" s="32">
        <v>0</v>
      </c>
      <c r="E39" s="32">
        <v>0</v>
      </c>
      <c r="F39" s="32">
        <v>0</v>
      </c>
      <c r="G39" s="32">
        <v>0</v>
      </c>
      <c r="H39" s="32">
        <v>0</v>
      </c>
      <c r="I39" s="32">
        <v>0</v>
      </c>
      <c r="J39" s="32">
        <v>0</v>
      </c>
      <c r="K39" s="32">
        <v>0</v>
      </c>
      <c r="L39" s="32">
        <v>0</v>
      </c>
      <c r="M39" s="32">
        <v>0</v>
      </c>
      <c r="N39" s="32">
        <v>0</v>
      </c>
      <c r="O39" s="32">
        <v>0</v>
      </c>
      <c r="P39" s="32">
        <v>0</v>
      </c>
      <c r="Q39" s="32">
        <v>0</v>
      </c>
      <c r="R39" s="32">
        <v>0</v>
      </c>
      <c r="S39" s="32">
        <v>0</v>
      </c>
      <c r="T39" s="32">
        <v>0</v>
      </c>
      <c r="U39" s="32">
        <v>0</v>
      </c>
      <c r="V39" s="32">
        <v>0</v>
      </c>
      <c r="W39" s="32">
        <v>0</v>
      </c>
    </row>
    <row r="40" spans="1:23">
      <c r="A40">
        <v>39</v>
      </c>
      <c r="B40" t="s">
        <v>107</v>
      </c>
      <c r="C40" s="32">
        <v>0</v>
      </c>
      <c r="D40" s="32">
        <v>0</v>
      </c>
      <c r="E40" s="32">
        <v>0</v>
      </c>
      <c r="F40" s="32">
        <v>0</v>
      </c>
      <c r="G40" s="32">
        <v>0</v>
      </c>
      <c r="H40" s="32">
        <v>0</v>
      </c>
      <c r="I40" s="32">
        <v>0</v>
      </c>
      <c r="J40" s="32">
        <v>0</v>
      </c>
      <c r="K40" s="32">
        <v>0</v>
      </c>
      <c r="L40" s="32">
        <v>0</v>
      </c>
      <c r="M40" s="32">
        <v>0</v>
      </c>
      <c r="N40" s="32">
        <v>0</v>
      </c>
      <c r="O40" s="32">
        <v>0</v>
      </c>
      <c r="P40" s="32">
        <v>0</v>
      </c>
      <c r="Q40" s="32">
        <v>0</v>
      </c>
      <c r="R40" s="32">
        <v>0</v>
      </c>
      <c r="S40" s="32">
        <v>0</v>
      </c>
      <c r="T40" s="32">
        <v>0</v>
      </c>
      <c r="U40" s="32">
        <v>0</v>
      </c>
      <c r="V40" s="32">
        <v>0</v>
      </c>
      <c r="W40" s="32">
        <v>0</v>
      </c>
    </row>
    <row r="41" spans="1:23">
      <c r="A41">
        <v>40</v>
      </c>
      <c r="B41" t="s">
        <v>108</v>
      </c>
      <c r="C41" s="32">
        <v>0</v>
      </c>
      <c r="D41" s="32">
        <v>0</v>
      </c>
      <c r="E41" s="32">
        <v>0</v>
      </c>
      <c r="F41" s="32">
        <v>0</v>
      </c>
      <c r="G41" s="32">
        <v>0</v>
      </c>
      <c r="H41" s="32">
        <v>0</v>
      </c>
      <c r="I41" s="32">
        <v>0</v>
      </c>
      <c r="J41" s="32">
        <v>0</v>
      </c>
      <c r="K41" s="32">
        <v>0</v>
      </c>
      <c r="L41" s="32">
        <v>0</v>
      </c>
      <c r="M41" s="32">
        <v>0</v>
      </c>
      <c r="N41" s="32">
        <v>0</v>
      </c>
      <c r="O41" s="32">
        <v>0</v>
      </c>
      <c r="P41" s="32">
        <v>0</v>
      </c>
      <c r="Q41" s="32">
        <v>0</v>
      </c>
      <c r="R41" s="32">
        <v>0</v>
      </c>
      <c r="S41" s="32">
        <v>0</v>
      </c>
      <c r="T41" s="32">
        <v>0</v>
      </c>
      <c r="U41" s="32">
        <v>0</v>
      </c>
      <c r="V41" s="32">
        <v>0</v>
      </c>
      <c r="W41" s="32">
        <v>0</v>
      </c>
    </row>
    <row r="42" spans="1:23">
      <c r="A42">
        <v>41</v>
      </c>
      <c r="B42" t="s">
        <v>109</v>
      </c>
      <c r="C42" s="32">
        <v>0</v>
      </c>
      <c r="D42" s="32">
        <v>0</v>
      </c>
      <c r="E42" s="32">
        <v>0</v>
      </c>
      <c r="F42" s="32">
        <v>0</v>
      </c>
      <c r="G42" s="32">
        <v>0</v>
      </c>
      <c r="H42" s="32">
        <v>0</v>
      </c>
      <c r="I42" s="32">
        <v>0</v>
      </c>
      <c r="J42" s="32">
        <v>0</v>
      </c>
      <c r="K42" s="32">
        <v>0</v>
      </c>
      <c r="L42" s="32">
        <v>0</v>
      </c>
      <c r="M42" s="32">
        <v>0</v>
      </c>
      <c r="N42" s="32">
        <v>0</v>
      </c>
      <c r="O42" s="32">
        <v>0</v>
      </c>
      <c r="P42" s="32">
        <v>0</v>
      </c>
      <c r="Q42" s="32">
        <v>0</v>
      </c>
      <c r="R42" s="32">
        <v>0</v>
      </c>
      <c r="S42" s="32">
        <v>0</v>
      </c>
      <c r="T42" s="32">
        <v>0</v>
      </c>
      <c r="U42" s="32">
        <v>0</v>
      </c>
      <c r="V42" s="32">
        <v>0</v>
      </c>
      <c r="W42" s="32">
        <v>0</v>
      </c>
    </row>
    <row r="43" spans="1:23">
      <c r="A43">
        <v>42</v>
      </c>
      <c r="B43" t="s">
        <v>110</v>
      </c>
      <c r="C43" s="32">
        <v>0</v>
      </c>
      <c r="D43" s="32">
        <v>0</v>
      </c>
      <c r="E43" s="32">
        <v>0</v>
      </c>
      <c r="F43" s="32">
        <v>0</v>
      </c>
      <c r="G43" s="32">
        <v>0</v>
      </c>
      <c r="H43" s="32">
        <v>0</v>
      </c>
      <c r="I43" s="32">
        <v>0</v>
      </c>
      <c r="J43" s="32">
        <v>0</v>
      </c>
      <c r="K43" s="32">
        <v>0</v>
      </c>
      <c r="L43" s="32">
        <v>0</v>
      </c>
      <c r="M43" s="32">
        <v>0</v>
      </c>
      <c r="N43" s="32">
        <v>0</v>
      </c>
      <c r="O43" s="32">
        <v>0</v>
      </c>
      <c r="P43" s="32">
        <v>0</v>
      </c>
      <c r="Q43" s="32">
        <v>0</v>
      </c>
      <c r="R43" s="32">
        <v>0</v>
      </c>
      <c r="S43" s="32">
        <v>0</v>
      </c>
      <c r="T43" s="32">
        <v>0</v>
      </c>
      <c r="U43" s="32">
        <v>0</v>
      </c>
      <c r="V43" s="32">
        <v>0</v>
      </c>
      <c r="W43" s="32">
        <v>0</v>
      </c>
    </row>
    <row r="44" spans="1:23">
      <c r="A44">
        <v>43</v>
      </c>
      <c r="B44" t="s">
        <v>111</v>
      </c>
      <c r="C44" s="32">
        <v>0</v>
      </c>
      <c r="D44" s="32">
        <v>0</v>
      </c>
      <c r="E44" s="32">
        <v>0</v>
      </c>
      <c r="F44" s="32">
        <v>0</v>
      </c>
      <c r="G44" s="32">
        <v>0</v>
      </c>
      <c r="H44" s="32">
        <v>0</v>
      </c>
      <c r="I44" s="32">
        <v>0</v>
      </c>
      <c r="J44" s="32">
        <v>0</v>
      </c>
      <c r="K44" s="32">
        <v>0</v>
      </c>
      <c r="L44" s="32">
        <v>0</v>
      </c>
      <c r="M44" s="32">
        <v>0</v>
      </c>
      <c r="N44" s="32">
        <v>0</v>
      </c>
      <c r="O44" s="32">
        <v>0</v>
      </c>
      <c r="P44" s="32">
        <v>0</v>
      </c>
      <c r="Q44" s="32">
        <v>0</v>
      </c>
      <c r="R44" s="32">
        <v>0</v>
      </c>
      <c r="S44" s="32">
        <v>0</v>
      </c>
      <c r="T44" s="32">
        <v>0</v>
      </c>
      <c r="U44" s="32">
        <v>0</v>
      </c>
      <c r="V44" s="32">
        <v>0</v>
      </c>
      <c r="W44" s="32">
        <v>0</v>
      </c>
    </row>
    <row r="45" spans="1:23">
      <c r="A45">
        <v>44</v>
      </c>
      <c r="B45" t="s">
        <v>112</v>
      </c>
      <c r="C45" s="32">
        <v>0</v>
      </c>
      <c r="D45" s="32">
        <v>0</v>
      </c>
      <c r="E45" s="32">
        <v>0</v>
      </c>
      <c r="F45" s="32">
        <v>0</v>
      </c>
      <c r="G45" s="32">
        <v>0</v>
      </c>
      <c r="H45" s="32">
        <v>0</v>
      </c>
      <c r="I45" s="32">
        <v>0</v>
      </c>
      <c r="J45" s="32">
        <v>0</v>
      </c>
      <c r="K45" s="32">
        <v>0</v>
      </c>
      <c r="L45" s="32">
        <v>0</v>
      </c>
      <c r="M45" s="32">
        <v>0</v>
      </c>
      <c r="N45" s="32">
        <v>0</v>
      </c>
      <c r="O45" s="32">
        <v>0</v>
      </c>
      <c r="P45" s="32">
        <v>0</v>
      </c>
      <c r="Q45" s="32">
        <v>0</v>
      </c>
      <c r="R45" s="32">
        <v>0</v>
      </c>
      <c r="S45" s="32">
        <v>0</v>
      </c>
      <c r="T45" s="32">
        <v>0</v>
      </c>
      <c r="U45" s="32">
        <v>0</v>
      </c>
      <c r="V45" s="32">
        <v>0</v>
      </c>
      <c r="W45" s="32">
        <v>0</v>
      </c>
    </row>
    <row r="46" spans="1:23">
      <c r="A46">
        <v>45</v>
      </c>
      <c r="B46" t="s">
        <v>113</v>
      </c>
      <c r="C46" s="32">
        <v>0</v>
      </c>
      <c r="D46" s="32">
        <v>0</v>
      </c>
      <c r="E46" s="32">
        <v>0</v>
      </c>
      <c r="F46" s="32">
        <v>0</v>
      </c>
      <c r="G46" s="32">
        <v>0</v>
      </c>
      <c r="H46" s="32">
        <v>0</v>
      </c>
      <c r="I46" s="32">
        <v>0</v>
      </c>
      <c r="J46" s="32">
        <v>0</v>
      </c>
      <c r="K46" s="32">
        <v>0</v>
      </c>
      <c r="L46" s="32">
        <v>0</v>
      </c>
      <c r="M46" s="32">
        <v>0</v>
      </c>
      <c r="N46" s="32">
        <v>0</v>
      </c>
      <c r="O46" s="32">
        <v>0</v>
      </c>
      <c r="P46" s="32">
        <v>0</v>
      </c>
      <c r="Q46" s="32">
        <v>0</v>
      </c>
      <c r="R46" s="32">
        <v>0</v>
      </c>
      <c r="S46" s="32">
        <v>0</v>
      </c>
      <c r="T46" s="32">
        <v>0</v>
      </c>
      <c r="U46" s="32">
        <v>0</v>
      </c>
      <c r="V46" s="32">
        <v>0</v>
      </c>
      <c r="W46" s="32">
        <v>0</v>
      </c>
    </row>
    <row r="47" spans="1:23">
      <c r="A47">
        <v>46</v>
      </c>
      <c r="B47" t="s">
        <v>114</v>
      </c>
      <c r="C47" s="32">
        <v>0</v>
      </c>
      <c r="D47" s="32">
        <v>0</v>
      </c>
      <c r="E47" s="32">
        <v>0</v>
      </c>
      <c r="F47" s="32">
        <v>0</v>
      </c>
      <c r="G47" s="32">
        <v>0</v>
      </c>
      <c r="H47" s="32">
        <v>0</v>
      </c>
      <c r="I47" s="32">
        <v>0</v>
      </c>
      <c r="J47" s="32">
        <v>0</v>
      </c>
      <c r="K47" s="32">
        <v>0</v>
      </c>
      <c r="L47" s="32">
        <v>0</v>
      </c>
      <c r="M47" s="32">
        <v>0</v>
      </c>
      <c r="N47" s="32">
        <v>0</v>
      </c>
      <c r="O47" s="32">
        <v>0</v>
      </c>
      <c r="P47" s="32">
        <v>0</v>
      </c>
      <c r="Q47" s="32">
        <v>0</v>
      </c>
      <c r="R47" s="32">
        <v>0</v>
      </c>
      <c r="S47" s="32">
        <v>0</v>
      </c>
      <c r="T47" s="32">
        <v>0</v>
      </c>
      <c r="U47" s="32">
        <v>0</v>
      </c>
      <c r="V47" s="32">
        <v>0</v>
      </c>
      <c r="W47" s="32">
        <v>0</v>
      </c>
    </row>
    <row r="48" spans="1:23">
      <c r="A48">
        <v>47</v>
      </c>
      <c r="B48" t="s">
        <v>115</v>
      </c>
      <c r="C48" s="32">
        <v>0</v>
      </c>
      <c r="D48" s="32">
        <v>0</v>
      </c>
      <c r="E48" s="32">
        <v>0</v>
      </c>
      <c r="F48" s="32">
        <v>0</v>
      </c>
      <c r="G48" s="32">
        <v>0</v>
      </c>
      <c r="H48" s="32">
        <v>0</v>
      </c>
      <c r="I48" s="32">
        <v>0</v>
      </c>
      <c r="J48" s="32">
        <v>0</v>
      </c>
      <c r="K48" s="32">
        <v>0</v>
      </c>
      <c r="L48" s="32">
        <v>0</v>
      </c>
      <c r="M48" s="32">
        <v>0</v>
      </c>
      <c r="N48" s="32">
        <v>0</v>
      </c>
      <c r="O48" s="32">
        <v>0</v>
      </c>
      <c r="P48" s="32">
        <v>0</v>
      </c>
      <c r="Q48" s="32">
        <v>0</v>
      </c>
      <c r="R48" s="32">
        <v>0</v>
      </c>
      <c r="S48" s="32">
        <v>0</v>
      </c>
      <c r="T48" s="32">
        <v>0</v>
      </c>
      <c r="U48" s="32">
        <v>0</v>
      </c>
      <c r="V48" s="32">
        <v>0</v>
      </c>
      <c r="W48" s="32">
        <v>0</v>
      </c>
    </row>
    <row r="49" spans="1:38">
      <c r="A49">
        <v>48</v>
      </c>
      <c r="B49" t="s">
        <v>116</v>
      </c>
      <c r="C49" s="32">
        <v>0</v>
      </c>
      <c r="D49" s="32">
        <v>0</v>
      </c>
      <c r="E49" s="32">
        <v>0</v>
      </c>
      <c r="F49" s="32">
        <v>0</v>
      </c>
      <c r="G49" s="32">
        <v>0</v>
      </c>
      <c r="H49" s="32">
        <v>0</v>
      </c>
      <c r="I49" s="32">
        <v>0</v>
      </c>
      <c r="J49" s="32">
        <v>0</v>
      </c>
      <c r="K49" s="32">
        <v>0</v>
      </c>
      <c r="L49" s="32">
        <v>0</v>
      </c>
      <c r="M49" s="32">
        <v>0</v>
      </c>
      <c r="N49" s="32">
        <v>0</v>
      </c>
      <c r="O49" s="32">
        <v>0</v>
      </c>
      <c r="P49" s="32">
        <v>0</v>
      </c>
      <c r="Q49" s="32">
        <v>0</v>
      </c>
      <c r="R49" s="32">
        <v>0</v>
      </c>
      <c r="S49" s="32">
        <v>0</v>
      </c>
      <c r="T49" s="32">
        <v>0</v>
      </c>
      <c r="U49" s="32">
        <v>0</v>
      </c>
      <c r="V49" s="32">
        <v>0</v>
      </c>
      <c r="W49" s="32">
        <v>0</v>
      </c>
    </row>
    <row r="50" spans="1:38">
      <c r="A50">
        <v>49</v>
      </c>
      <c r="B50" t="s">
        <v>117</v>
      </c>
      <c r="C50" s="32">
        <v>0</v>
      </c>
      <c r="D50" s="32">
        <v>0</v>
      </c>
      <c r="E50" s="32">
        <v>0</v>
      </c>
      <c r="F50" s="32">
        <v>0</v>
      </c>
      <c r="G50" s="32">
        <v>0</v>
      </c>
      <c r="H50" s="32">
        <v>0</v>
      </c>
      <c r="I50" s="32">
        <v>0</v>
      </c>
      <c r="J50" s="32">
        <v>0</v>
      </c>
      <c r="K50" s="32">
        <v>0</v>
      </c>
      <c r="L50" s="32">
        <v>0</v>
      </c>
      <c r="M50" s="32">
        <v>0</v>
      </c>
      <c r="N50" s="32">
        <v>0</v>
      </c>
      <c r="O50" s="32">
        <v>0</v>
      </c>
      <c r="P50" s="32">
        <v>0</v>
      </c>
      <c r="Q50" s="32">
        <v>0</v>
      </c>
      <c r="R50" s="32">
        <v>0</v>
      </c>
      <c r="S50" s="32">
        <v>0</v>
      </c>
      <c r="T50" s="32">
        <v>0</v>
      </c>
      <c r="U50" s="32">
        <v>0</v>
      </c>
      <c r="V50" s="32">
        <v>0</v>
      </c>
      <c r="W50" s="32">
        <v>0</v>
      </c>
    </row>
    <row r="51" spans="1:38">
      <c r="A51">
        <v>50</v>
      </c>
      <c r="B51" t="s">
        <v>118</v>
      </c>
      <c r="C51" s="32">
        <v>0</v>
      </c>
      <c r="D51" s="32">
        <v>0</v>
      </c>
      <c r="E51" s="32">
        <v>0</v>
      </c>
      <c r="F51" s="32">
        <v>0</v>
      </c>
      <c r="G51" s="32">
        <v>0</v>
      </c>
      <c r="H51" s="32">
        <v>0</v>
      </c>
      <c r="I51" s="32">
        <v>0</v>
      </c>
      <c r="J51" s="32">
        <v>0</v>
      </c>
      <c r="K51" s="32">
        <v>0</v>
      </c>
      <c r="L51" s="32">
        <v>0</v>
      </c>
      <c r="M51" s="32">
        <v>0</v>
      </c>
      <c r="N51" s="32">
        <v>0</v>
      </c>
      <c r="O51" s="32">
        <v>0</v>
      </c>
      <c r="P51" s="32">
        <v>0</v>
      </c>
      <c r="Q51" s="32">
        <v>0</v>
      </c>
      <c r="R51" s="32">
        <v>0</v>
      </c>
      <c r="S51" s="32">
        <v>0</v>
      </c>
      <c r="T51" s="32">
        <v>0</v>
      </c>
      <c r="U51" s="32">
        <v>0</v>
      </c>
      <c r="V51" s="32">
        <v>0</v>
      </c>
      <c r="W51" s="32">
        <v>0</v>
      </c>
    </row>
    <row r="52" spans="1:38">
      <c r="A52">
        <v>51</v>
      </c>
      <c r="B52" t="s">
        <v>119</v>
      </c>
      <c r="C52" s="32">
        <v>0</v>
      </c>
      <c r="D52" s="32">
        <v>0</v>
      </c>
      <c r="E52" s="32">
        <v>0</v>
      </c>
      <c r="F52" s="32">
        <v>0</v>
      </c>
      <c r="G52" s="32">
        <v>0</v>
      </c>
      <c r="H52" s="32">
        <v>0</v>
      </c>
      <c r="I52" s="32">
        <v>0</v>
      </c>
      <c r="J52" s="32">
        <v>0</v>
      </c>
      <c r="K52" s="32">
        <v>0</v>
      </c>
      <c r="L52" s="32">
        <v>0</v>
      </c>
      <c r="M52" s="32">
        <v>0</v>
      </c>
      <c r="N52" s="32">
        <v>0</v>
      </c>
      <c r="O52" s="32">
        <v>0</v>
      </c>
      <c r="P52" s="32">
        <v>0</v>
      </c>
      <c r="Q52" s="32">
        <v>0</v>
      </c>
      <c r="R52" s="32">
        <v>0</v>
      </c>
      <c r="S52" s="32">
        <v>0</v>
      </c>
      <c r="T52" s="32">
        <v>0</v>
      </c>
      <c r="U52" s="32">
        <v>0</v>
      </c>
      <c r="V52" s="32">
        <v>0</v>
      </c>
      <c r="W52" s="32">
        <v>0</v>
      </c>
    </row>
    <row r="53" spans="1:38">
      <c r="A53">
        <v>52</v>
      </c>
      <c r="B53" t="s">
        <v>120</v>
      </c>
      <c r="C53" s="32">
        <v>0</v>
      </c>
      <c r="D53" s="32">
        <v>0</v>
      </c>
      <c r="E53" s="32">
        <v>0</v>
      </c>
      <c r="F53" s="32">
        <v>0</v>
      </c>
      <c r="G53" s="32">
        <v>0</v>
      </c>
      <c r="H53" s="32">
        <v>0</v>
      </c>
      <c r="I53" s="32">
        <v>0</v>
      </c>
      <c r="J53" s="32">
        <v>0</v>
      </c>
      <c r="K53" s="32">
        <v>0</v>
      </c>
      <c r="L53" s="32">
        <v>0</v>
      </c>
      <c r="M53" s="32">
        <v>0</v>
      </c>
      <c r="N53" s="32">
        <v>0</v>
      </c>
      <c r="O53" s="32">
        <v>0</v>
      </c>
      <c r="P53" s="32">
        <v>0</v>
      </c>
      <c r="Q53" s="32">
        <v>0</v>
      </c>
      <c r="R53" s="32">
        <v>0</v>
      </c>
      <c r="S53" s="32">
        <v>0</v>
      </c>
      <c r="T53" s="32">
        <v>0</v>
      </c>
      <c r="U53" s="32">
        <v>0</v>
      </c>
      <c r="V53" s="32">
        <v>0</v>
      </c>
      <c r="W53" s="32">
        <v>0</v>
      </c>
    </row>
    <row r="54" spans="1:38">
      <c r="A54">
        <v>53</v>
      </c>
      <c r="B54" t="s">
        <v>121</v>
      </c>
      <c r="C54" s="32">
        <v>0</v>
      </c>
      <c r="D54" s="32">
        <v>0</v>
      </c>
      <c r="E54" s="32">
        <v>0</v>
      </c>
      <c r="F54" s="32">
        <v>0</v>
      </c>
      <c r="G54" s="32">
        <v>0</v>
      </c>
      <c r="H54" s="32">
        <v>0</v>
      </c>
      <c r="I54" s="32">
        <v>0</v>
      </c>
      <c r="J54" s="32">
        <v>0</v>
      </c>
      <c r="K54" s="32">
        <v>0</v>
      </c>
      <c r="L54" s="32">
        <v>0</v>
      </c>
      <c r="M54" s="32">
        <v>0</v>
      </c>
      <c r="N54" s="32">
        <v>0</v>
      </c>
      <c r="O54" s="32">
        <v>0</v>
      </c>
      <c r="P54" s="32">
        <v>0</v>
      </c>
      <c r="Q54" s="32">
        <v>0</v>
      </c>
      <c r="R54" s="32">
        <v>0</v>
      </c>
      <c r="S54" s="32">
        <v>0</v>
      </c>
      <c r="T54" s="32">
        <v>0</v>
      </c>
      <c r="U54" s="32">
        <v>0</v>
      </c>
      <c r="V54" s="32">
        <v>0</v>
      </c>
      <c r="W54" s="32">
        <v>0</v>
      </c>
    </row>
    <row r="55" spans="1:38">
      <c r="A55">
        <v>54</v>
      </c>
      <c r="B55" t="s">
        <v>122</v>
      </c>
      <c r="C55" s="32">
        <v>0</v>
      </c>
      <c r="D55" s="32">
        <v>0</v>
      </c>
      <c r="E55" s="32">
        <v>0</v>
      </c>
      <c r="F55" s="32">
        <v>0</v>
      </c>
      <c r="G55" s="32">
        <v>0</v>
      </c>
      <c r="H55" s="32">
        <v>0</v>
      </c>
      <c r="I55" s="32">
        <v>0</v>
      </c>
      <c r="J55" s="32">
        <v>0</v>
      </c>
      <c r="K55" s="32">
        <v>0</v>
      </c>
      <c r="L55" s="32">
        <v>0</v>
      </c>
      <c r="M55" s="32">
        <v>0</v>
      </c>
      <c r="N55" s="32">
        <v>0</v>
      </c>
      <c r="O55" s="32">
        <v>0</v>
      </c>
      <c r="P55" s="32">
        <v>0</v>
      </c>
      <c r="Q55" s="32">
        <v>0</v>
      </c>
      <c r="R55" s="32">
        <v>0</v>
      </c>
      <c r="S55" s="32">
        <v>0</v>
      </c>
      <c r="T55" s="32">
        <v>0</v>
      </c>
      <c r="U55" s="32">
        <v>0</v>
      </c>
      <c r="V55" s="32">
        <v>0</v>
      </c>
      <c r="W55" s="32">
        <v>0</v>
      </c>
    </row>
    <row r="56" spans="1:38">
      <c r="A56" s="30">
        <v>61</v>
      </c>
      <c r="B56" s="31" t="s">
        <v>123</v>
      </c>
      <c r="C56" s="32">
        <v>0</v>
      </c>
      <c r="D56" s="32">
        <v>0</v>
      </c>
      <c r="E56" s="32">
        <v>0</v>
      </c>
      <c r="F56" s="32">
        <v>0</v>
      </c>
      <c r="G56" s="32">
        <v>0</v>
      </c>
      <c r="H56" s="32">
        <v>0</v>
      </c>
      <c r="I56" s="32">
        <v>0</v>
      </c>
      <c r="J56" s="32">
        <v>0</v>
      </c>
      <c r="K56" s="32">
        <v>0</v>
      </c>
      <c r="L56" s="32">
        <v>0</v>
      </c>
      <c r="M56" s="32">
        <v>0</v>
      </c>
      <c r="N56" s="32">
        <v>0</v>
      </c>
      <c r="O56" s="32">
        <v>0</v>
      </c>
      <c r="P56" s="32">
        <v>0</v>
      </c>
      <c r="Q56" s="32">
        <v>0</v>
      </c>
      <c r="R56" s="32">
        <v>0</v>
      </c>
      <c r="S56" s="32">
        <v>0</v>
      </c>
      <c r="T56" s="32">
        <v>0</v>
      </c>
      <c r="U56" s="32">
        <v>0</v>
      </c>
      <c r="V56" s="32">
        <v>0</v>
      </c>
      <c r="W56" s="32">
        <v>0</v>
      </c>
    </row>
    <row r="58" spans="1:38">
      <c r="C58" s="33"/>
      <c r="D58" s="33"/>
      <c r="E58" s="33"/>
      <c r="F58" s="33"/>
      <c r="G58" s="33"/>
      <c r="H58" s="33"/>
      <c r="I58" s="33"/>
      <c r="J58" s="33"/>
      <c r="K58" s="33"/>
      <c r="L58" s="33"/>
      <c r="M58" s="33"/>
      <c r="N58" s="33"/>
      <c r="O58" s="33"/>
      <c r="P58" s="33"/>
      <c r="Q58" s="33"/>
      <c r="R58" s="33"/>
      <c r="S58" s="33"/>
      <c r="T58" s="33"/>
      <c r="U58" s="33"/>
      <c r="V58" s="33"/>
      <c r="W58" s="33"/>
    </row>
    <row r="59" spans="1:38">
      <c r="D59">
        <v>2026</v>
      </c>
      <c r="E59">
        <v>2027</v>
      </c>
      <c r="F59">
        <v>2028</v>
      </c>
      <c r="G59">
        <v>2029</v>
      </c>
      <c r="H59" s="4">
        <v>2030</v>
      </c>
      <c r="I59">
        <v>2031</v>
      </c>
      <c r="J59">
        <v>2032</v>
      </c>
      <c r="K59">
        <v>2033</v>
      </c>
      <c r="L59" s="4">
        <v>2034</v>
      </c>
      <c r="M59">
        <v>2035</v>
      </c>
      <c r="N59">
        <v>2036</v>
      </c>
      <c r="O59">
        <v>2037</v>
      </c>
      <c r="P59" s="4">
        <v>2038</v>
      </c>
      <c r="Q59">
        <v>2039</v>
      </c>
      <c r="R59">
        <v>2040</v>
      </c>
      <c r="S59">
        <v>2041</v>
      </c>
      <c r="T59" s="4">
        <v>2042</v>
      </c>
      <c r="U59">
        <v>2043</v>
      </c>
      <c r="V59">
        <v>2044</v>
      </c>
      <c r="W59">
        <v>2045</v>
      </c>
    </row>
    <row r="60" spans="1:38">
      <c r="B60" s="54" t="s">
        <v>503</v>
      </c>
      <c r="C60" t="s">
        <v>510</v>
      </c>
      <c r="D60">
        <v>-24685859.541260619</v>
      </c>
      <c r="E60">
        <v>-6281615.0968161765</v>
      </c>
      <c r="F60">
        <v>-5945615.0968161765</v>
      </c>
      <c r="G60">
        <v>9443540.1582698151</v>
      </c>
      <c r="H60">
        <v>4742915.1311390009</v>
      </c>
      <c r="I60">
        <v>3637915.1311390009</v>
      </c>
      <c r="J60">
        <v>4787915.1311390009</v>
      </c>
      <c r="K60">
        <v>15599048.464472335</v>
      </c>
      <c r="L60">
        <v>15559048.464472335</v>
      </c>
      <c r="M60">
        <v>20413048.464472335</v>
      </c>
      <c r="N60">
        <v>19423048.464472335</v>
      </c>
      <c r="O60">
        <v>20333048.464472335</v>
      </c>
      <c r="P60">
        <v>20398048.464472335</v>
      </c>
      <c r="Q60">
        <v>20238048.464472335</v>
      </c>
      <c r="R60">
        <v>17477981.797805667</v>
      </c>
      <c r="S60">
        <v>16227981.797805667</v>
      </c>
      <c r="T60">
        <v>15850448.464472335</v>
      </c>
      <c r="U60">
        <v>15865448.464472335</v>
      </c>
      <c r="V60">
        <v>17086448.464472335</v>
      </c>
      <c r="W60">
        <v>16951448.464472335</v>
      </c>
      <c r="X60">
        <v>15946448.464472335</v>
      </c>
      <c r="Y60">
        <v>17031448.464472335</v>
      </c>
      <c r="Z60">
        <v>17161448.464472335</v>
      </c>
      <c r="AA60">
        <v>16856448.464472335</v>
      </c>
      <c r="AB60">
        <v>17016448.464472335</v>
      </c>
      <c r="AC60">
        <v>15961448.464472335</v>
      </c>
      <c r="AD60">
        <v>16431848.464472335</v>
      </c>
      <c r="AE60">
        <v>16171848.464472335</v>
      </c>
      <c r="AF60">
        <v>16406848.464472335</v>
      </c>
      <c r="AG60">
        <v>15770448.464472335</v>
      </c>
    </row>
    <row r="61" spans="1:38">
      <c r="B61" s="54"/>
      <c r="C61" s="33" t="s">
        <v>511</v>
      </c>
      <c r="D61" s="33">
        <v>-15894034.09090909</v>
      </c>
      <c r="E61" s="33">
        <v>-13831859.541260619</v>
      </c>
      <c r="F61" s="33">
        <v>-5377615.0968161765</v>
      </c>
      <c r="G61" s="33">
        <v>-5091615.0968161765</v>
      </c>
      <c r="H61" s="33">
        <v>15305716.324936481</v>
      </c>
      <c r="I61" s="33">
        <v>6771326.8249364812</v>
      </c>
      <c r="J61" s="33">
        <v>5976326.8249364812</v>
      </c>
      <c r="K61" s="33">
        <v>6689326.8249364812</v>
      </c>
      <c r="L61" s="33">
        <v>24264526.824936479</v>
      </c>
      <c r="M61" s="33">
        <v>22038316.324936479</v>
      </c>
      <c r="N61" s="33">
        <v>29945126.824936479</v>
      </c>
      <c r="O61" s="33">
        <v>29662126.824936479</v>
      </c>
      <c r="P61" s="33">
        <v>30352126.824936479</v>
      </c>
      <c r="Q61" s="33">
        <v>30230126.824936479</v>
      </c>
      <c r="R61" s="33">
        <v>28160916.324936479</v>
      </c>
      <c r="S61" s="33">
        <v>24911326.824936479</v>
      </c>
      <c r="T61" s="33">
        <v>23804326.824936479</v>
      </c>
      <c r="U61" s="33">
        <v>22475926.824936479</v>
      </c>
      <c r="V61" s="33">
        <v>22360926.824936479</v>
      </c>
      <c r="W61" s="33">
        <v>21555116.324936479</v>
      </c>
      <c r="X61">
        <v>23813326.824936479</v>
      </c>
      <c r="Y61">
        <v>23228326.824936479</v>
      </c>
      <c r="Z61">
        <v>23796326.824936479</v>
      </c>
      <c r="AA61">
        <v>24193326.824936479</v>
      </c>
      <c r="AB61">
        <v>21662116.324936479</v>
      </c>
      <c r="AC61">
        <v>23641326.824936479</v>
      </c>
      <c r="AD61">
        <v>23213326.824936479</v>
      </c>
      <c r="AE61">
        <v>23121886.824936479</v>
      </c>
      <c r="AF61">
        <v>22774886.824936479</v>
      </c>
      <c r="AG61">
        <v>20770676.324936479</v>
      </c>
    </row>
    <row r="62" spans="1:38">
      <c r="B62" s="54"/>
      <c r="C62" s="4" t="s">
        <v>512</v>
      </c>
      <c r="D62" s="20">
        <f>(D61-D60)/D60</f>
        <v>-0.35614824088489333</v>
      </c>
      <c r="E62" s="20">
        <f t="shared" ref="E62:AG62" si="0">(E61-E60)/E60</f>
        <v>1.2019591025676291</v>
      </c>
      <c r="F62" s="20">
        <f t="shared" si="0"/>
        <v>-9.5532588428766413E-2</v>
      </c>
      <c r="G62" s="20">
        <f t="shared" si="0"/>
        <v>-1.5391638105501559</v>
      </c>
      <c r="H62" s="20">
        <f t="shared" si="0"/>
        <v>2.2270694081048941</v>
      </c>
      <c r="I62" s="20">
        <f t="shared" si="0"/>
        <v>0.86132072377852176</v>
      </c>
      <c r="J62" s="20">
        <f t="shared" si="0"/>
        <v>0.24821068486958919</v>
      </c>
      <c r="K62" s="20">
        <f t="shared" si="0"/>
        <v>-0.5711708415951281</v>
      </c>
      <c r="L62" s="20">
        <f t="shared" si="0"/>
        <v>0.55951225939955829</v>
      </c>
      <c r="M62" s="55">
        <f t="shared" si="0"/>
        <v>7.9619066367907956E-2</v>
      </c>
      <c r="N62" s="20">
        <f t="shared" si="0"/>
        <v>0.54173156081603779</v>
      </c>
      <c r="O62" s="20">
        <f t="shared" si="0"/>
        <v>0.45881356043412375</v>
      </c>
      <c r="P62" s="20">
        <f t="shared" si="0"/>
        <v>0.48799170066692166</v>
      </c>
      <c r="Q62" s="20">
        <f t="shared" si="0"/>
        <v>0.49372736595651134</v>
      </c>
      <c r="R62" s="20">
        <f t="shared" si="0"/>
        <v>0.61122243121182551</v>
      </c>
      <c r="S62" s="20">
        <f t="shared" si="0"/>
        <v>0.53508471572878935</v>
      </c>
      <c r="T62" s="20">
        <f t="shared" si="0"/>
        <v>0.5018077802840849</v>
      </c>
      <c r="U62" s="20">
        <f t="shared" si="0"/>
        <v>0.41665877742233748</v>
      </c>
      <c r="V62" s="20">
        <f t="shared" si="0"/>
        <v>0.3086936627837733</v>
      </c>
      <c r="W62" s="20">
        <f t="shared" si="0"/>
        <v>0.27157961575453177</v>
      </c>
      <c r="X62" s="55">
        <f t="shared" si="0"/>
        <v>0.49333106227327328</v>
      </c>
      <c r="Y62" s="20">
        <f t="shared" si="0"/>
        <v>0.363849168401082</v>
      </c>
      <c r="Z62" s="20">
        <f t="shared" si="0"/>
        <v>0.38661528915811988</v>
      </c>
      <c r="AA62" s="20">
        <f t="shared" si="0"/>
        <v>0.4352564762338752</v>
      </c>
      <c r="AB62" s="20">
        <f t="shared" si="0"/>
        <v>0.27301042695034555</v>
      </c>
      <c r="AC62" s="20">
        <f t="shared" si="0"/>
        <v>0.48115171862743794</v>
      </c>
      <c r="AD62" s="20">
        <f t="shared" si="0"/>
        <v>0.41270331667958904</v>
      </c>
      <c r="AE62" s="20">
        <f t="shared" si="0"/>
        <v>0.42976153132603045</v>
      </c>
      <c r="AF62" s="20">
        <f t="shared" si="0"/>
        <v>0.38813294181716873</v>
      </c>
      <c r="AG62" s="20">
        <f t="shared" si="0"/>
        <v>0.31706313689992122</v>
      </c>
      <c r="AI62" s="20" cm="1">
        <f t="array" ref="AI62">MEDIAN(_xlfn._xlws.FILTER(D62:AG62, D62:AG62 &lt;= _xlfn.QUARTILE.INC(D62:AG62, 1)))</f>
        <v>-7.9567610304292213E-3</v>
      </c>
      <c r="AJ62" s="20" cm="1">
        <f t="array" ref="AJ62">MEDIAN(_xlfn._xlws.FILTER(D62:AG62, (D62:AG62 &gt; _xlfn.QUARTILE.INC(D62:AG62, 1)) * (D62:AG62 &lt;= _xlfn.QUARTILE.INC(D62:AG62, 2))))</f>
        <v>0.38661528915811988</v>
      </c>
      <c r="AK62" s="20" cm="1">
        <f t="array" ref="AK62">MEDIAN(_xlfn._xlws.FILTER(D62:AG62, (D62:AG62 &gt; _xlfn.QUARTILE.INC(D62:AG62, 2)) * (D62:AG62 &lt;= _xlfn.QUARTILE.INC(D62:AG62, 3))))</f>
        <v>0.48115171862743794</v>
      </c>
      <c r="AL62" s="20" cm="1">
        <f t="array" ref="AL62">MEDIAN(_xlfn._xlws.FILTER(D62:AG62, D62:AG62 &gt; _xlfn.QUARTILE.INC(D62:AG62, 3)))</f>
        <v>0.5853673453056919</v>
      </c>
    </row>
    <row r="63" spans="1:38">
      <c r="B63" s="54"/>
      <c r="C63" s="23" t="s">
        <v>513</v>
      </c>
      <c r="H63" s="40">
        <v>7.9619066367908053E-2</v>
      </c>
      <c r="I63" s="40">
        <v>0.11364446194338083</v>
      </c>
      <c r="J63" s="40">
        <v>0.14766985751885361</v>
      </c>
      <c r="K63" s="40">
        <v>0.18169525309432641</v>
      </c>
      <c r="L63" s="40">
        <v>0.2157206486697992</v>
      </c>
      <c r="M63" s="40">
        <v>0.24974604424527197</v>
      </c>
      <c r="N63" s="40">
        <v>0.28377143982074476</v>
      </c>
      <c r="O63" s="40">
        <v>0.31779683539621756</v>
      </c>
      <c r="P63" s="40">
        <v>0.35182223097169035</v>
      </c>
      <c r="Q63" s="40">
        <v>0.38584762654716315</v>
      </c>
      <c r="R63" s="40">
        <v>0.41987302212263594</v>
      </c>
      <c r="S63" s="40">
        <v>0.45389841769810868</v>
      </c>
      <c r="T63" s="40">
        <v>0.48792381327358147</v>
      </c>
      <c r="U63" s="40">
        <v>0.52194920884905427</v>
      </c>
      <c r="V63" s="40">
        <v>0.55597460442452706</v>
      </c>
      <c r="W63" s="40">
        <v>0.58999999999999986</v>
      </c>
    </row>
    <row r="64" spans="1:38">
      <c r="B64" s="54"/>
      <c r="C64" t="s">
        <v>514</v>
      </c>
    </row>
    <row r="65" spans="2:38">
      <c r="B65" s="54"/>
      <c r="C65" s="34" t="s">
        <v>515</v>
      </c>
      <c r="H65">
        <f>H63*H64</f>
        <v>0</v>
      </c>
      <c r="I65">
        <f>H65</f>
        <v>0</v>
      </c>
      <c r="J65">
        <f t="shared" ref="J65:K65" si="1">I65</f>
        <v>0</v>
      </c>
      <c r="K65">
        <f t="shared" si="1"/>
        <v>0</v>
      </c>
      <c r="L65">
        <f>L63*L64</f>
        <v>0</v>
      </c>
      <c r="M65">
        <f>L65</f>
        <v>0</v>
      </c>
      <c r="N65">
        <f t="shared" ref="N65:O65" si="2">M65</f>
        <v>0</v>
      </c>
      <c r="O65">
        <f t="shared" si="2"/>
        <v>0</v>
      </c>
      <c r="P65">
        <f>P63*P64</f>
        <v>0</v>
      </c>
      <c r="Q65">
        <f>P65</f>
        <v>0</v>
      </c>
      <c r="R65">
        <f t="shared" ref="R65:S65" si="3">Q65</f>
        <v>0</v>
      </c>
      <c r="S65">
        <f t="shared" si="3"/>
        <v>0</v>
      </c>
      <c r="T65">
        <f>T63*T64</f>
        <v>0</v>
      </c>
      <c r="U65">
        <f>T65</f>
        <v>0</v>
      </c>
      <c r="V65">
        <f t="shared" ref="V65:W65" si="4">U65</f>
        <v>0</v>
      </c>
      <c r="W65">
        <f t="shared" si="4"/>
        <v>0</v>
      </c>
    </row>
    <row r="66" spans="2:38">
      <c r="B66" s="54" t="s">
        <v>504</v>
      </c>
      <c r="C66" t="s">
        <v>510</v>
      </c>
      <c r="D66">
        <v>-18475592.593101334</v>
      </c>
      <c r="E66">
        <v>-6951570.3708791193</v>
      </c>
      <c r="F66">
        <v>-6146327.0375457862</v>
      </c>
      <c r="G66">
        <v>-2709141.9429536238</v>
      </c>
      <c r="H66">
        <v>3304860.7653797097</v>
      </c>
      <c r="I66">
        <v>-126014.23462029081</v>
      </c>
      <c r="J66">
        <v>2168188.8903797092</v>
      </c>
      <c r="K66">
        <v>7194001.3903797101</v>
      </c>
      <c r="L66">
        <v>9795876.3903797083</v>
      </c>
      <c r="M66">
        <v>15054782.640379706</v>
      </c>
      <c r="N66">
        <v>16032545.557046378</v>
      </c>
      <c r="O66">
        <v>18816389.307046372</v>
      </c>
      <c r="P66">
        <v>21258701.807046369</v>
      </c>
      <c r="Q66">
        <v>21663858.057046369</v>
      </c>
      <c r="R66">
        <v>22579108.057046369</v>
      </c>
      <c r="S66">
        <v>21230502.223713044</v>
      </c>
      <c r="T66">
        <v>23399377.223713037</v>
      </c>
      <c r="U66">
        <v>22072689.723713044</v>
      </c>
      <c r="V66">
        <v>22474483.557046369</v>
      </c>
      <c r="W66">
        <v>20831221.057046369</v>
      </c>
      <c r="X66">
        <v>20151501.890379716</v>
      </c>
      <c r="Y66">
        <v>20691813.890379712</v>
      </c>
      <c r="Z66">
        <v>19900032.640379705</v>
      </c>
      <c r="AA66">
        <v>18095876.390379705</v>
      </c>
      <c r="AB66">
        <v>18550063.890379705</v>
      </c>
      <c r="AC66">
        <v>17199313.890379705</v>
      </c>
      <c r="AD66">
        <v>16159233.057046378</v>
      </c>
      <c r="AE66">
        <v>15252108.057046378</v>
      </c>
      <c r="AF66">
        <v>15516420.557046378</v>
      </c>
      <c r="AG66">
        <v>14038983.057046378</v>
      </c>
    </row>
    <row r="67" spans="2:38">
      <c r="B67" s="54"/>
      <c r="C67" s="33" t="s">
        <v>511</v>
      </c>
      <c r="D67">
        <v>31845965.909090918</v>
      </c>
      <c r="E67">
        <v>-3282592.5931013413</v>
      </c>
      <c r="F67">
        <v>1216429.6291208807</v>
      </c>
      <c r="G67">
        <v>2142246.2957875468</v>
      </c>
      <c r="H67">
        <v>-5648568.6096202899</v>
      </c>
      <c r="I67">
        <v>-664397.25545362197</v>
      </c>
      <c r="J67">
        <v>-838397.25545362197</v>
      </c>
      <c r="K67">
        <v>1082366.8070463762</v>
      </c>
      <c r="L67">
        <v>7539523.0570463799</v>
      </c>
      <c r="M67">
        <v>11282673.057046374</v>
      </c>
      <c r="N67">
        <v>17808538.682046372</v>
      </c>
      <c r="O67">
        <v>19272525.140379716</v>
      </c>
      <c r="P67">
        <v>23377222.015379708</v>
      </c>
      <c r="Q67">
        <v>26016628.265379708</v>
      </c>
      <c r="R67">
        <v>26184931.390379708</v>
      </c>
      <c r="S67">
        <v>23939556.390379697</v>
      </c>
      <c r="T67">
        <v>32492283.473713048</v>
      </c>
      <c r="U67">
        <v>34139220.973713055</v>
      </c>
      <c r="V67">
        <v>27126127.22371304</v>
      </c>
      <c r="W67">
        <v>33581838.140379697</v>
      </c>
      <c r="X67">
        <v>30047981.890379697</v>
      </c>
      <c r="Y67">
        <v>25479117.307046384</v>
      </c>
      <c r="Z67">
        <v>28796679.307046369</v>
      </c>
      <c r="AA67">
        <v>29630663.682046369</v>
      </c>
      <c r="AB67">
        <v>22306960.557046369</v>
      </c>
      <c r="AC67">
        <v>27175804.307046369</v>
      </c>
      <c r="AD67">
        <v>26897429.307046369</v>
      </c>
      <c r="AE67">
        <v>19384218.890379712</v>
      </c>
      <c r="AF67">
        <v>24411656.390379712</v>
      </c>
      <c r="AG67">
        <v>21371062.640379712</v>
      </c>
    </row>
    <row r="68" spans="2:38">
      <c r="B68" s="54"/>
      <c r="C68" s="4" t="s">
        <v>512</v>
      </c>
      <c r="D68" s="20">
        <f>(D67-D66)/D66</f>
        <v>-2.7236776438219357</v>
      </c>
      <c r="E68" s="20">
        <f t="shared" ref="E68:AG68" si="5">(E67-E66)/E66</f>
        <v>-0.52779121580175947</v>
      </c>
      <c r="F68" s="20">
        <f t="shared" si="5"/>
        <v>-1.1979116343289469</v>
      </c>
      <c r="G68" s="20">
        <f t="shared" si="5"/>
        <v>-1.7907471593946742</v>
      </c>
      <c r="H68" s="20">
        <f t="shared" si="5"/>
        <v>-2.7091699198926169</v>
      </c>
      <c r="I68" s="20">
        <f t="shared" si="5"/>
        <v>4.2723984512987769</v>
      </c>
      <c r="J68" s="20">
        <f t="shared" si="5"/>
        <v>-1.386680911046821</v>
      </c>
      <c r="K68" s="20">
        <f t="shared" si="5"/>
        <v>-0.84954592745925961</v>
      </c>
      <c r="L68" s="20">
        <f t="shared" si="5"/>
        <v>-0.23033705647299083</v>
      </c>
      <c r="M68" s="20">
        <f t="shared" si="5"/>
        <v>-0.25055888706196511</v>
      </c>
      <c r="N68" s="20">
        <f t="shared" si="5"/>
        <v>0.11077424471870202</v>
      </c>
      <c r="O68" s="56">
        <f t="shared" si="5"/>
        <v>2.4241411351035837E-2</v>
      </c>
      <c r="P68" s="56">
        <f t="shared" si="5"/>
        <v>9.9654260526441871E-2</v>
      </c>
      <c r="Q68" s="56">
        <f t="shared" si="5"/>
        <v>0.20092313182958477</v>
      </c>
      <c r="R68" s="56">
        <f t="shared" si="5"/>
        <v>0.15969733278317225</v>
      </c>
      <c r="S68" s="56">
        <f t="shared" si="5"/>
        <v>0.12760198219149152</v>
      </c>
      <c r="T68" s="56">
        <f t="shared" si="5"/>
        <v>0.38859607941980689</v>
      </c>
      <c r="U68" s="56">
        <f t="shared" si="5"/>
        <v>0.54667244459277398</v>
      </c>
      <c r="V68" s="56">
        <f t="shared" si="5"/>
        <v>0.20697444080792921</v>
      </c>
      <c r="W68" s="56">
        <f t="shared" si="5"/>
        <v>0.61209167952352483</v>
      </c>
      <c r="X68" s="56">
        <f t="shared" si="5"/>
        <v>0.49110384197837581</v>
      </c>
      <c r="Y68" s="56">
        <f t="shared" si="5"/>
        <v>0.23136219192907212</v>
      </c>
      <c r="Z68" s="56">
        <f t="shared" si="5"/>
        <v>0.44706693840362016</v>
      </c>
      <c r="AA68" s="56">
        <f t="shared" si="5"/>
        <v>0.63742628667594647</v>
      </c>
      <c r="AB68" s="56">
        <f t="shared" si="5"/>
        <v>0.20252742464218884</v>
      </c>
      <c r="AC68" s="56">
        <f t="shared" si="5"/>
        <v>0.5800516509118967</v>
      </c>
      <c r="AD68" s="56">
        <f t="shared" si="5"/>
        <v>0.66452388006852248</v>
      </c>
      <c r="AE68" s="56">
        <f t="shared" si="5"/>
        <v>0.27092063719180937</v>
      </c>
      <c r="AF68" s="56">
        <f t="shared" si="5"/>
        <v>0.57327885646240717</v>
      </c>
      <c r="AG68" s="56">
        <f t="shared" si="5"/>
        <v>0.52226571921484388</v>
      </c>
      <c r="AI68" s="20" cm="1">
        <f t="array" ref="AI68">MEDIAN(_xlfn._xlws.FILTER(D68:AG68, D68:AG68 &lt;= _xlfn.QUARTILE.INC(D68:AG68, 1)))</f>
        <v>-1.2922962726878839</v>
      </c>
      <c r="AJ68" s="20" cm="1">
        <f t="array" ref="AJ68">MEDIAN(_xlfn._xlws.FILTER(D68:AG68, (D68:AG68 &gt; _xlfn.QUARTILE.INC(D68:AG68, 1)) * (D68:AG68 &lt;= _xlfn.QUARTILE.INC(D68:AG68, 2))))</f>
        <v>0.11077424471870202</v>
      </c>
      <c r="AK68" s="20" cm="1">
        <f t="array" ref="AK68">MEDIAN(_xlfn._xlws.FILTER(D68:AG68, (D68:AG68 &gt; _xlfn.QUARTILE.INC(D68:AG68, 2)) * (D68:AG68 &lt;= _xlfn.QUARTILE.INC(D68:AG68, 3))))</f>
        <v>0.27092063719180937</v>
      </c>
      <c r="AL68" s="20" cm="1">
        <f t="array" ref="AL68">MEDIAN(_xlfn._xlws.FILTER(D68:AG68, D68:AG68 &gt; _xlfn.QUARTILE.INC(D68:AG68, 3)))</f>
        <v>0.59607166521771071</v>
      </c>
    </row>
    <row r="69" spans="2:38">
      <c r="B69" s="54"/>
      <c r="C69" s="23" t="s">
        <v>513</v>
      </c>
      <c r="H69" s="40">
        <v>0.11000000000000003</v>
      </c>
      <c r="I69" s="40">
        <v>0.14266666666666669</v>
      </c>
      <c r="J69" s="40">
        <v>0.17533333333333334</v>
      </c>
      <c r="K69" s="40">
        <v>0.20800000000000002</v>
      </c>
      <c r="L69" s="40">
        <v>0.2406666666666667</v>
      </c>
      <c r="M69" s="40">
        <v>0.27333333333333332</v>
      </c>
      <c r="N69" s="40">
        <v>0.30599999999999999</v>
      </c>
      <c r="O69" s="40">
        <v>0.33866666666666667</v>
      </c>
      <c r="P69" s="40">
        <v>0.37133333333333335</v>
      </c>
      <c r="Q69" s="40">
        <v>0.40400000000000003</v>
      </c>
      <c r="R69" s="40">
        <v>0.43666666666666665</v>
      </c>
      <c r="S69" s="40">
        <v>0.46933333333333332</v>
      </c>
      <c r="T69" s="40">
        <v>0.502</v>
      </c>
      <c r="U69" s="40">
        <v>0.53466666666666662</v>
      </c>
      <c r="V69" s="40">
        <v>0.56733333333333325</v>
      </c>
      <c r="W69" s="40">
        <v>0.6</v>
      </c>
    </row>
    <row r="70" spans="2:38">
      <c r="B70" s="54"/>
      <c r="C70" t="s">
        <v>514</v>
      </c>
    </row>
    <row r="71" spans="2:38">
      <c r="B71" s="54"/>
      <c r="C71" s="34" t="s">
        <v>515</v>
      </c>
      <c r="H71">
        <f>H69*H70</f>
        <v>0</v>
      </c>
      <c r="I71">
        <f>H71</f>
        <v>0</v>
      </c>
      <c r="J71">
        <f t="shared" ref="J71:K71" si="6">I71</f>
        <v>0</v>
      </c>
      <c r="K71">
        <f t="shared" si="6"/>
        <v>0</v>
      </c>
      <c r="L71">
        <f>L69*L70</f>
        <v>0</v>
      </c>
      <c r="M71">
        <f>L71</f>
        <v>0</v>
      </c>
      <c r="N71">
        <f t="shared" ref="N71:O71" si="7">M71</f>
        <v>0</v>
      </c>
      <c r="O71">
        <f t="shared" si="7"/>
        <v>0</v>
      </c>
      <c r="P71">
        <f>P69*P70</f>
        <v>0</v>
      </c>
      <c r="Q71">
        <f>P71</f>
        <v>0</v>
      </c>
      <c r="R71">
        <f t="shared" ref="R71:S71" si="8">Q71</f>
        <v>0</v>
      </c>
      <c r="S71">
        <f t="shared" si="8"/>
        <v>0</v>
      </c>
      <c r="T71">
        <f>T69*T70</f>
        <v>0</v>
      </c>
      <c r="U71">
        <f>T71</f>
        <v>0</v>
      </c>
      <c r="V71">
        <f t="shared" ref="V71:W71" si="9">U71</f>
        <v>0</v>
      </c>
      <c r="W71">
        <f t="shared" si="9"/>
        <v>0</v>
      </c>
    </row>
    <row r="72" spans="2:38">
      <c r="B72" s="54" t="s">
        <v>505</v>
      </c>
      <c r="C72" t="s">
        <v>510</v>
      </c>
      <c r="D72">
        <v>-16673476.698806245</v>
      </c>
      <c r="E72">
        <v>-5524601.6988062449</v>
      </c>
      <c r="F72">
        <v>-5580601.6988062449</v>
      </c>
      <c r="G72">
        <v>-1419500</v>
      </c>
      <c r="H72">
        <v>-2181500</v>
      </c>
      <c r="I72">
        <v>1740557.8124999991</v>
      </c>
      <c r="J72">
        <v>3401281.25</v>
      </c>
      <c r="K72">
        <v>3970875</v>
      </c>
      <c r="L72">
        <v>5716737.5</v>
      </c>
      <c r="M72">
        <v>5945734.375</v>
      </c>
      <c r="N72">
        <v>8390156.25</v>
      </c>
      <c r="O72">
        <v>12033284.374999996</v>
      </c>
      <c r="P72">
        <v>12860628.125000004</v>
      </c>
      <c r="Q72">
        <v>13977500</v>
      </c>
      <c r="R72">
        <v>15403875</v>
      </c>
      <c r="S72">
        <v>14612531.249999994</v>
      </c>
      <c r="T72">
        <v>14995093.749999993</v>
      </c>
      <c r="U72">
        <v>14596937.5</v>
      </c>
      <c r="V72">
        <v>14319531.25</v>
      </c>
      <c r="W72">
        <v>12960687.5</v>
      </c>
      <c r="X72">
        <v>11244718.75</v>
      </c>
      <c r="Y72">
        <v>11119968.75</v>
      </c>
      <c r="Z72">
        <v>10361109.375000004</v>
      </c>
      <c r="AA72">
        <v>9469437.5</v>
      </c>
      <c r="AB72">
        <v>8087843.75</v>
      </c>
      <c r="AC72">
        <v>7770218.75</v>
      </c>
      <c r="AD72">
        <v>7810312.5</v>
      </c>
      <c r="AE72">
        <v>7155375</v>
      </c>
      <c r="AF72">
        <v>6650718.7500000028</v>
      </c>
      <c r="AG72">
        <v>5250337.5000000019</v>
      </c>
    </row>
    <row r="73" spans="2:38">
      <c r="B73" s="54"/>
      <c r="C73" s="33" t="s">
        <v>511</v>
      </c>
      <c r="D73">
        <v>38643000</v>
      </c>
      <c r="E73">
        <v>-8756476.6988062449</v>
      </c>
      <c r="F73">
        <v>-5734601.6988062449</v>
      </c>
      <c r="G73">
        <v>-6035851.6988062449</v>
      </c>
      <c r="H73">
        <v>-6077851.6988062449</v>
      </c>
      <c r="I73">
        <v>-84361.69880624488</v>
      </c>
      <c r="J73">
        <v>5218898.3011937551</v>
      </c>
      <c r="K73">
        <v>8066648.3011937551</v>
      </c>
      <c r="L73">
        <v>9613473.3011937551</v>
      </c>
      <c r="M73">
        <v>16146473.301193755</v>
      </c>
      <c r="N73">
        <v>21338323.301193748</v>
      </c>
      <c r="O73">
        <v>25459438.301193759</v>
      </c>
      <c r="P73">
        <v>25450913.301193755</v>
      </c>
      <c r="Q73">
        <v>28905848.301193755</v>
      </c>
      <c r="R73">
        <v>28467998.301193751</v>
      </c>
      <c r="S73">
        <v>23947748.301193759</v>
      </c>
      <c r="T73">
        <v>31960031.634527087</v>
      </c>
      <c r="U73">
        <v>25538231.634527095</v>
      </c>
      <c r="V73">
        <v>16107398.301193759</v>
      </c>
      <c r="W73">
        <v>22218398.301193759</v>
      </c>
      <c r="X73">
        <v>15661648.301193759</v>
      </c>
      <c r="Y73">
        <v>10509823.301193759</v>
      </c>
      <c r="Z73">
        <v>12583223.301193759</v>
      </c>
      <c r="AA73">
        <v>13818398.301193759</v>
      </c>
      <c r="AB73">
        <v>7022648.3011937588</v>
      </c>
      <c r="AC73">
        <v>8748898.3011937588</v>
      </c>
      <c r="AD73">
        <v>10366148.301193759</v>
      </c>
      <c r="AE73">
        <v>2712898.3011937588</v>
      </c>
      <c r="AF73">
        <v>7959498.3011937514</v>
      </c>
      <c r="AG73">
        <v>5577168.3011937588</v>
      </c>
    </row>
    <row r="74" spans="2:38">
      <c r="B74" s="54"/>
      <c r="C74" s="4" t="s">
        <v>512</v>
      </c>
      <c r="D74" s="20">
        <f>(D73-D72)/D72</f>
        <v>-3.3176330106825702</v>
      </c>
      <c r="E74" s="20">
        <f t="shared" ref="E74:AG74" si="10">(E73-E72)/E72</f>
        <v>0.58499692397704306</v>
      </c>
      <c r="F74" s="20">
        <f t="shared" si="10"/>
        <v>2.7595590639077929E-2</v>
      </c>
      <c r="G74" s="20">
        <f t="shared" si="10"/>
        <v>3.2520970051470552</v>
      </c>
      <c r="H74" s="20">
        <f t="shared" si="10"/>
        <v>1.7860883331681159</v>
      </c>
      <c r="I74" s="20">
        <f t="shared" si="10"/>
        <v>-1.0484681969196268</v>
      </c>
      <c r="J74" s="20">
        <f t="shared" si="10"/>
        <v>0.53439187106145813</v>
      </c>
      <c r="K74" s="20">
        <f t="shared" si="10"/>
        <v>1.0314535968001397</v>
      </c>
      <c r="L74" s="20">
        <f t="shared" si="10"/>
        <v>0.68163630063366654</v>
      </c>
      <c r="M74" s="20">
        <f t="shared" si="10"/>
        <v>1.7156398659658849</v>
      </c>
      <c r="N74" s="20">
        <f t="shared" si="10"/>
        <v>1.5432569627286439</v>
      </c>
      <c r="O74" s="20">
        <f t="shared" si="10"/>
        <v>1.1157514031736466</v>
      </c>
      <c r="P74" s="20">
        <f t="shared" si="10"/>
        <v>0.97897902449408924</v>
      </c>
      <c r="Q74" s="20">
        <f t="shared" si="10"/>
        <v>1.0680270650111789</v>
      </c>
      <c r="R74" s="20">
        <f t="shared" si="10"/>
        <v>0.84810629151390482</v>
      </c>
      <c r="S74" s="20">
        <f t="shared" si="10"/>
        <v>0.63885010006009524</v>
      </c>
      <c r="T74" s="20">
        <f t="shared" si="10"/>
        <v>1.1313659099015039</v>
      </c>
      <c r="U74" s="20">
        <f t="shared" si="10"/>
        <v>0.74956093595160589</v>
      </c>
      <c r="V74" s="20">
        <f t="shared" si="10"/>
        <v>0.12485513806143332</v>
      </c>
      <c r="W74" s="20">
        <f t="shared" si="10"/>
        <v>0.714291645500577</v>
      </c>
      <c r="X74" s="20">
        <f t="shared" si="10"/>
        <v>0.39280035805197516</v>
      </c>
      <c r="Y74" s="20">
        <f t="shared" si="10"/>
        <v>-5.4869349233219844E-2</v>
      </c>
      <c r="Z74" s="20">
        <f t="shared" si="10"/>
        <v>0.21446679556876644</v>
      </c>
      <c r="AA74" s="20">
        <f t="shared" si="10"/>
        <v>0.45926284440799769</v>
      </c>
      <c r="AB74" s="20">
        <f t="shared" si="10"/>
        <v>-0.13170326748785685</v>
      </c>
      <c r="AC74" s="20">
        <f t="shared" si="10"/>
        <v>0.1259526382309068</v>
      </c>
      <c r="AD74" s="20">
        <f t="shared" si="10"/>
        <v>0.32723860936342292</v>
      </c>
      <c r="AE74" s="20">
        <f t="shared" si="10"/>
        <v>-0.62085868299093216</v>
      </c>
      <c r="AF74" s="20">
        <f t="shared" si="10"/>
        <v>0.19678768572099792</v>
      </c>
      <c r="AG74" s="55">
        <f t="shared" si="10"/>
        <v>6.2249484189112962E-2</v>
      </c>
      <c r="AI74" s="20" cm="1">
        <f t="array" ref="AI74">MEDIAN(_xlfn._xlws.FILTER(D74:AG74, D74:AG74 &lt;= _xlfn.QUARTILE.INC(D74:AG74, 1)))</f>
        <v>-9.3286308360538348E-2</v>
      </c>
      <c r="AJ74" s="20" cm="1">
        <f t="array" ref="AJ74">MEDIAN(_xlfn._xlws.FILTER(D74:AG74, (D74:AG74 &gt; _xlfn.QUARTILE.INC(D74:AG74, 1)) * (D74:AG74 &lt;= _xlfn.QUARTILE.INC(D74:AG74, 2))))</f>
        <v>0.32723860936342292</v>
      </c>
      <c r="AK74" s="20" cm="1">
        <f t="array" ref="AK74">MEDIAN(_xlfn._xlws.FILTER(D74:AG74, (D74:AG74 &gt; _xlfn.QUARTILE.INC(D74:AG74, 2)) * (D74:AG74 &lt;= _xlfn.QUARTILE.INC(D74:AG74, 3))))</f>
        <v>0.714291645500577</v>
      </c>
      <c r="AL74" s="20" cm="1">
        <f t="array" ref="AL74">MEDIAN(_xlfn._xlws.FILTER(D74:AG74, D74:AG74 &gt; _xlfn.QUARTILE.INC(D74:AG74, 3)))</f>
        <v>1.337311436315074</v>
      </c>
    </row>
    <row r="75" spans="2:38">
      <c r="B75" s="54"/>
      <c r="C75" s="23" t="s">
        <v>513</v>
      </c>
      <c r="H75" s="40">
        <v>6.0000000000000046E-2</v>
      </c>
      <c r="I75" s="40">
        <v>0.10333333333333337</v>
      </c>
      <c r="J75" s="40">
        <v>0.1466666666666667</v>
      </c>
      <c r="K75" s="40">
        <v>0.19000000000000003</v>
      </c>
      <c r="L75" s="40">
        <v>0.23333333333333336</v>
      </c>
      <c r="M75" s="40">
        <v>0.27666666666666667</v>
      </c>
      <c r="N75" s="40">
        <v>0.32</v>
      </c>
      <c r="O75" s="40">
        <v>0.36333333333333334</v>
      </c>
      <c r="P75" s="40">
        <v>0.40666666666666668</v>
      </c>
      <c r="Q75" s="40">
        <v>0.45</v>
      </c>
      <c r="R75" s="40">
        <v>0.49333333333333335</v>
      </c>
      <c r="S75" s="40">
        <v>0.53666666666666663</v>
      </c>
      <c r="T75" s="40">
        <v>0.57999999999999996</v>
      </c>
      <c r="U75" s="40">
        <v>0.62333333333333329</v>
      </c>
      <c r="V75" s="40">
        <v>0.66666666666666663</v>
      </c>
      <c r="W75" s="40">
        <v>0.71</v>
      </c>
    </row>
    <row r="76" spans="2:38">
      <c r="B76" s="54"/>
      <c r="C76" t="s">
        <v>514</v>
      </c>
    </row>
    <row r="77" spans="2:38">
      <c r="B77" s="54"/>
      <c r="C77" s="34" t="s">
        <v>515</v>
      </c>
      <c r="H77">
        <f>H75*H76</f>
        <v>0</v>
      </c>
      <c r="I77">
        <f>H77</f>
        <v>0</v>
      </c>
      <c r="J77">
        <f t="shared" ref="J77:K77" si="11">I77</f>
        <v>0</v>
      </c>
      <c r="K77">
        <f t="shared" si="11"/>
        <v>0</v>
      </c>
      <c r="L77">
        <f>L75*L76</f>
        <v>0</v>
      </c>
      <c r="M77">
        <f>L77</f>
        <v>0</v>
      </c>
      <c r="N77">
        <f t="shared" ref="N77:O77" si="12">M77</f>
        <v>0</v>
      </c>
      <c r="O77">
        <f t="shared" si="12"/>
        <v>0</v>
      </c>
      <c r="P77">
        <f>P75*P76</f>
        <v>0</v>
      </c>
      <c r="Q77">
        <f>P77</f>
        <v>0</v>
      </c>
      <c r="R77">
        <f t="shared" ref="R77:S77" si="13">Q77</f>
        <v>0</v>
      </c>
      <c r="S77">
        <f t="shared" si="13"/>
        <v>0</v>
      </c>
      <c r="T77">
        <f>T75*T76</f>
        <v>0</v>
      </c>
      <c r="U77">
        <f>T77</f>
        <v>0</v>
      </c>
      <c r="V77">
        <f t="shared" ref="V77:W77" si="14">U77</f>
        <v>0</v>
      </c>
      <c r="W77">
        <f t="shared" si="14"/>
        <v>0</v>
      </c>
    </row>
    <row r="78" spans="2:38">
      <c r="B78" s="54" t="s">
        <v>506</v>
      </c>
      <c r="C78" t="s">
        <v>510</v>
      </c>
      <c r="D78">
        <v>-15039000</v>
      </c>
      <c r="E78">
        <v>-5907000</v>
      </c>
      <c r="F78">
        <v>-12536000</v>
      </c>
      <c r="G78">
        <v>2298268.2852428583</v>
      </c>
      <c r="H78">
        <v>6824960.5714285728</v>
      </c>
      <c r="I78">
        <v>10394888.389828574</v>
      </c>
      <c r="J78">
        <v>17523434.599128574</v>
      </c>
      <c r="K78">
        <v>23672906.91314286</v>
      </c>
      <c r="L78">
        <v>29709305.331871428</v>
      </c>
      <c r="M78">
        <v>35251629.855314292</v>
      </c>
      <c r="N78">
        <v>40949880.483471423</v>
      </c>
      <c r="O78">
        <v>45708057.216342866</v>
      </c>
      <c r="P78">
        <v>48964160.053928569</v>
      </c>
      <c r="Q78">
        <v>53000188.996228561</v>
      </c>
      <c r="R78">
        <v>55527144.043242879</v>
      </c>
      <c r="S78">
        <v>58695025.194971435</v>
      </c>
      <c r="T78">
        <v>60077832.45141428</v>
      </c>
      <c r="U78">
        <v>61833565.812571444</v>
      </c>
      <c r="V78">
        <v>62894225.278442867</v>
      </c>
      <c r="W78">
        <v>62990810.849028572</v>
      </c>
      <c r="X78">
        <v>62543322.524328589</v>
      </c>
      <c r="Y78">
        <v>61825760.304342866</v>
      </c>
      <c r="Z78">
        <v>61306124.189071432</v>
      </c>
      <c r="AA78">
        <v>59696414.178514287</v>
      </c>
      <c r="AB78">
        <v>57162630.272671439</v>
      </c>
    </row>
    <row r="79" spans="2:38">
      <c r="B79" s="54"/>
      <c r="C79" s="33" t="s">
        <v>511</v>
      </c>
      <c r="D79">
        <v>-19524783.216783218</v>
      </c>
      <c r="E79">
        <v>-7022430.0699300701</v>
      </c>
      <c r="F79">
        <v>-11258083.216783218</v>
      </c>
      <c r="G79">
        <v>8606937.7622377649</v>
      </c>
      <c r="H79">
        <v>16159288.81118881</v>
      </c>
      <c r="I79">
        <v>28335999.300699309</v>
      </c>
      <c r="J79">
        <v>40914109.790209785</v>
      </c>
      <c r="K79">
        <v>50597860.839160837</v>
      </c>
      <c r="L79">
        <v>52076238.461538464</v>
      </c>
      <c r="M79">
        <v>58138416.083916098</v>
      </c>
      <c r="N79">
        <v>62940993.706293717</v>
      </c>
      <c r="O79">
        <v>71349571.328671336</v>
      </c>
      <c r="P79">
        <v>71273771.328671336</v>
      </c>
      <c r="Q79">
        <v>72101782.517482519</v>
      </c>
      <c r="R79">
        <v>60919004.895104893</v>
      </c>
      <c r="S79">
        <v>68193638.461538464</v>
      </c>
      <c r="T79">
        <v>65627660.839160837</v>
      </c>
      <c r="U79">
        <v>63073483.216783218</v>
      </c>
      <c r="V79">
        <v>52438705.594405591</v>
      </c>
      <c r="W79">
        <v>56021927.972027972</v>
      </c>
      <c r="X79">
        <v>55317650.349650353</v>
      </c>
      <c r="Y79">
        <v>52354472.727272727</v>
      </c>
      <c r="Z79">
        <v>42373695.1048951</v>
      </c>
      <c r="AA79">
        <v>48130506.29370629</v>
      </c>
      <c r="AB79">
        <v>48627706.29370629</v>
      </c>
    </row>
    <row r="80" spans="2:38">
      <c r="B80" s="54"/>
      <c r="C80" s="4" t="s">
        <v>512</v>
      </c>
      <c r="D80" s="20">
        <f>(D79-D78)/D78</f>
        <v>0.2982766950450973</v>
      </c>
      <c r="E80" s="20">
        <f t="shared" ref="E80:AB80" si="15">(E79-E78)/E78</f>
        <v>0.18883190620112919</v>
      </c>
      <c r="F80" s="20">
        <f t="shared" si="15"/>
        <v>-0.10193975615960289</v>
      </c>
      <c r="G80" s="20">
        <f t="shared" si="15"/>
        <v>2.7449665113088693</v>
      </c>
      <c r="H80" s="20">
        <f t="shared" si="15"/>
        <v>1.3676750425250315</v>
      </c>
      <c r="I80" s="20">
        <f t="shared" si="15"/>
        <v>1.7259551269858904</v>
      </c>
      <c r="J80" s="20">
        <f t="shared" si="15"/>
        <v>1.3348225234477955</v>
      </c>
      <c r="K80" s="20">
        <f t="shared" si="15"/>
        <v>1.1373742153765505</v>
      </c>
      <c r="L80" s="20">
        <f t="shared" si="15"/>
        <v>0.75285951252694994</v>
      </c>
      <c r="M80" s="20">
        <f t="shared" si="15"/>
        <v>0.64924051235468061</v>
      </c>
      <c r="N80" s="20">
        <f t="shared" si="15"/>
        <v>0.53702508928441328</v>
      </c>
      <c r="O80" s="20">
        <f t="shared" si="15"/>
        <v>0.56098455445094642</v>
      </c>
      <c r="P80" s="20">
        <f t="shared" si="15"/>
        <v>0.45563145064004396</v>
      </c>
      <c r="Q80" s="20">
        <f t="shared" si="15"/>
        <v>0.36040613973307167</v>
      </c>
      <c r="R80" s="20">
        <f t="shared" si="15"/>
        <v>9.7103154588015425E-2</v>
      </c>
      <c r="S80" s="20">
        <f t="shared" si="15"/>
        <v>0.16182995466847166</v>
      </c>
      <c r="T80" s="55">
        <f t="shared" si="15"/>
        <v>9.2377307257793889E-2</v>
      </c>
      <c r="U80" s="20">
        <f t="shared" si="15"/>
        <v>2.005249718203516E-2</v>
      </c>
      <c r="V80" s="20">
        <f t="shared" si="15"/>
        <v>-0.16623974041732775</v>
      </c>
      <c r="W80" s="20">
        <f t="shared" si="15"/>
        <v>-0.11063332544969251</v>
      </c>
      <c r="X80" s="20">
        <f t="shared" si="15"/>
        <v>-0.11553067350823164</v>
      </c>
      <c r="Y80" s="20">
        <f t="shared" si="15"/>
        <v>-0.15319322448194531</v>
      </c>
      <c r="Z80" s="20">
        <f t="shared" si="15"/>
        <v>-0.30881790905240863</v>
      </c>
      <c r="AA80" s="20">
        <f t="shared" si="15"/>
        <v>-0.1937454375437303</v>
      </c>
      <c r="AB80" s="20">
        <f t="shared" si="15"/>
        <v>-0.14930950409826685</v>
      </c>
      <c r="AI80" s="20" cm="1">
        <f t="array" ref="AI80">MEDIAN(_xlfn._xlws.FILTER(D80:AG80, D80:AG80 &lt;= _xlfn.QUARTILE.INC(D80:AG80, 1)))</f>
        <v>-0.15319322448194531</v>
      </c>
      <c r="AJ80" s="20" cm="1">
        <f t="array" ref="AJ80">MEDIAN(_xlfn._xlws.FILTER(D80:AG80, (D80:AG80 &gt; _xlfn.QUARTILE.INC(D80:AG80, 1)) * (D80:AG80 &lt;= _xlfn.QUARTILE.INC(D80:AG80, 2))))</f>
        <v>9.474023092290465E-2</v>
      </c>
      <c r="AK80" s="20" cm="1">
        <f t="array" ref="AK80">MEDIAN(_xlfn._xlws.FILTER(D80:AG80, (D80:AG80 &gt; _xlfn.QUARTILE.INC(D80:AG80, 2)) * (D80:AG80 &lt;= _xlfn.QUARTILE.INC(D80:AG80, 3))))</f>
        <v>0.49632826996222862</v>
      </c>
      <c r="AL80" s="20" cm="1">
        <f t="array" ref="AL80">MEDIAN(_xlfn._xlws.FILTER(D80:AG80, D80:AG80 &gt; _xlfn.QUARTILE.INC(D80:AG80, 3)))</f>
        <v>1.3512487829864135</v>
      </c>
    </row>
    <row r="81" spans="2:33">
      <c r="B81" s="54"/>
      <c r="C81" s="23" t="s">
        <v>513</v>
      </c>
      <c r="H81" s="20">
        <v>8.9999999999999983E-2</v>
      </c>
      <c r="I81" s="20">
        <v>0.11733333333333332</v>
      </c>
      <c r="J81" s="20">
        <v>0.14466666666666667</v>
      </c>
      <c r="K81" s="20">
        <v>0.17199999999999999</v>
      </c>
      <c r="L81" s="20">
        <v>0.19933333333333331</v>
      </c>
      <c r="M81" s="20">
        <v>0.22666666666666666</v>
      </c>
      <c r="N81" s="20">
        <v>0.254</v>
      </c>
      <c r="O81" s="20">
        <v>0.28133333333333332</v>
      </c>
      <c r="P81" s="20">
        <v>0.30866666666666664</v>
      </c>
      <c r="Q81" s="20">
        <v>0.33599999999999997</v>
      </c>
      <c r="R81" s="20">
        <v>0.36333333333333334</v>
      </c>
      <c r="S81" s="20">
        <v>0.39066666666666666</v>
      </c>
      <c r="T81" s="20">
        <v>0.41799999999999998</v>
      </c>
      <c r="U81" s="20">
        <v>0.44533333333333336</v>
      </c>
      <c r="V81" s="20">
        <v>0.47266666666666668</v>
      </c>
      <c r="W81" s="20">
        <v>0.5</v>
      </c>
    </row>
    <row r="82" spans="2:33">
      <c r="B82" s="54"/>
      <c r="C82" t="s">
        <v>514</v>
      </c>
    </row>
    <row r="83" spans="2:33">
      <c r="B83" s="54"/>
      <c r="C83" s="34" t="s">
        <v>515</v>
      </c>
      <c r="H83">
        <f>H81*H82</f>
        <v>0</v>
      </c>
      <c r="I83">
        <f>H83</f>
        <v>0</v>
      </c>
      <c r="J83">
        <f t="shared" ref="J83:K83" si="16">I83</f>
        <v>0</v>
      </c>
      <c r="K83">
        <f t="shared" si="16"/>
        <v>0</v>
      </c>
      <c r="L83">
        <f>L81*L82</f>
        <v>0</v>
      </c>
      <c r="M83">
        <f>L83</f>
        <v>0</v>
      </c>
      <c r="N83">
        <f t="shared" ref="N83:O83" si="17">M83</f>
        <v>0</v>
      </c>
      <c r="O83">
        <f t="shared" si="17"/>
        <v>0</v>
      </c>
      <c r="P83">
        <f>P81*P82</f>
        <v>0</v>
      </c>
      <c r="Q83">
        <f>P83</f>
        <v>0</v>
      </c>
      <c r="R83">
        <f t="shared" ref="R83:S83" si="18">Q83</f>
        <v>0</v>
      </c>
      <c r="S83">
        <f t="shared" si="18"/>
        <v>0</v>
      </c>
      <c r="T83">
        <f>T81*T82</f>
        <v>0</v>
      </c>
      <c r="U83">
        <f>T83</f>
        <v>0</v>
      </c>
      <c r="V83">
        <f t="shared" ref="V83:W83" si="19">U83</f>
        <v>0</v>
      </c>
      <c r="W83">
        <f t="shared" si="19"/>
        <v>0</v>
      </c>
    </row>
    <row r="84" spans="2:33">
      <c r="B84" s="54" t="s">
        <v>507</v>
      </c>
      <c r="C84" t="s">
        <v>510</v>
      </c>
      <c r="D84">
        <v>41376000</v>
      </c>
      <c r="E84">
        <v>40076000</v>
      </c>
      <c r="F84">
        <v>39996000</v>
      </c>
      <c r="G84">
        <v>40076000</v>
      </c>
      <c r="H84">
        <v>39096000</v>
      </c>
      <c r="I84">
        <v>40076000</v>
      </c>
      <c r="J84">
        <v>39996000</v>
      </c>
      <c r="K84">
        <v>40076000</v>
      </c>
      <c r="L84">
        <v>39996000</v>
      </c>
      <c r="M84">
        <v>39176000</v>
      </c>
      <c r="N84">
        <v>39996000</v>
      </c>
      <c r="O84">
        <v>40076000</v>
      </c>
      <c r="P84">
        <v>39996000</v>
      </c>
      <c r="Q84">
        <v>40076000</v>
      </c>
      <c r="R84">
        <v>39096000</v>
      </c>
      <c r="S84">
        <v>40076000</v>
      </c>
      <c r="T84">
        <v>39996000</v>
      </c>
      <c r="U84">
        <v>40076000</v>
      </c>
      <c r="V84">
        <v>39996000</v>
      </c>
      <c r="W84">
        <v>39176000</v>
      </c>
      <c r="X84">
        <v>39996000</v>
      </c>
      <c r="Y84">
        <v>40076000</v>
      </c>
      <c r="Z84">
        <v>39996000</v>
      </c>
      <c r="AA84">
        <v>40076000</v>
      </c>
      <c r="AB84">
        <v>39096000</v>
      </c>
      <c r="AC84">
        <v>40076000</v>
      </c>
      <c r="AD84">
        <v>39996000</v>
      </c>
      <c r="AE84">
        <v>40076000</v>
      </c>
      <c r="AF84">
        <v>39996000</v>
      </c>
      <c r="AG84">
        <v>39176000</v>
      </c>
    </row>
    <row r="85" spans="2:33">
      <c r="B85" s="54"/>
      <c r="C85" s="33" t="s">
        <v>511</v>
      </c>
    </row>
    <row r="86" spans="2:33">
      <c r="B86" s="54"/>
      <c r="C86" s="4" t="s">
        <v>512</v>
      </c>
      <c r="D86" s="20">
        <f>(D85-D84)/D84</f>
        <v>-1</v>
      </c>
    </row>
    <row r="87" spans="2:33">
      <c r="B87" s="54"/>
      <c r="C87" s="23" t="s">
        <v>513</v>
      </c>
    </row>
    <row r="88" spans="2:33">
      <c r="B88" s="54"/>
      <c r="C88" t="s">
        <v>514</v>
      </c>
    </row>
    <row r="89" spans="2:33">
      <c r="B89" s="54"/>
      <c r="C89" s="34" t="s">
        <v>515</v>
      </c>
      <c r="H89">
        <f>H87*H88</f>
        <v>0</v>
      </c>
      <c r="I89">
        <f>H89</f>
        <v>0</v>
      </c>
      <c r="J89">
        <f t="shared" ref="J89:K89" si="20">I89</f>
        <v>0</v>
      </c>
      <c r="K89">
        <f t="shared" si="20"/>
        <v>0</v>
      </c>
      <c r="L89">
        <f>L87*L88</f>
        <v>0</v>
      </c>
      <c r="M89">
        <f>L89</f>
        <v>0</v>
      </c>
      <c r="N89">
        <f t="shared" ref="N89:O89" si="21">M89</f>
        <v>0</v>
      </c>
      <c r="O89">
        <f t="shared" si="21"/>
        <v>0</v>
      </c>
      <c r="P89">
        <f>P87*P88</f>
        <v>0</v>
      </c>
      <c r="Q89">
        <f>P89</f>
        <v>0</v>
      </c>
      <c r="R89">
        <f t="shared" ref="R89:S89" si="22">Q89</f>
        <v>0</v>
      </c>
      <c r="S89">
        <f t="shared" si="22"/>
        <v>0</v>
      </c>
      <c r="T89">
        <f>T87*T88</f>
        <v>0</v>
      </c>
      <c r="U89">
        <f>T89</f>
        <v>0</v>
      </c>
      <c r="V89">
        <f t="shared" ref="V89:W89" si="23">U89</f>
        <v>0</v>
      </c>
      <c r="W89">
        <f t="shared" si="23"/>
        <v>0</v>
      </c>
    </row>
    <row r="90" spans="2:33">
      <c r="B90" s="54" t="s">
        <v>508</v>
      </c>
      <c r="C90" t="s">
        <v>510</v>
      </c>
      <c r="D90">
        <v>23885400</v>
      </c>
      <c r="E90">
        <v>25105400</v>
      </c>
      <c r="F90">
        <v>24785400</v>
      </c>
      <c r="G90">
        <v>25105400</v>
      </c>
      <c r="H90">
        <v>24785400</v>
      </c>
      <c r="I90">
        <v>24205400</v>
      </c>
      <c r="J90">
        <v>24785400</v>
      </c>
      <c r="K90">
        <v>25105400</v>
      </c>
      <c r="L90">
        <v>24785400</v>
      </c>
      <c r="M90">
        <v>25105400</v>
      </c>
      <c r="N90">
        <v>23885400</v>
      </c>
      <c r="O90">
        <v>25105400</v>
      </c>
      <c r="P90">
        <v>24785400</v>
      </c>
      <c r="Q90">
        <v>25105400</v>
      </c>
      <c r="R90">
        <v>24785400</v>
      </c>
      <c r="S90">
        <v>24205400</v>
      </c>
      <c r="T90">
        <v>24785400</v>
      </c>
      <c r="U90">
        <v>25105400</v>
      </c>
      <c r="V90">
        <v>24785400</v>
      </c>
      <c r="W90">
        <v>25105400</v>
      </c>
      <c r="X90">
        <v>23885400</v>
      </c>
      <c r="Y90">
        <v>25105400</v>
      </c>
      <c r="Z90">
        <v>24785400</v>
      </c>
      <c r="AA90">
        <v>25105400</v>
      </c>
      <c r="AB90">
        <v>24785400</v>
      </c>
      <c r="AC90">
        <v>24655400</v>
      </c>
      <c r="AD90">
        <v>24785400</v>
      </c>
      <c r="AE90">
        <v>25105400</v>
      </c>
      <c r="AF90">
        <v>24785400</v>
      </c>
      <c r="AG90">
        <v>25105400</v>
      </c>
    </row>
    <row r="91" spans="2:33">
      <c r="B91" s="54"/>
      <c r="C91" s="33" t="s">
        <v>511</v>
      </c>
    </row>
    <row r="92" spans="2:33">
      <c r="B92" s="54"/>
      <c r="C92" s="4" t="s">
        <v>512</v>
      </c>
      <c r="D92" s="20">
        <f>(D91-D90)/D90</f>
        <v>-1</v>
      </c>
    </row>
    <row r="93" spans="2:33">
      <c r="B93" s="54"/>
      <c r="C93" s="23" t="s">
        <v>513</v>
      </c>
    </row>
    <row r="94" spans="2:33">
      <c r="B94" s="54"/>
      <c r="C94" t="s">
        <v>514</v>
      </c>
    </row>
    <row r="95" spans="2:33">
      <c r="B95" s="54"/>
      <c r="C95" s="34" t="s">
        <v>515</v>
      </c>
      <c r="H95">
        <f>H93*H94</f>
        <v>0</v>
      </c>
      <c r="I95">
        <f>H95</f>
        <v>0</v>
      </c>
      <c r="J95">
        <f t="shared" ref="J95:K95" si="24">I95</f>
        <v>0</v>
      </c>
      <c r="K95">
        <f t="shared" si="24"/>
        <v>0</v>
      </c>
      <c r="L95">
        <f>L93*L94</f>
        <v>0</v>
      </c>
      <c r="M95">
        <f>L95</f>
        <v>0</v>
      </c>
      <c r="N95">
        <f t="shared" ref="N95:O95" si="25">M95</f>
        <v>0</v>
      </c>
      <c r="O95">
        <f t="shared" si="25"/>
        <v>0</v>
      </c>
      <c r="P95">
        <f>P93*P94</f>
        <v>0</v>
      </c>
      <c r="Q95">
        <f>P95</f>
        <v>0</v>
      </c>
      <c r="R95">
        <f t="shared" ref="R95:S95" si="26">Q95</f>
        <v>0</v>
      </c>
      <c r="S95">
        <f t="shared" si="26"/>
        <v>0</v>
      </c>
      <c r="T95">
        <f>T93*T94</f>
        <v>0</v>
      </c>
      <c r="U95">
        <f>T95</f>
        <v>0</v>
      </c>
      <c r="V95">
        <f t="shared" ref="V95:W95" si="27">U95</f>
        <v>0</v>
      </c>
      <c r="W95">
        <f t="shared" si="27"/>
        <v>0</v>
      </c>
    </row>
    <row r="96" spans="2:33">
      <c r="B96" s="54" t="s">
        <v>509</v>
      </c>
      <c r="C96" t="s">
        <v>510</v>
      </c>
      <c r="D96">
        <v>-1334570569.4418342</v>
      </c>
      <c r="E96">
        <v>231739501.24255463</v>
      </c>
      <c r="F96">
        <v>215768028.97753993</v>
      </c>
      <c r="G96">
        <v>200256467.82786641</v>
      </c>
      <c r="H96">
        <v>190520005.40805554</v>
      </c>
      <c r="I96">
        <v>74178449.494095981</v>
      </c>
      <c r="J96">
        <v>164603730.29486305</v>
      </c>
      <c r="K96">
        <v>159536676.46132559</v>
      </c>
      <c r="L96">
        <v>148541418.46822351</v>
      </c>
      <c r="M96">
        <v>137862777.58362362</v>
      </c>
    </row>
    <row r="97" spans="2:38">
      <c r="B97" s="54"/>
      <c r="C97" s="33" t="s">
        <v>511</v>
      </c>
      <c r="D97">
        <v>-1439002302.1988347</v>
      </c>
      <c r="E97">
        <v>289896226.61868078</v>
      </c>
      <c r="F97">
        <v>252992266.27821714</v>
      </c>
      <c r="G97">
        <v>232116425.92481396</v>
      </c>
      <c r="H97">
        <v>223388461.06129783</v>
      </c>
      <c r="I97">
        <v>36220941.040092736</v>
      </c>
      <c r="J97">
        <v>177453592.14451754</v>
      </c>
      <c r="K97">
        <v>199573574.05812359</v>
      </c>
      <c r="L97">
        <v>174167740.57091054</v>
      </c>
      <c r="M97">
        <v>159796163.12959522</v>
      </c>
    </row>
    <row r="98" spans="2:38">
      <c r="B98" s="54"/>
      <c r="C98" s="4" t="s">
        <v>512</v>
      </c>
      <c r="D98" s="55">
        <f>(D97-D96)/D96</f>
        <v>7.8251188171096553E-2</v>
      </c>
      <c r="E98" s="55">
        <f t="shared" ref="E98:M98" si="28">(E97-E96)/E96</f>
        <v>0.25095732520480085</v>
      </c>
      <c r="F98" s="20">
        <f t="shared" si="28"/>
        <v>0.17251970774850994</v>
      </c>
      <c r="G98" s="20">
        <f t="shared" si="28"/>
        <v>0.15909577574459807</v>
      </c>
      <c r="H98" s="20">
        <f t="shared" si="28"/>
        <v>0.17251970774851003</v>
      </c>
      <c r="I98" s="20">
        <f t="shared" si="28"/>
        <v>-0.51170533642691418</v>
      </c>
      <c r="J98" s="20">
        <f t="shared" si="28"/>
        <v>7.8065435252505422E-2</v>
      </c>
      <c r="K98" s="20">
        <f t="shared" si="28"/>
        <v>0.25095732520480096</v>
      </c>
      <c r="L98" s="20">
        <f t="shared" si="28"/>
        <v>0.17251970774850989</v>
      </c>
      <c r="M98" s="20">
        <f t="shared" si="28"/>
        <v>0.15909577574459818</v>
      </c>
      <c r="AI98" s="20" cm="1">
        <f t="array" ref="AI98">MEDIAN(_xlfn._xlws.FILTER(D98:AG98, D98:AG98 &lt;= _xlfn.QUARTILE.INC(D98:AG98, 1)))</f>
        <v>7.8065435252505422E-2</v>
      </c>
      <c r="AJ98" s="20" cm="1">
        <f t="array" ref="AJ98">MEDIAN(_xlfn._xlws.FILTER(D98:AG98, (D98:AG98 &gt; _xlfn.QUARTILE.INC(D98:AG98, 1)) * (D98:AG98 &lt;= _xlfn.QUARTILE.INC(D98:AG98, 2))))</f>
        <v>0.15909577574459813</v>
      </c>
      <c r="AK98" s="20" cm="1">
        <f t="array" ref="AK98">MEDIAN(_xlfn._xlws.FILTER(D98:AG98, (D98:AG98 &gt; _xlfn.QUARTILE.INC(D98:AG98, 2)) * (D98:AG98 &lt;= _xlfn.QUARTILE.INC(D98:AG98, 3))))</f>
        <v>0.17251970774850994</v>
      </c>
      <c r="AL98" s="20" cm="1">
        <f t="array" ref="AL98">MEDIAN(_xlfn._xlws.FILTER(D98:AG98, D98:AG98 &gt; _xlfn.QUARTILE.INC(D98:AG98, 3)))</f>
        <v>0.25095732520480091</v>
      </c>
    </row>
    <row r="99" spans="2:38">
      <c r="B99" s="54"/>
      <c r="C99" s="23" t="s">
        <v>513</v>
      </c>
      <c r="H99" s="40">
        <v>8.0000000000000016E-2</v>
      </c>
      <c r="I99" s="40">
        <v>0.11400000000000002</v>
      </c>
      <c r="J99" s="40">
        <v>0.14800000000000002</v>
      </c>
      <c r="K99" s="40">
        <v>0.182</v>
      </c>
      <c r="L99" s="40">
        <v>0.21600000000000003</v>
      </c>
      <c r="M99" s="40">
        <v>0.25</v>
      </c>
    </row>
    <row r="100" spans="2:38">
      <c r="B100" s="54"/>
      <c r="C100" t="s">
        <v>514</v>
      </c>
    </row>
    <row r="101" spans="2:38">
      <c r="B101" s="54"/>
      <c r="C101" s="34" t="s">
        <v>515</v>
      </c>
      <c r="H101">
        <f>H99*H100</f>
        <v>0</v>
      </c>
      <c r="I101">
        <f>H101</f>
        <v>0</v>
      </c>
      <c r="J101">
        <f t="shared" ref="J101:K101" si="29">I101</f>
        <v>0</v>
      </c>
      <c r="K101">
        <f t="shared" si="29"/>
        <v>0</v>
      </c>
      <c r="L101">
        <f>L99*L100</f>
        <v>0</v>
      </c>
      <c r="M101">
        <f>L101</f>
        <v>0</v>
      </c>
      <c r="N101">
        <f t="shared" ref="N101:O101" si="30">M101</f>
        <v>0</v>
      </c>
      <c r="O101">
        <f t="shared" si="30"/>
        <v>0</v>
      </c>
      <c r="P101">
        <f>P99*P100</f>
        <v>0</v>
      </c>
      <c r="Q101">
        <f>P101</f>
        <v>0</v>
      </c>
      <c r="R101">
        <f t="shared" ref="R101:S101" si="31">Q101</f>
        <v>0</v>
      </c>
      <c r="S101">
        <f t="shared" si="31"/>
        <v>0</v>
      </c>
      <c r="T101">
        <f>T99*T100</f>
        <v>0</v>
      </c>
      <c r="U101">
        <f>T101</f>
        <v>0</v>
      </c>
      <c r="V101">
        <f t="shared" ref="V101:W101" si="32">U101</f>
        <v>0</v>
      </c>
      <c r="W101">
        <f t="shared" si="32"/>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0A17-6870-4B82-9195-5F86BAC001F4}">
  <dimension ref="A1:B22"/>
  <sheetViews>
    <sheetView workbookViewId="0"/>
  </sheetViews>
  <sheetFormatPr defaultRowHeight="14.5"/>
  <sheetData>
    <row r="1" spans="1:2">
      <c r="A1" t="str">
        <f>Populasi!A10</f>
        <v>Year</v>
      </c>
      <c r="B1" t="str">
        <f>Populasi!B10</f>
        <v>Populasi</v>
      </c>
    </row>
    <row r="2" spans="1:2">
      <c r="A2">
        <f>Populasi!A11</f>
        <v>2025</v>
      </c>
      <c r="B2">
        <f>Populasi!B11</f>
        <v>8928520</v>
      </c>
    </row>
    <row r="3" spans="1:2">
      <c r="A3">
        <f>Populasi!A12</f>
        <v>2026</v>
      </c>
      <c r="B3">
        <f>Populasi!B12</f>
        <v>9017140</v>
      </c>
    </row>
    <row r="4" spans="1:2">
      <c r="A4">
        <f>Populasi!A13</f>
        <v>2027</v>
      </c>
      <c r="B4">
        <f>Populasi!B13</f>
        <v>9103180</v>
      </c>
    </row>
    <row r="5" spans="1:2">
      <c r="A5">
        <f>Populasi!A14</f>
        <v>2028</v>
      </c>
      <c r="B5">
        <f>Populasi!B14</f>
        <v>9186600</v>
      </c>
    </row>
    <row r="6" spans="1:2">
      <c r="A6">
        <f>Populasi!A15</f>
        <v>2029</v>
      </c>
      <c r="B6">
        <f>Populasi!B15</f>
        <v>9267400</v>
      </c>
    </row>
    <row r="7" spans="1:2">
      <c r="A7">
        <f>Populasi!A16</f>
        <v>2030</v>
      </c>
      <c r="B7">
        <f>Populasi!B16</f>
        <v>9345650</v>
      </c>
    </row>
    <row r="8" spans="1:2">
      <c r="A8">
        <f>Populasi!A17</f>
        <v>2031</v>
      </c>
      <c r="B8">
        <f>Populasi!B17</f>
        <v>9421670</v>
      </c>
    </row>
    <row r="9" spans="1:2">
      <c r="A9">
        <f>Populasi!A18</f>
        <v>2032</v>
      </c>
      <c r="B9">
        <f>Populasi!B18</f>
        <v>9495790</v>
      </c>
    </row>
    <row r="10" spans="1:2">
      <c r="A10">
        <f>Populasi!A19</f>
        <v>2033</v>
      </c>
      <c r="B10">
        <f>Populasi!B19</f>
        <v>9568080</v>
      </c>
    </row>
    <row r="11" spans="1:2">
      <c r="A11">
        <f>Populasi!A20</f>
        <v>2034</v>
      </c>
      <c r="B11">
        <f>Populasi!B20</f>
        <v>9638580</v>
      </c>
    </row>
    <row r="12" spans="1:2">
      <c r="A12">
        <f>Populasi!A21</f>
        <v>2035</v>
      </c>
      <c r="B12">
        <f>Populasi!B21</f>
        <v>9707360</v>
      </c>
    </row>
    <row r="13" spans="1:2">
      <c r="A13">
        <f>Populasi!A22</f>
        <v>2036</v>
      </c>
      <c r="B13">
        <f>Populasi!B22</f>
        <v>9774490</v>
      </c>
    </row>
    <row r="14" spans="1:2">
      <c r="A14">
        <f>Populasi!A23</f>
        <v>2037</v>
      </c>
      <c r="B14">
        <f>Populasi!B23</f>
        <v>9839900</v>
      </c>
    </row>
    <row r="15" spans="1:2">
      <c r="A15">
        <f>Populasi!A24</f>
        <v>2038</v>
      </c>
      <c r="B15">
        <f>Populasi!B24</f>
        <v>9903640</v>
      </c>
    </row>
    <row r="16" spans="1:2">
      <c r="A16">
        <f>Populasi!A25</f>
        <v>2039</v>
      </c>
      <c r="B16">
        <f>Populasi!B25</f>
        <v>9965680</v>
      </c>
    </row>
    <row r="17" spans="1:2">
      <c r="A17">
        <f>Populasi!A26</f>
        <v>2040</v>
      </c>
      <c r="B17">
        <f>Populasi!B26</f>
        <v>10025960</v>
      </c>
    </row>
    <row r="18" spans="1:2">
      <c r="A18">
        <f>Populasi!A27</f>
        <v>2041</v>
      </c>
      <c r="B18">
        <f>Populasi!B27</f>
        <v>10084270</v>
      </c>
    </row>
    <row r="19" spans="1:2">
      <c r="A19">
        <f>Populasi!A28</f>
        <v>2042</v>
      </c>
      <c r="B19">
        <f>Populasi!B28</f>
        <v>10140350</v>
      </c>
    </row>
    <row r="20" spans="1:2">
      <c r="A20">
        <f>Populasi!A29</f>
        <v>2043</v>
      </c>
      <c r="B20">
        <f>Populasi!B29</f>
        <v>10194060</v>
      </c>
    </row>
    <row r="21" spans="1:2">
      <c r="A21">
        <f>Populasi!A30</f>
        <v>2044</v>
      </c>
      <c r="B21">
        <f>Populasi!B30</f>
        <v>10245340</v>
      </c>
    </row>
    <row r="22" spans="1:2">
      <c r="A22">
        <f>Populasi!A31</f>
        <v>2045</v>
      </c>
      <c r="B22">
        <f>Populasi!B31</f>
        <v>10294090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4A65C-8B06-43F1-B0C3-15F34DAFEF8C}">
  <dimension ref="A1:X61"/>
  <sheetViews>
    <sheetView workbookViewId="0">
      <selection activeCell="F12" sqref="F12"/>
    </sheetView>
  </sheetViews>
  <sheetFormatPr defaultRowHeight="14.5"/>
  <sheetData>
    <row r="1" spans="1:24">
      <c r="A1" t="s">
        <v>502</v>
      </c>
      <c r="B1" t="s">
        <v>449</v>
      </c>
      <c r="C1" t="s">
        <v>450</v>
      </c>
      <c r="D1">
        <v>1</v>
      </c>
      <c r="E1">
        <v>2</v>
      </c>
      <c r="F1">
        <v>3</v>
      </c>
      <c r="G1">
        <v>4</v>
      </c>
      <c r="H1">
        <v>5</v>
      </c>
      <c r="I1">
        <v>6</v>
      </c>
      <c r="J1">
        <v>7</v>
      </c>
      <c r="K1">
        <v>8</v>
      </c>
      <c r="L1">
        <v>9</v>
      </c>
      <c r="M1">
        <v>10</v>
      </c>
      <c r="N1">
        <v>11</v>
      </c>
      <c r="O1">
        <v>12</v>
      </c>
      <c r="P1">
        <v>13</v>
      </c>
      <c r="Q1">
        <v>14</v>
      </c>
      <c r="R1">
        <v>15</v>
      </c>
      <c r="S1">
        <v>16</v>
      </c>
      <c r="T1">
        <v>17</v>
      </c>
      <c r="U1">
        <v>18</v>
      </c>
      <c r="V1">
        <v>19</v>
      </c>
      <c r="W1">
        <v>20</v>
      </c>
      <c r="X1">
        <v>21</v>
      </c>
    </row>
    <row r="2" spans="1:24">
      <c r="A2">
        <v>305</v>
      </c>
      <c r="B2">
        <v>9</v>
      </c>
      <c r="C2">
        <v>15</v>
      </c>
      <c r="D2">
        <v>0</v>
      </c>
      <c r="E2">
        <v>0</v>
      </c>
      <c r="F2" s="37">
        <v>9.9999999999999978E-2</v>
      </c>
      <c r="G2" s="37">
        <v>0.14444444444444443</v>
      </c>
      <c r="H2" s="37">
        <v>0.18888888888888886</v>
      </c>
      <c r="I2" s="37">
        <v>0.23333333333333331</v>
      </c>
      <c r="J2" s="37">
        <v>0.27777777777777779</v>
      </c>
      <c r="K2" s="37">
        <v>0.32222222222222219</v>
      </c>
      <c r="L2" s="37">
        <v>0.36666666666666664</v>
      </c>
      <c r="M2" s="37">
        <v>0.41111111111111109</v>
      </c>
      <c r="N2" s="37">
        <v>0.45555555555555555</v>
      </c>
      <c r="O2" s="37">
        <v>0.5</v>
      </c>
      <c r="P2" s="37">
        <v>0.54444444444444451</v>
      </c>
      <c r="Q2" s="37">
        <v>0.5888888888888888</v>
      </c>
      <c r="R2" s="37">
        <v>0.6333333333333333</v>
      </c>
      <c r="S2" s="37">
        <v>0.67777777777777781</v>
      </c>
      <c r="T2" s="37">
        <v>0.72222222222222232</v>
      </c>
      <c r="U2" s="37">
        <v>0.76666666666666661</v>
      </c>
      <c r="V2" s="37">
        <v>0.81111111111111112</v>
      </c>
      <c r="W2" s="37">
        <v>0.85555555555555562</v>
      </c>
      <c r="X2" s="37">
        <v>0.89999999999999991</v>
      </c>
    </row>
    <row r="3" spans="1:24">
      <c r="A3">
        <v>305</v>
      </c>
      <c r="B3">
        <v>8</v>
      </c>
      <c r="C3">
        <v>20</v>
      </c>
      <c r="D3">
        <v>0</v>
      </c>
      <c r="E3">
        <v>0</v>
      </c>
      <c r="F3" s="37">
        <v>9.9999999999999978E-2</v>
      </c>
      <c r="G3" s="37">
        <v>0.14444444444444443</v>
      </c>
      <c r="H3" s="37">
        <v>0.18888888888888886</v>
      </c>
      <c r="I3" s="37">
        <v>0.23333333333333331</v>
      </c>
      <c r="J3" s="37">
        <v>0.27777777777777779</v>
      </c>
      <c r="K3" s="37">
        <v>0.32222222222222219</v>
      </c>
      <c r="L3" s="37">
        <v>0.36666666666666664</v>
      </c>
      <c r="M3" s="37">
        <v>0.41111111111111109</v>
      </c>
      <c r="N3" s="37">
        <v>0.45555555555555555</v>
      </c>
      <c r="O3" s="37">
        <v>0.5</v>
      </c>
      <c r="P3" s="37">
        <v>0.54444444444444451</v>
      </c>
      <c r="Q3" s="37">
        <v>0.5888888888888888</v>
      </c>
      <c r="R3" s="37">
        <v>0.6333333333333333</v>
      </c>
      <c r="S3" s="37">
        <v>0.67777777777777781</v>
      </c>
      <c r="T3" s="37">
        <v>0.72222222222222232</v>
      </c>
      <c r="U3" s="37">
        <v>0.76666666666666661</v>
      </c>
      <c r="V3" s="37">
        <v>0.81111111111111112</v>
      </c>
      <c r="W3" s="37">
        <v>0.85555555555555562</v>
      </c>
      <c r="X3" s="37">
        <v>0.89999999999999991</v>
      </c>
    </row>
    <row r="4" spans="1:24">
      <c r="A4">
        <v>305</v>
      </c>
      <c r="B4">
        <v>8</v>
      </c>
      <c r="C4">
        <v>19</v>
      </c>
      <c r="D4">
        <v>0</v>
      </c>
      <c r="E4">
        <v>0</v>
      </c>
      <c r="F4" s="37">
        <v>9.9999999999999978E-2</v>
      </c>
      <c r="G4" s="37">
        <v>0.14444444444444443</v>
      </c>
      <c r="H4" s="37">
        <v>0.18888888888888886</v>
      </c>
      <c r="I4" s="37">
        <v>0.23333333333333331</v>
      </c>
      <c r="J4" s="37">
        <v>0.27777777777777779</v>
      </c>
      <c r="K4" s="37">
        <v>0.32222222222222219</v>
      </c>
      <c r="L4" s="37">
        <v>0.36666666666666664</v>
      </c>
      <c r="M4" s="37">
        <v>0.41111111111111109</v>
      </c>
      <c r="N4" s="37">
        <v>0.45555555555555555</v>
      </c>
      <c r="O4" s="37">
        <v>0.5</v>
      </c>
      <c r="P4" s="37">
        <v>0.54444444444444451</v>
      </c>
      <c r="Q4" s="37">
        <v>0.5888888888888888</v>
      </c>
      <c r="R4" s="37">
        <v>0.6333333333333333</v>
      </c>
      <c r="S4" s="37">
        <v>0.67777777777777781</v>
      </c>
      <c r="T4" s="37">
        <v>0.72222222222222232</v>
      </c>
      <c r="U4" s="37">
        <v>0.76666666666666661</v>
      </c>
      <c r="V4" s="37">
        <v>0.81111111111111112</v>
      </c>
      <c r="W4" s="37">
        <v>0.85555555555555562</v>
      </c>
      <c r="X4" s="37">
        <v>0.89999999999999991</v>
      </c>
    </row>
    <row r="5" spans="1:24">
      <c r="A5">
        <v>305</v>
      </c>
      <c r="B5">
        <v>5</v>
      </c>
      <c r="C5">
        <v>15</v>
      </c>
      <c r="D5">
        <v>0</v>
      </c>
      <c r="E5">
        <v>0</v>
      </c>
      <c r="F5" s="37">
        <v>9.9999999999999978E-2</v>
      </c>
      <c r="G5" s="37">
        <v>0.14444444444444443</v>
      </c>
      <c r="H5" s="37">
        <v>0.18888888888888886</v>
      </c>
      <c r="I5" s="37">
        <v>0.23333333333333331</v>
      </c>
      <c r="J5" s="37">
        <v>0.27777777777777779</v>
      </c>
      <c r="K5" s="37">
        <v>0.32222222222222219</v>
      </c>
      <c r="L5" s="37">
        <v>0.36666666666666664</v>
      </c>
      <c r="M5" s="37">
        <v>0.41111111111111109</v>
      </c>
      <c r="N5" s="37">
        <v>0.45555555555555555</v>
      </c>
      <c r="O5" s="37">
        <v>0.5</v>
      </c>
      <c r="P5" s="37">
        <v>0.54444444444444451</v>
      </c>
      <c r="Q5" s="37">
        <v>0.5888888888888888</v>
      </c>
      <c r="R5" s="37">
        <v>0.6333333333333333</v>
      </c>
      <c r="S5" s="37">
        <v>0.67777777777777781</v>
      </c>
      <c r="T5" s="37">
        <v>0.72222222222222232</v>
      </c>
      <c r="U5" s="37">
        <v>0.76666666666666661</v>
      </c>
      <c r="V5" s="37">
        <v>0.81111111111111112</v>
      </c>
      <c r="W5" s="37">
        <v>0.85555555555555562</v>
      </c>
      <c r="X5" s="37">
        <v>0.89999999999999991</v>
      </c>
    </row>
    <row r="6" spans="1:24">
      <c r="A6">
        <v>302</v>
      </c>
      <c r="B6">
        <v>51</v>
      </c>
      <c r="C6">
        <v>33</v>
      </c>
      <c r="D6">
        <v>0</v>
      </c>
      <c r="E6">
        <v>0</v>
      </c>
      <c r="F6" s="37">
        <v>1.0000000000000023E-2</v>
      </c>
      <c r="G6" s="37">
        <v>1.500000000000002E-2</v>
      </c>
      <c r="H6" s="37">
        <v>2.0000000000000018E-2</v>
      </c>
      <c r="I6" s="37">
        <v>2.5000000000000015E-2</v>
      </c>
      <c r="J6" s="37">
        <v>3.0000000000000013E-2</v>
      </c>
      <c r="K6" s="37">
        <v>3.500000000000001E-2</v>
      </c>
      <c r="L6" s="37">
        <v>4.0000000000000008E-2</v>
      </c>
      <c r="M6" s="37">
        <v>4.5000000000000005E-2</v>
      </c>
      <c r="N6" s="37">
        <v>0.05</v>
      </c>
      <c r="O6" s="37">
        <v>5.5E-2</v>
      </c>
      <c r="P6" s="37">
        <v>0.06</v>
      </c>
      <c r="Q6" s="37">
        <v>6.5000000000000002E-2</v>
      </c>
      <c r="R6" s="37">
        <v>7.0000000000000007E-2</v>
      </c>
      <c r="S6" s="37">
        <v>7.4999999999999983E-2</v>
      </c>
      <c r="T6" s="37">
        <v>7.9999999999999988E-2</v>
      </c>
      <c r="U6" s="37">
        <v>8.4999999999999992E-2</v>
      </c>
      <c r="V6" s="37">
        <v>0.09</v>
      </c>
      <c r="W6" s="37">
        <v>9.4999999999999973E-2</v>
      </c>
      <c r="X6" s="37">
        <v>9.9999999999999978E-2</v>
      </c>
    </row>
    <row r="7" spans="1:24">
      <c r="A7">
        <v>302</v>
      </c>
      <c r="B7">
        <v>51</v>
      </c>
      <c r="C7">
        <v>37</v>
      </c>
      <c r="D7">
        <v>0</v>
      </c>
      <c r="E7">
        <v>0</v>
      </c>
      <c r="F7" s="37">
        <v>1.0000000000000023E-2</v>
      </c>
      <c r="G7" s="37">
        <v>1.500000000000002E-2</v>
      </c>
      <c r="H7" s="37">
        <v>2.0000000000000018E-2</v>
      </c>
      <c r="I7" s="37">
        <v>2.5000000000000015E-2</v>
      </c>
      <c r="J7" s="37">
        <v>3.0000000000000013E-2</v>
      </c>
      <c r="K7" s="37">
        <v>3.500000000000001E-2</v>
      </c>
      <c r="L7" s="37">
        <v>4.0000000000000008E-2</v>
      </c>
      <c r="M7" s="37">
        <v>4.5000000000000005E-2</v>
      </c>
      <c r="N7" s="37">
        <v>0.05</v>
      </c>
      <c r="O7" s="37">
        <v>5.5E-2</v>
      </c>
      <c r="P7" s="37">
        <v>0.06</v>
      </c>
      <c r="Q7" s="37">
        <v>6.5000000000000002E-2</v>
      </c>
      <c r="R7" s="37">
        <v>7.0000000000000007E-2</v>
      </c>
      <c r="S7" s="37">
        <v>7.4999999999999983E-2</v>
      </c>
      <c r="T7" s="37">
        <v>7.9999999999999988E-2</v>
      </c>
      <c r="U7" s="37">
        <v>8.4999999999999992E-2</v>
      </c>
      <c r="V7" s="37">
        <v>0.09</v>
      </c>
      <c r="W7" s="37">
        <v>9.4999999999999973E-2</v>
      </c>
      <c r="X7" s="37">
        <v>9.9999999999999978E-2</v>
      </c>
    </row>
    <row r="14" spans="1:24">
      <c r="B14" t="s">
        <v>494</v>
      </c>
    </row>
    <row r="15" spans="1:24">
      <c r="B15" t="s">
        <v>495</v>
      </c>
    </row>
    <row r="16" spans="1:24">
      <c r="B16" t="s">
        <v>496</v>
      </c>
    </row>
    <row r="17" spans="2:2">
      <c r="B17" t="s">
        <v>497</v>
      </c>
    </row>
    <row r="56" spans="4:24">
      <c r="D56" s="32"/>
      <c r="E56" s="32"/>
      <c r="F56" s="32"/>
      <c r="G56" s="32"/>
      <c r="H56" s="32"/>
      <c r="I56" s="32"/>
      <c r="J56" s="32"/>
      <c r="K56" s="32"/>
      <c r="L56" s="32"/>
      <c r="M56" s="32"/>
      <c r="N56" s="32"/>
      <c r="O56" s="32"/>
      <c r="P56" s="32"/>
      <c r="Q56" s="32"/>
      <c r="R56" s="32"/>
      <c r="S56" s="32"/>
      <c r="T56" s="32"/>
      <c r="U56" s="32"/>
      <c r="V56" s="32"/>
      <c r="W56" s="32"/>
      <c r="X56" s="32"/>
    </row>
    <row r="58" spans="4:24">
      <c r="D58" s="33"/>
      <c r="E58" s="33"/>
      <c r="F58" s="33"/>
      <c r="G58" s="33"/>
      <c r="H58" s="33"/>
      <c r="I58" s="33"/>
      <c r="J58" s="33"/>
      <c r="K58" s="33"/>
      <c r="L58" s="33"/>
      <c r="M58" s="33"/>
      <c r="N58" s="33"/>
      <c r="O58" s="33"/>
      <c r="P58" s="33"/>
      <c r="Q58" s="33"/>
      <c r="R58" s="33"/>
      <c r="S58" s="33"/>
      <c r="T58" s="33"/>
      <c r="U58" s="33"/>
      <c r="V58" s="33"/>
      <c r="W58" s="33"/>
      <c r="X58" s="33"/>
    </row>
    <row r="61" spans="4:24">
      <c r="D61" s="33"/>
      <c r="E61" s="33"/>
      <c r="F61" s="33"/>
      <c r="G61" s="33"/>
      <c r="H61" s="33"/>
      <c r="I61" s="33"/>
      <c r="J61" s="33"/>
      <c r="K61" s="33"/>
      <c r="L61" s="33"/>
      <c r="M61" s="33"/>
      <c r="N61" s="33"/>
      <c r="O61" s="33"/>
      <c r="P61" s="33"/>
      <c r="Q61" s="33"/>
      <c r="R61" s="33"/>
      <c r="S61" s="33"/>
      <c r="T61" s="33"/>
      <c r="U61" s="33"/>
      <c r="V61" s="33"/>
      <c r="W61" s="33"/>
      <c r="X61" s="33"/>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55"/>
  <sheetViews>
    <sheetView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5.7388000000000002E-2</v>
      </c>
      <c r="C2">
        <v>0</v>
      </c>
      <c r="D2">
        <v>0</v>
      </c>
      <c r="E2">
        <v>0</v>
      </c>
      <c r="F2">
        <v>0</v>
      </c>
      <c r="G2">
        <v>5.3000000000000001E-5</v>
      </c>
      <c r="H2">
        <v>0</v>
      </c>
      <c r="I2">
        <v>0</v>
      </c>
      <c r="J2">
        <v>1.199E-3</v>
      </c>
      <c r="K2">
        <v>0</v>
      </c>
      <c r="L2">
        <v>0</v>
      </c>
      <c r="M2">
        <v>0</v>
      </c>
      <c r="N2">
        <v>0</v>
      </c>
      <c r="O2">
        <v>0</v>
      </c>
      <c r="P2">
        <v>9.4030000000000002E-2</v>
      </c>
      <c r="Q2">
        <v>0</v>
      </c>
      <c r="R2">
        <v>0</v>
      </c>
      <c r="S2">
        <v>0</v>
      </c>
      <c r="T2">
        <v>0</v>
      </c>
      <c r="U2">
        <v>0</v>
      </c>
      <c r="V2">
        <v>2.2599999999999999E-4</v>
      </c>
      <c r="W2">
        <v>0</v>
      </c>
      <c r="X2">
        <v>5.5199999999999997E-4</v>
      </c>
      <c r="Y2">
        <v>0</v>
      </c>
      <c r="Z2">
        <v>0</v>
      </c>
      <c r="AA2">
        <v>0</v>
      </c>
      <c r="AB2">
        <v>0</v>
      </c>
      <c r="AC2">
        <v>0</v>
      </c>
      <c r="AD2">
        <v>0</v>
      </c>
      <c r="AE2">
        <v>0</v>
      </c>
      <c r="AF2">
        <v>0</v>
      </c>
      <c r="AG2">
        <v>0</v>
      </c>
      <c r="AH2">
        <v>0</v>
      </c>
      <c r="AI2">
        <v>0</v>
      </c>
      <c r="AJ2">
        <v>0</v>
      </c>
      <c r="AK2">
        <v>0</v>
      </c>
      <c r="AL2">
        <v>0</v>
      </c>
      <c r="AM2">
        <v>0</v>
      </c>
      <c r="AN2">
        <v>0</v>
      </c>
      <c r="AO2">
        <v>0</v>
      </c>
      <c r="AP2">
        <v>0</v>
      </c>
      <c r="AQ2">
        <v>2.5119999999999999E-3</v>
      </c>
      <c r="AR2">
        <v>7.3359999999999996E-3</v>
      </c>
      <c r="AS2">
        <v>0</v>
      </c>
      <c r="AT2">
        <v>0</v>
      </c>
      <c r="AU2">
        <v>0</v>
      </c>
      <c r="AV2">
        <v>0</v>
      </c>
      <c r="AW2">
        <v>0</v>
      </c>
      <c r="AX2">
        <v>0</v>
      </c>
      <c r="AY2">
        <v>0</v>
      </c>
      <c r="AZ2">
        <v>2.6259999999999999E-3</v>
      </c>
      <c r="BA2">
        <v>2.7599999999999999E-4</v>
      </c>
      <c r="BB2">
        <v>9.4799999999999995E-4</v>
      </c>
      <c r="BC2">
        <v>5.0220000000000004E-3</v>
      </c>
    </row>
    <row r="3" spans="1:55">
      <c r="A3" t="s">
        <v>3</v>
      </c>
      <c r="B3">
        <v>0</v>
      </c>
      <c r="C3">
        <v>1.0794E-2</v>
      </c>
      <c r="D3">
        <v>0</v>
      </c>
      <c r="E3">
        <v>0</v>
      </c>
      <c r="F3">
        <v>1.5999999999999999E-5</v>
      </c>
      <c r="G3">
        <v>0</v>
      </c>
      <c r="H3">
        <v>0</v>
      </c>
      <c r="I3">
        <v>0</v>
      </c>
      <c r="J3">
        <v>0</v>
      </c>
      <c r="K3">
        <v>0</v>
      </c>
      <c r="L3">
        <v>0</v>
      </c>
      <c r="M3">
        <v>0</v>
      </c>
      <c r="N3">
        <v>0</v>
      </c>
      <c r="O3">
        <v>0</v>
      </c>
      <c r="P3">
        <v>7.071E-3</v>
      </c>
      <c r="Q3">
        <v>0</v>
      </c>
      <c r="R3">
        <v>0</v>
      </c>
      <c r="S3">
        <v>0</v>
      </c>
      <c r="T3">
        <v>0</v>
      </c>
      <c r="U3">
        <v>0</v>
      </c>
      <c r="V3">
        <v>4.5899999999999999E-4</v>
      </c>
      <c r="W3">
        <v>0</v>
      </c>
      <c r="X3">
        <v>0</v>
      </c>
      <c r="Y3">
        <v>0</v>
      </c>
      <c r="Z3">
        <v>0</v>
      </c>
      <c r="AA3">
        <v>0</v>
      </c>
      <c r="AB3">
        <v>0</v>
      </c>
      <c r="AC3">
        <v>4.6999999999999997E-5</v>
      </c>
      <c r="AD3">
        <v>0</v>
      </c>
      <c r="AE3">
        <v>5.0000000000000004E-6</v>
      </c>
      <c r="AF3">
        <v>0</v>
      </c>
      <c r="AG3">
        <v>0</v>
      </c>
      <c r="AH3">
        <v>1.83E-4</v>
      </c>
      <c r="AI3">
        <v>0</v>
      </c>
      <c r="AJ3">
        <v>0</v>
      </c>
      <c r="AK3">
        <v>1.013E-3</v>
      </c>
      <c r="AL3">
        <v>0</v>
      </c>
      <c r="AM3">
        <v>6.4899999999999995E-4</v>
      </c>
      <c r="AN3">
        <v>0</v>
      </c>
      <c r="AO3">
        <v>1.596E-3</v>
      </c>
      <c r="AP3">
        <v>0</v>
      </c>
      <c r="AQ3">
        <v>8.1189999999999995E-3</v>
      </c>
      <c r="AR3">
        <v>1.7874000000000001E-2</v>
      </c>
      <c r="AS3">
        <v>0</v>
      </c>
      <c r="AT3">
        <v>2.4000000000000001E-5</v>
      </c>
      <c r="AU3">
        <v>0</v>
      </c>
      <c r="AV3">
        <v>0</v>
      </c>
      <c r="AW3">
        <v>0</v>
      </c>
      <c r="AX3">
        <v>0</v>
      </c>
      <c r="AY3">
        <v>0</v>
      </c>
      <c r="AZ3">
        <v>8.0000000000000007E-5</v>
      </c>
      <c r="BA3">
        <v>1.18E-4</v>
      </c>
      <c r="BB3">
        <v>7.1139999999999997E-3</v>
      </c>
      <c r="BC3">
        <v>5.9500000000000004E-4</v>
      </c>
    </row>
    <row r="4" spans="1:55">
      <c r="A4" t="s">
        <v>4</v>
      </c>
      <c r="B4">
        <v>0</v>
      </c>
      <c r="C4">
        <v>0</v>
      </c>
      <c r="D4">
        <v>8.9108999999999994E-2</v>
      </c>
      <c r="E4">
        <v>0</v>
      </c>
      <c r="F4">
        <v>0</v>
      </c>
      <c r="G4">
        <v>0</v>
      </c>
      <c r="H4">
        <v>0</v>
      </c>
      <c r="I4">
        <v>0</v>
      </c>
      <c r="J4">
        <v>0</v>
      </c>
      <c r="K4">
        <v>0</v>
      </c>
      <c r="L4">
        <v>0</v>
      </c>
      <c r="M4">
        <v>0</v>
      </c>
      <c r="N4">
        <v>0</v>
      </c>
      <c r="O4">
        <v>0</v>
      </c>
      <c r="P4">
        <v>0</v>
      </c>
      <c r="Q4">
        <v>0</v>
      </c>
      <c r="R4">
        <v>0</v>
      </c>
      <c r="S4">
        <v>0</v>
      </c>
      <c r="T4">
        <v>0</v>
      </c>
      <c r="U4">
        <v>0</v>
      </c>
      <c r="V4">
        <v>0</v>
      </c>
      <c r="W4">
        <v>0.25949699999999998</v>
      </c>
      <c r="X4">
        <v>0</v>
      </c>
      <c r="Y4">
        <v>0</v>
      </c>
      <c r="Z4">
        <v>0</v>
      </c>
      <c r="AA4">
        <v>0</v>
      </c>
      <c r="AB4">
        <v>0</v>
      </c>
      <c r="AC4">
        <v>0</v>
      </c>
      <c r="AD4">
        <v>0</v>
      </c>
      <c r="AE4">
        <v>0</v>
      </c>
      <c r="AF4">
        <v>0</v>
      </c>
      <c r="AG4">
        <v>0</v>
      </c>
      <c r="AH4">
        <v>0</v>
      </c>
      <c r="AI4">
        <v>0</v>
      </c>
      <c r="AJ4">
        <v>5.5999999999999999E-5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8.7093000000000004E-2</v>
      </c>
      <c r="F5">
        <v>0</v>
      </c>
      <c r="G5">
        <v>0</v>
      </c>
      <c r="H5">
        <v>0</v>
      </c>
      <c r="I5">
        <v>0</v>
      </c>
      <c r="J5">
        <v>0</v>
      </c>
      <c r="K5">
        <v>0</v>
      </c>
      <c r="L5">
        <v>0</v>
      </c>
      <c r="M5">
        <v>0</v>
      </c>
      <c r="N5">
        <v>0</v>
      </c>
      <c r="O5">
        <v>0</v>
      </c>
      <c r="P5">
        <v>0.118286</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6.4655000000000004E-2</v>
      </c>
      <c r="G6">
        <v>0</v>
      </c>
      <c r="H6">
        <v>0</v>
      </c>
      <c r="I6">
        <v>0</v>
      </c>
      <c r="J6">
        <v>0</v>
      </c>
      <c r="K6">
        <v>0</v>
      </c>
      <c r="L6">
        <v>0</v>
      </c>
      <c r="M6">
        <v>0</v>
      </c>
      <c r="N6">
        <v>0</v>
      </c>
      <c r="O6">
        <v>0</v>
      </c>
      <c r="P6">
        <v>1.4159999999999999E-3</v>
      </c>
      <c r="Q6">
        <v>0</v>
      </c>
      <c r="R6">
        <v>0</v>
      </c>
      <c r="S6">
        <v>7.0150000000000004E-3</v>
      </c>
      <c r="T6">
        <v>1.5E-5</v>
      </c>
      <c r="U6">
        <v>0</v>
      </c>
      <c r="V6">
        <v>3.3286000000000003E-2</v>
      </c>
      <c r="W6">
        <v>7.4999999999999993E-5</v>
      </c>
      <c r="X6">
        <v>3.9999999999999998E-6</v>
      </c>
      <c r="Y6">
        <v>0</v>
      </c>
      <c r="Z6">
        <v>0</v>
      </c>
      <c r="AA6">
        <v>6.9999999999999994E-5</v>
      </c>
      <c r="AB6">
        <v>0</v>
      </c>
      <c r="AC6">
        <v>4.718E-3</v>
      </c>
      <c r="AD6">
        <v>2.777E-3</v>
      </c>
      <c r="AE6">
        <v>0</v>
      </c>
      <c r="AF6">
        <v>0</v>
      </c>
      <c r="AG6">
        <v>0</v>
      </c>
      <c r="AH6">
        <v>1.9999999999999999E-6</v>
      </c>
      <c r="AI6">
        <v>0</v>
      </c>
      <c r="AJ6">
        <v>0</v>
      </c>
      <c r="AK6">
        <v>0</v>
      </c>
      <c r="AL6">
        <v>0</v>
      </c>
      <c r="AM6">
        <v>0</v>
      </c>
      <c r="AN6">
        <v>0</v>
      </c>
      <c r="AO6">
        <v>0</v>
      </c>
      <c r="AP6">
        <v>0</v>
      </c>
      <c r="AQ6">
        <v>3.4E-5</v>
      </c>
      <c r="AR6">
        <v>5.4409999999999997E-3</v>
      </c>
      <c r="AS6">
        <v>0</v>
      </c>
      <c r="AT6">
        <v>0</v>
      </c>
      <c r="AU6">
        <v>0</v>
      </c>
      <c r="AV6">
        <v>0</v>
      </c>
      <c r="AW6">
        <v>0</v>
      </c>
      <c r="AX6">
        <v>0</v>
      </c>
      <c r="AY6">
        <v>0</v>
      </c>
      <c r="AZ6">
        <v>9.9999999999999995E-7</v>
      </c>
      <c r="BA6">
        <v>6.0000000000000002E-6</v>
      </c>
      <c r="BB6">
        <v>9.6599999999999995E-4</v>
      </c>
      <c r="BC6">
        <v>1.4200000000000001E-4</v>
      </c>
    </row>
    <row r="7" spans="1:55">
      <c r="A7" t="s">
        <v>7</v>
      </c>
      <c r="B7">
        <v>1.537E-3</v>
      </c>
      <c r="C7">
        <v>8.8400000000000006E-3</v>
      </c>
      <c r="D7">
        <v>0</v>
      </c>
      <c r="E7">
        <v>4.6E-5</v>
      </c>
      <c r="F7">
        <v>6.7999999999999999E-5</v>
      </c>
      <c r="G7">
        <v>1.0274E-2</v>
      </c>
      <c r="H7">
        <v>3.326E-3</v>
      </c>
      <c r="I7">
        <v>8.6000000000000003E-5</v>
      </c>
      <c r="J7">
        <v>9.0000000000000002E-6</v>
      </c>
      <c r="K7">
        <v>0</v>
      </c>
      <c r="L7">
        <v>0</v>
      </c>
      <c r="M7">
        <v>0</v>
      </c>
      <c r="N7">
        <v>0</v>
      </c>
      <c r="O7">
        <v>0</v>
      </c>
      <c r="P7">
        <v>2.9971999999999999E-2</v>
      </c>
      <c r="Q7">
        <v>0</v>
      </c>
      <c r="R7">
        <v>6.3709999999999999E-3</v>
      </c>
      <c r="S7">
        <v>7.2389999999999998E-3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1.5113E-2</v>
      </c>
      <c r="AR7">
        <v>2.2537000000000001E-2</v>
      </c>
      <c r="AS7">
        <v>0</v>
      </c>
      <c r="AT7">
        <v>0</v>
      </c>
      <c r="AU7">
        <v>0</v>
      </c>
      <c r="AV7">
        <v>0</v>
      </c>
      <c r="AW7">
        <v>0</v>
      </c>
      <c r="AX7">
        <v>0</v>
      </c>
      <c r="AY7">
        <v>0</v>
      </c>
      <c r="AZ7">
        <v>1.7669999999999999E-3</v>
      </c>
      <c r="BA7">
        <v>6.7199999999999996E-4</v>
      </c>
      <c r="BB7">
        <v>5.1019999999999998E-3</v>
      </c>
      <c r="BC7">
        <v>4.7910000000000001E-3</v>
      </c>
    </row>
    <row r="8" spans="1:55">
      <c r="A8" t="s">
        <v>8</v>
      </c>
      <c r="B8">
        <v>1.0611000000000001E-2</v>
      </c>
      <c r="C8">
        <v>7.3689999999999997E-3</v>
      </c>
      <c r="D8">
        <v>0</v>
      </c>
      <c r="E8">
        <v>4.3980999999999999E-2</v>
      </c>
      <c r="F8">
        <v>0.16068299999999999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2.6699999999999998E-4</v>
      </c>
      <c r="BA8">
        <v>0</v>
      </c>
      <c r="BB8">
        <v>0</v>
      </c>
      <c r="BC8">
        <v>0</v>
      </c>
    </row>
    <row r="9" spans="1:55">
      <c r="A9" t="s">
        <v>9</v>
      </c>
      <c r="B9">
        <v>0</v>
      </c>
      <c r="C9">
        <v>8.8999999999999995E-5</v>
      </c>
      <c r="D9">
        <v>0</v>
      </c>
      <c r="E9">
        <v>8.0699999999999999E-4</v>
      </c>
      <c r="F9">
        <v>3.2200000000000002E-4</v>
      </c>
      <c r="G9">
        <v>4.9399999999999997E-4</v>
      </c>
      <c r="H9">
        <v>9.9999999999999995E-7</v>
      </c>
      <c r="I9">
        <v>1.2548999999999999E-2</v>
      </c>
      <c r="J9">
        <v>3.8000000000000002E-5</v>
      </c>
      <c r="K9">
        <v>0</v>
      </c>
      <c r="L9">
        <v>3.1399999999999999E-4</v>
      </c>
      <c r="M9">
        <v>0</v>
      </c>
      <c r="N9">
        <v>1.2400000000000001E-4</v>
      </c>
      <c r="O9">
        <v>4.5000000000000003E-5</v>
      </c>
      <c r="P9">
        <v>4.5899999999999999E-4</v>
      </c>
      <c r="Q9">
        <v>0</v>
      </c>
      <c r="R9">
        <v>4.1050000000000001E-3</v>
      </c>
      <c r="S9">
        <v>9.3999999999999997E-4</v>
      </c>
      <c r="T9">
        <v>0.22320200000000001</v>
      </c>
      <c r="U9">
        <v>2.8951999999999999E-2</v>
      </c>
      <c r="V9">
        <v>1.5579999999999999E-3</v>
      </c>
      <c r="W9">
        <v>2.8699999999999998E-4</v>
      </c>
      <c r="X9">
        <v>3.6000000000000001E-5</v>
      </c>
      <c r="Y9">
        <v>1.9999999999999999E-6</v>
      </c>
      <c r="Z9">
        <v>3.8999999999999999E-5</v>
      </c>
      <c r="AA9">
        <v>0</v>
      </c>
      <c r="AB9">
        <v>2.12E-4</v>
      </c>
      <c r="AC9">
        <v>8.1469999999999997E-3</v>
      </c>
      <c r="AD9">
        <v>4.0119999999999999E-3</v>
      </c>
      <c r="AE9">
        <v>0</v>
      </c>
      <c r="AF9">
        <v>0</v>
      </c>
      <c r="AG9">
        <v>0</v>
      </c>
      <c r="AH9">
        <v>1.8634000000000001E-2</v>
      </c>
      <c r="AI9">
        <v>2.12E-4</v>
      </c>
      <c r="AJ9">
        <v>1.2E-5</v>
      </c>
      <c r="AK9">
        <v>0</v>
      </c>
      <c r="AL9">
        <v>0</v>
      </c>
      <c r="AM9">
        <v>0</v>
      </c>
      <c r="AN9">
        <v>0</v>
      </c>
      <c r="AO9">
        <v>0</v>
      </c>
      <c r="AP9">
        <v>0</v>
      </c>
      <c r="AQ9">
        <v>2.0000000000000001E-4</v>
      </c>
      <c r="AR9">
        <v>1.74E-4</v>
      </c>
      <c r="AS9">
        <v>0</v>
      </c>
      <c r="AT9">
        <v>0</v>
      </c>
      <c r="AU9">
        <v>0</v>
      </c>
      <c r="AV9">
        <v>0</v>
      </c>
      <c r="AW9">
        <v>0</v>
      </c>
      <c r="AX9">
        <v>0</v>
      </c>
      <c r="AY9">
        <v>0</v>
      </c>
      <c r="AZ9">
        <v>3.0000000000000001E-6</v>
      </c>
      <c r="BA9">
        <v>0</v>
      </c>
      <c r="BB9">
        <v>0</v>
      </c>
      <c r="BC9">
        <v>1.15E-4</v>
      </c>
    </row>
    <row r="10" spans="1:55">
      <c r="A10" t="s">
        <v>10</v>
      </c>
      <c r="B10">
        <v>0</v>
      </c>
      <c r="C10">
        <v>0</v>
      </c>
      <c r="D10">
        <v>0</v>
      </c>
      <c r="E10">
        <v>0</v>
      </c>
      <c r="F10">
        <v>0</v>
      </c>
      <c r="G10">
        <v>0</v>
      </c>
      <c r="H10">
        <v>0</v>
      </c>
      <c r="I10">
        <v>0</v>
      </c>
      <c r="J10">
        <v>1.5254E-2</v>
      </c>
      <c r="K10">
        <v>0</v>
      </c>
      <c r="L10">
        <v>0</v>
      </c>
      <c r="M10">
        <v>0</v>
      </c>
      <c r="N10">
        <v>0</v>
      </c>
      <c r="O10">
        <v>0</v>
      </c>
      <c r="P10">
        <v>3.2868000000000001E-2</v>
      </c>
      <c r="Q10">
        <v>0</v>
      </c>
      <c r="R10">
        <v>0</v>
      </c>
      <c r="S10">
        <v>0</v>
      </c>
      <c r="T10">
        <v>0</v>
      </c>
      <c r="U10">
        <v>0</v>
      </c>
      <c r="V10">
        <v>1.07E-4</v>
      </c>
      <c r="W10">
        <v>0</v>
      </c>
      <c r="X10">
        <v>0</v>
      </c>
      <c r="Y10">
        <v>0</v>
      </c>
      <c r="Z10">
        <v>0</v>
      </c>
      <c r="AA10">
        <v>0</v>
      </c>
      <c r="AB10">
        <v>0</v>
      </c>
      <c r="AC10">
        <v>2.8E-5</v>
      </c>
      <c r="AD10">
        <v>2.8730000000000001E-3</v>
      </c>
      <c r="AE10">
        <v>0</v>
      </c>
      <c r="AF10">
        <v>0</v>
      </c>
      <c r="AG10">
        <v>0</v>
      </c>
      <c r="AH10">
        <v>0</v>
      </c>
      <c r="AI10">
        <v>0</v>
      </c>
      <c r="AJ10">
        <v>0</v>
      </c>
      <c r="AK10">
        <v>0</v>
      </c>
      <c r="AL10">
        <v>0</v>
      </c>
      <c r="AM10">
        <v>0</v>
      </c>
      <c r="AN10">
        <v>0</v>
      </c>
      <c r="AO10">
        <v>0</v>
      </c>
      <c r="AP10">
        <v>0</v>
      </c>
      <c r="AQ10">
        <v>1.5519E-2</v>
      </c>
      <c r="AR10">
        <v>5.1955000000000001E-2</v>
      </c>
      <c r="AS10">
        <v>0</v>
      </c>
      <c r="AT10">
        <v>0</v>
      </c>
      <c r="AU10">
        <v>0</v>
      </c>
      <c r="AV10">
        <v>0</v>
      </c>
      <c r="AW10">
        <v>0</v>
      </c>
      <c r="AX10">
        <v>0</v>
      </c>
      <c r="AY10">
        <v>0</v>
      </c>
      <c r="AZ10">
        <v>2.7999999999999998E-4</v>
      </c>
      <c r="BA10">
        <v>1.7570000000000001E-3</v>
      </c>
      <c r="BB10">
        <v>3.4810000000000002E-3</v>
      </c>
      <c r="BC10">
        <v>1.2670000000000001E-2</v>
      </c>
    </row>
    <row r="11" spans="1:55">
      <c r="A11" t="s">
        <v>11</v>
      </c>
      <c r="B11">
        <v>6.6000000000000005E-5</v>
      </c>
      <c r="C11">
        <v>9.6000000000000002E-5</v>
      </c>
      <c r="D11">
        <v>0</v>
      </c>
      <c r="E11">
        <v>0</v>
      </c>
      <c r="F11">
        <v>1.5E-5</v>
      </c>
      <c r="G11">
        <v>5.6899999999999995E-4</v>
      </c>
      <c r="H11">
        <v>1.2999999999999999E-5</v>
      </c>
      <c r="I11">
        <v>1.6200000000000001E-4</v>
      </c>
      <c r="J11">
        <v>5.1E-5</v>
      </c>
      <c r="K11">
        <v>0.105033</v>
      </c>
      <c r="L11">
        <v>2.0149999999999999E-3</v>
      </c>
      <c r="M11">
        <v>0</v>
      </c>
      <c r="N11">
        <v>1.93E-4</v>
      </c>
      <c r="O11">
        <v>0.208312</v>
      </c>
      <c r="P11">
        <v>2.6999999999999999E-5</v>
      </c>
      <c r="Q11">
        <v>0</v>
      </c>
      <c r="R11">
        <v>1.34E-4</v>
      </c>
      <c r="S11">
        <v>1.85E-4</v>
      </c>
      <c r="T11">
        <v>9.2999999999999997E-5</v>
      </c>
      <c r="U11">
        <v>1.5300000000000001E-4</v>
      </c>
      <c r="V11">
        <v>0.158773</v>
      </c>
      <c r="W11">
        <v>3.039E-2</v>
      </c>
      <c r="X11">
        <v>1.7288999999999999E-2</v>
      </c>
      <c r="Y11">
        <v>7.7461000000000002E-2</v>
      </c>
      <c r="Z11">
        <v>1.0253999999999999E-2</v>
      </c>
      <c r="AA11">
        <v>3.6000000000000001E-5</v>
      </c>
      <c r="AB11">
        <v>2.63E-4</v>
      </c>
      <c r="AC11">
        <v>2.0900000000000001E-4</v>
      </c>
      <c r="AD11">
        <v>1.45E-4</v>
      </c>
      <c r="AE11">
        <v>0.43748999999999999</v>
      </c>
      <c r="AF11">
        <v>0.185386</v>
      </c>
      <c r="AG11">
        <v>1.4799999999999999E-4</v>
      </c>
      <c r="AH11">
        <v>5.1500000000000005E-4</v>
      </c>
      <c r="AI11">
        <v>3.6299999999999999E-4</v>
      </c>
      <c r="AJ11">
        <v>4.1599999999999997E-4</v>
      </c>
      <c r="AK11">
        <v>2.8899999999999998E-4</v>
      </c>
      <c r="AL11">
        <v>4.1599999999999997E-4</v>
      </c>
      <c r="AM11">
        <v>7.5900000000000002E-4</v>
      </c>
      <c r="AN11">
        <v>4.6900000000000002E-4</v>
      </c>
      <c r="AO11">
        <v>8.61E-4</v>
      </c>
      <c r="AP11">
        <v>4.7800000000000002E-4</v>
      </c>
      <c r="AQ11">
        <v>1.22E-4</v>
      </c>
      <c r="AR11">
        <v>3.4999999999999997E-5</v>
      </c>
      <c r="AS11">
        <v>5.44E-4</v>
      </c>
      <c r="AT11">
        <v>7.9699999999999997E-4</v>
      </c>
      <c r="AU11">
        <v>6.7500000000000004E-4</v>
      </c>
      <c r="AV11">
        <v>4.46E-4</v>
      </c>
      <c r="AW11">
        <v>3.6999999999999999E-4</v>
      </c>
      <c r="AX11">
        <v>2.0799999999999999E-4</v>
      </c>
      <c r="AY11">
        <v>5.7899999999999998E-4</v>
      </c>
      <c r="AZ11">
        <v>6.2399999999999999E-4</v>
      </c>
      <c r="BA11">
        <v>3.7599999999999998E-4</v>
      </c>
      <c r="BB11">
        <v>6.9999999999999994E-5</v>
      </c>
      <c r="BC11">
        <v>1.2E-4</v>
      </c>
    </row>
    <row r="12" spans="1:55">
      <c r="A12" t="s">
        <v>12</v>
      </c>
      <c r="B12">
        <v>8.6000000000000003E-5</v>
      </c>
      <c r="C12">
        <v>1.27E-4</v>
      </c>
      <c r="D12">
        <v>0</v>
      </c>
      <c r="E12">
        <v>0</v>
      </c>
      <c r="F12">
        <v>1.7E-5</v>
      </c>
      <c r="G12">
        <v>7.3800000000000005E-4</v>
      </c>
      <c r="H12">
        <v>1.9000000000000001E-5</v>
      </c>
      <c r="I12">
        <v>2.14E-4</v>
      </c>
      <c r="J12">
        <v>6.9999999999999994E-5</v>
      </c>
      <c r="K12">
        <v>3.6400000000000001E-4</v>
      </c>
      <c r="L12">
        <v>0.13556199999999999</v>
      </c>
      <c r="M12">
        <v>0</v>
      </c>
      <c r="N12">
        <v>1.47E-4</v>
      </c>
      <c r="O12">
        <v>8.0520000000000001E-3</v>
      </c>
      <c r="P12">
        <v>3.6000000000000001E-5</v>
      </c>
      <c r="Q12">
        <v>0</v>
      </c>
      <c r="R12">
        <v>2.9799999999999998E-4</v>
      </c>
      <c r="S12">
        <v>2.9700000000000001E-4</v>
      </c>
      <c r="T12">
        <v>1.4999999999999999E-4</v>
      </c>
      <c r="U12">
        <v>3.0699999999999998E-4</v>
      </c>
      <c r="V12">
        <v>1.1999999999999999E-3</v>
      </c>
      <c r="W12">
        <v>9.7999999999999997E-5</v>
      </c>
      <c r="X12">
        <v>0.249999</v>
      </c>
      <c r="Y12">
        <v>2.6030000000000001E-2</v>
      </c>
      <c r="Z12">
        <v>2.5297E-2</v>
      </c>
      <c r="AA12">
        <v>6.6000000000000005E-5</v>
      </c>
      <c r="AB12">
        <v>3.57E-4</v>
      </c>
      <c r="AC12">
        <v>2.7999999999999998E-4</v>
      </c>
      <c r="AD12">
        <v>1.93E-4</v>
      </c>
      <c r="AE12">
        <v>0.18876499999999999</v>
      </c>
      <c r="AF12">
        <v>5.0680999999999997E-2</v>
      </c>
      <c r="AG12">
        <v>3.8200000000000002E-4</v>
      </c>
      <c r="AH12">
        <v>3.4499999999999998E-4</v>
      </c>
      <c r="AI12">
        <v>5.0600000000000005E-4</v>
      </c>
      <c r="AJ12">
        <v>5.6999999999999998E-4</v>
      </c>
      <c r="AK12">
        <v>6.6299999999999996E-4</v>
      </c>
      <c r="AL12">
        <v>5.3899999999999998E-4</v>
      </c>
      <c r="AM12">
        <v>9.8499999999999998E-4</v>
      </c>
      <c r="AN12">
        <v>6.4700000000000001E-4</v>
      </c>
      <c r="AO12">
        <v>1.1119999999999999E-3</v>
      </c>
      <c r="AP12">
        <v>6.6100000000000002E-4</v>
      </c>
      <c r="AQ12">
        <v>1.84E-4</v>
      </c>
      <c r="AR12">
        <v>5.3000000000000001E-5</v>
      </c>
      <c r="AS12">
        <v>7.2800000000000002E-4</v>
      </c>
      <c r="AT12">
        <v>1.036E-3</v>
      </c>
      <c r="AU12">
        <v>8.8500000000000004E-4</v>
      </c>
      <c r="AV12">
        <v>5.9100000000000005E-4</v>
      </c>
      <c r="AW12">
        <v>4.9100000000000001E-4</v>
      </c>
      <c r="AX12">
        <v>2.7399999999999999E-4</v>
      </c>
      <c r="AY12">
        <v>7.6999999999999996E-4</v>
      </c>
      <c r="AZ12">
        <v>8.6499999999999999E-4</v>
      </c>
      <c r="BA12">
        <v>5.1599999999999997E-4</v>
      </c>
      <c r="BB12">
        <v>1.3300000000000001E-4</v>
      </c>
      <c r="BC12">
        <v>2.1100000000000001E-4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1.9000000000000001E-5</v>
      </c>
      <c r="C14">
        <v>2.3E-5</v>
      </c>
      <c r="D14">
        <v>0</v>
      </c>
      <c r="E14">
        <v>0</v>
      </c>
      <c r="F14">
        <v>1.5E-5</v>
      </c>
      <c r="G14">
        <v>1.11E-4</v>
      </c>
      <c r="H14">
        <v>3.0000000000000001E-6</v>
      </c>
      <c r="I14">
        <v>4.0000000000000003E-5</v>
      </c>
      <c r="J14">
        <v>1.1E-5</v>
      </c>
      <c r="K14">
        <v>9.1680000000000008E-3</v>
      </c>
      <c r="L14">
        <v>9.6855999999999998E-2</v>
      </c>
      <c r="M14">
        <v>0</v>
      </c>
      <c r="N14">
        <v>1.5262E-2</v>
      </c>
      <c r="O14">
        <v>3.3000000000000003E-5</v>
      </c>
      <c r="P14">
        <v>1.0120000000000001E-3</v>
      </c>
      <c r="Q14">
        <v>0</v>
      </c>
      <c r="R14">
        <v>2.5999999999999998E-5</v>
      </c>
      <c r="S14">
        <v>4.15E-4</v>
      </c>
      <c r="T14">
        <v>4.8000000000000001E-5</v>
      </c>
      <c r="U14">
        <v>2.9E-5</v>
      </c>
      <c r="V14">
        <v>2.6759999999999999E-2</v>
      </c>
      <c r="W14">
        <v>4.37E-4</v>
      </c>
      <c r="X14">
        <v>6.5937999999999997E-2</v>
      </c>
      <c r="Y14">
        <v>6.7100000000000005E-4</v>
      </c>
      <c r="Z14">
        <v>1.0690000000000001E-3</v>
      </c>
      <c r="AA14">
        <v>3.8000000000000002E-5</v>
      </c>
      <c r="AB14">
        <v>1.6200000000000001E-4</v>
      </c>
      <c r="AC14">
        <v>2.8089999999999999E-3</v>
      </c>
      <c r="AD14">
        <v>8.3309999999999999E-3</v>
      </c>
      <c r="AE14">
        <v>1.4E-3</v>
      </c>
      <c r="AF14">
        <v>1.5999999999999999E-5</v>
      </c>
      <c r="AG14">
        <v>3.4E-5</v>
      </c>
      <c r="AH14">
        <v>4.9562000000000002E-2</v>
      </c>
      <c r="AI14">
        <v>7.2000000000000002E-5</v>
      </c>
      <c r="AJ14">
        <v>8.5000000000000006E-5</v>
      </c>
      <c r="AK14">
        <v>6.9999999999999994E-5</v>
      </c>
      <c r="AL14">
        <v>7.8999999999999996E-5</v>
      </c>
      <c r="AM14">
        <v>1.4999999999999999E-4</v>
      </c>
      <c r="AN14">
        <v>9.2999999999999997E-5</v>
      </c>
      <c r="AO14">
        <v>1.63E-4</v>
      </c>
      <c r="AP14">
        <v>1.1E-4</v>
      </c>
      <c r="AQ14">
        <v>2.5000000000000001E-5</v>
      </c>
      <c r="AR14">
        <v>6.9999999999999999E-6</v>
      </c>
      <c r="AS14">
        <v>1.07E-4</v>
      </c>
      <c r="AT14">
        <v>1.5300000000000001E-4</v>
      </c>
      <c r="AU14">
        <v>1.2899999999999999E-4</v>
      </c>
      <c r="AV14">
        <v>8.5000000000000006E-5</v>
      </c>
      <c r="AW14">
        <v>7.1000000000000005E-5</v>
      </c>
      <c r="AX14">
        <v>5.5999999999999999E-5</v>
      </c>
      <c r="AY14">
        <v>1.11E-4</v>
      </c>
      <c r="AZ14">
        <v>1.3300000000000001E-4</v>
      </c>
      <c r="BA14">
        <v>7.2999999999999999E-5</v>
      </c>
      <c r="BB14">
        <v>1.4E-5</v>
      </c>
      <c r="BC14">
        <v>2.4000000000000001E-5</v>
      </c>
    </row>
    <row r="15" spans="1:55">
      <c r="A15" t="s">
        <v>15</v>
      </c>
      <c r="B15">
        <v>6.9800000000000005E-4</v>
      </c>
      <c r="C15">
        <v>2.0939999999999999E-3</v>
      </c>
      <c r="D15">
        <v>0</v>
      </c>
      <c r="E15">
        <v>0</v>
      </c>
      <c r="F15">
        <v>2.92E-4</v>
      </c>
      <c r="G15">
        <v>7.1497000000000005E-2</v>
      </c>
      <c r="H15">
        <v>4.7800000000000002E-4</v>
      </c>
      <c r="I15">
        <v>1.3623E-2</v>
      </c>
      <c r="J15">
        <v>1.5372E-2</v>
      </c>
      <c r="K15">
        <v>2.0899999999999998E-3</v>
      </c>
      <c r="L15">
        <v>2.7659E-2</v>
      </c>
      <c r="M15">
        <v>0</v>
      </c>
      <c r="N15">
        <v>3.3197999999999998E-2</v>
      </c>
      <c r="O15">
        <v>3.7069999999999998E-3</v>
      </c>
      <c r="P15">
        <v>1.4710000000000001E-3</v>
      </c>
      <c r="Q15">
        <v>0</v>
      </c>
      <c r="R15">
        <v>1.9657999999999998E-2</v>
      </c>
      <c r="S15">
        <v>1.6195000000000001E-2</v>
      </c>
      <c r="T15">
        <v>1.0578000000000001E-2</v>
      </c>
      <c r="U15">
        <v>2.1578E-2</v>
      </c>
      <c r="V15">
        <v>1.2094000000000001E-2</v>
      </c>
      <c r="W15">
        <v>4.5269999999999998E-3</v>
      </c>
      <c r="X15">
        <v>1.3167999999999999E-2</v>
      </c>
      <c r="Y15">
        <v>1.2282E-2</v>
      </c>
      <c r="Z15">
        <v>4.4929999999999996E-3</v>
      </c>
      <c r="AA15">
        <v>7.6800000000000002E-4</v>
      </c>
      <c r="AB15">
        <v>9.3089999999999996E-3</v>
      </c>
      <c r="AC15">
        <v>7.2760000000000003E-3</v>
      </c>
      <c r="AD15">
        <v>1.1168000000000001E-2</v>
      </c>
      <c r="AE15">
        <v>3.388E-3</v>
      </c>
      <c r="AF15">
        <v>2.4514000000000001E-2</v>
      </c>
      <c r="AG15">
        <v>3.9839999999999997E-3</v>
      </c>
      <c r="AH15">
        <v>4.0128999999999998E-2</v>
      </c>
      <c r="AI15">
        <v>2.5166000000000001E-2</v>
      </c>
      <c r="AJ15">
        <v>5.2066000000000001E-2</v>
      </c>
      <c r="AK15">
        <v>8.8674000000000003E-2</v>
      </c>
      <c r="AL15">
        <v>0.23827699999999999</v>
      </c>
      <c r="AM15">
        <v>0.24288699999999999</v>
      </c>
      <c r="AN15">
        <v>0.180037</v>
      </c>
      <c r="AO15">
        <v>0.211756</v>
      </c>
      <c r="AP15">
        <v>1.2357999999999999E-2</v>
      </c>
      <c r="AQ15">
        <v>2.1909999999999998E-3</v>
      </c>
      <c r="AR15">
        <v>2.0609999999999999E-3</v>
      </c>
      <c r="AS15">
        <v>1.9059999999999999E-3</v>
      </c>
      <c r="AT15">
        <v>4.44E-4</v>
      </c>
      <c r="AU15">
        <v>5.9400000000000002E-4</v>
      </c>
      <c r="AV15">
        <v>1.5999999999999999E-5</v>
      </c>
      <c r="AW15">
        <v>1.3910000000000001E-3</v>
      </c>
      <c r="AX15">
        <v>3.0720000000000001E-3</v>
      </c>
      <c r="AY15">
        <v>2.7917000000000001E-2</v>
      </c>
      <c r="AZ15">
        <v>1.1540000000000001E-3</v>
      </c>
      <c r="BA15">
        <v>2.7030000000000001E-3</v>
      </c>
      <c r="BB15">
        <v>6.0699999999999999E-3</v>
      </c>
      <c r="BC15">
        <v>1.7824E-2</v>
      </c>
    </row>
    <row r="16" spans="1:55">
      <c r="A16" t="s">
        <v>16</v>
      </c>
      <c r="B16">
        <v>2.0000000000000002E-5</v>
      </c>
      <c r="C16">
        <v>4.3999999999999999E-5</v>
      </c>
      <c r="D16">
        <v>1.9650999999999998E-2</v>
      </c>
      <c r="E16">
        <v>2.7973999999999999E-2</v>
      </c>
      <c r="F16">
        <v>6.4219999999999998E-3</v>
      </c>
      <c r="G16">
        <v>3.4547000000000001E-2</v>
      </c>
      <c r="H16">
        <v>0.22348100000000001</v>
      </c>
      <c r="I16">
        <v>1.37E-4</v>
      </c>
      <c r="J16">
        <v>3.1420999999999998E-2</v>
      </c>
      <c r="K16">
        <v>8.5499999999999997E-4</v>
      </c>
      <c r="L16">
        <v>1.9740000000000001E-3</v>
      </c>
      <c r="M16">
        <v>0</v>
      </c>
      <c r="N16">
        <v>3.1000000000000001E-5</v>
      </c>
      <c r="O16">
        <v>3.4499999999999998E-4</v>
      </c>
      <c r="P16">
        <v>0.18316099999999999</v>
      </c>
      <c r="Q16">
        <v>3.1999999999999999E-5</v>
      </c>
      <c r="R16">
        <v>1.3179E-2</v>
      </c>
      <c r="S16">
        <v>0.101216</v>
      </c>
      <c r="T16">
        <v>4.7369999999999999E-3</v>
      </c>
      <c r="U16">
        <v>2.3379999999999998E-3</v>
      </c>
      <c r="V16">
        <v>2.0938999999999999E-2</v>
      </c>
      <c r="W16">
        <v>4.1100000000000002E-4</v>
      </c>
      <c r="X16">
        <v>9.0799999999999995E-4</v>
      </c>
      <c r="Y16">
        <v>1.498E-3</v>
      </c>
      <c r="Z16">
        <v>1.222E-3</v>
      </c>
      <c r="AA16">
        <v>7.1400000000000001E-4</v>
      </c>
      <c r="AB16">
        <v>2.2959999999999999E-3</v>
      </c>
      <c r="AC16">
        <v>3.5969999999999999E-3</v>
      </c>
      <c r="AD16">
        <v>2.6480000000000002E-3</v>
      </c>
      <c r="AE16">
        <v>3.9599999999999998E-4</v>
      </c>
      <c r="AF16">
        <v>1.593E-3</v>
      </c>
      <c r="AG16">
        <v>6.0029999999999997E-3</v>
      </c>
      <c r="AH16">
        <v>6.8800000000000003E-4</v>
      </c>
      <c r="AI16">
        <v>1.1410000000000001E-3</v>
      </c>
      <c r="AJ16">
        <v>1.5410000000000001E-3</v>
      </c>
      <c r="AK16">
        <v>2.9269999999999999E-3</v>
      </c>
      <c r="AL16">
        <v>8.6000000000000003E-5</v>
      </c>
      <c r="AM16">
        <v>7.1173E-2</v>
      </c>
      <c r="AN16">
        <v>1.8556E-2</v>
      </c>
      <c r="AO16">
        <v>2.1451999999999999E-2</v>
      </c>
      <c r="AP16">
        <v>4.1650000000000003E-3</v>
      </c>
      <c r="AQ16">
        <v>0.178981</v>
      </c>
      <c r="AR16">
        <v>0.295298</v>
      </c>
      <c r="AS16">
        <v>7.94E-4</v>
      </c>
      <c r="AT16">
        <v>3.4060000000000002E-3</v>
      </c>
      <c r="AU16">
        <v>7.7910000000000002E-3</v>
      </c>
      <c r="AV16">
        <v>8.83E-4</v>
      </c>
      <c r="AW16">
        <v>2.7179999999999999E-3</v>
      </c>
      <c r="AX16">
        <v>7.3499999999999998E-4</v>
      </c>
      <c r="AY16">
        <v>3.1319999999999998E-3</v>
      </c>
      <c r="AZ16">
        <v>2.7172000000000002E-2</v>
      </c>
      <c r="BA16">
        <v>3.7357000000000001E-2</v>
      </c>
      <c r="BB16">
        <v>0.10170899999999999</v>
      </c>
      <c r="BC16">
        <v>3.0707000000000002E-2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9.0200000000000002E-4</v>
      </c>
      <c r="R17">
        <v>0</v>
      </c>
      <c r="S17">
        <v>0</v>
      </c>
      <c r="T17">
        <v>0</v>
      </c>
      <c r="U17">
        <v>0</v>
      </c>
      <c r="V17">
        <v>0</v>
      </c>
      <c r="W17">
        <v>0</v>
      </c>
      <c r="X17">
        <v>0</v>
      </c>
      <c r="Y17">
        <v>0</v>
      </c>
      <c r="Z17">
        <v>0</v>
      </c>
      <c r="AA17">
        <v>0</v>
      </c>
      <c r="AB17">
        <v>0</v>
      </c>
      <c r="AC17">
        <v>0</v>
      </c>
      <c r="AD17">
        <v>0</v>
      </c>
      <c r="AE17">
        <v>9.9999999999999995E-7</v>
      </c>
      <c r="AF17">
        <v>0</v>
      </c>
      <c r="AG17">
        <v>0</v>
      </c>
      <c r="AH17">
        <v>0</v>
      </c>
      <c r="AI17">
        <v>0</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0</v>
      </c>
      <c r="BB17">
        <v>0</v>
      </c>
      <c r="BC17">
        <v>0</v>
      </c>
    </row>
    <row r="18" spans="1:55">
      <c r="A18" t="s">
        <v>18</v>
      </c>
      <c r="B18">
        <v>9.7999999999999997E-5</v>
      </c>
      <c r="C18">
        <v>5.5199999999999997E-4</v>
      </c>
      <c r="D18">
        <v>7.9760000000000005E-3</v>
      </c>
      <c r="E18">
        <v>1.6799999999999999E-4</v>
      </c>
      <c r="F18">
        <v>5.5999999999999999E-5</v>
      </c>
      <c r="G18">
        <v>1.74E-4</v>
      </c>
      <c r="H18">
        <v>9.9999999999999995E-7</v>
      </c>
      <c r="I18">
        <v>2.4000000000000001E-5</v>
      </c>
      <c r="J18">
        <v>1.8E-5</v>
      </c>
      <c r="K18">
        <v>7.9999999999999996E-6</v>
      </c>
      <c r="L18">
        <v>3.6999999999999998E-5</v>
      </c>
      <c r="M18">
        <v>0</v>
      </c>
      <c r="N18">
        <v>1.9999999999999999E-6</v>
      </c>
      <c r="O18">
        <v>0</v>
      </c>
      <c r="P18">
        <v>1.1E-5</v>
      </c>
      <c r="Q18">
        <v>0</v>
      </c>
      <c r="R18">
        <v>3.2696999999999997E-2</v>
      </c>
      <c r="S18">
        <v>2.029E-3</v>
      </c>
      <c r="T18">
        <v>1.03E-4</v>
      </c>
      <c r="U18">
        <v>8.6000000000000003E-5</v>
      </c>
      <c r="V18">
        <v>6.3999999999999997E-5</v>
      </c>
      <c r="W18">
        <v>1.9599999999999999E-4</v>
      </c>
      <c r="X18">
        <v>1.4E-5</v>
      </c>
      <c r="Y18">
        <v>1.9999999999999999E-6</v>
      </c>
      <c r="Z18">
        <v>7.8999999999999996E-5</v>
      </c>
      <c r="AA18">
        <v>1.9999999999999999E-6</v>
      </c>
      <c r="AB18">
        <v>2.5000000000000001E-5</v>
      </c>
      <c r="AC18">
        <v>2.3370000000000001E-3</v>
      </c>
      <c r="AD18">
        <v>2.8800000000000001E-4</v>
      </c>
      <c r="AE18">
        <v>0</v>
      </c>
      <c r="AF18">
        <v>3.0000000000000001E-6</v>
      </c>
      <c r="AG18">
        <v>2.5000000000000001E-5</v>
      </c>
      <c r="AH18">
        <v>8.0000000000000007E-5</v>
      </c>
      <c r="AI18">
        <v>2.5300000000000002E-4</v>
      </c>
      <c r="AJ18">
        <v>1.9100000000000001E-4</v>
      </c>
      <c r="AK18">
        <v>0</v>
      </c>
      <c r="AL18">
        <v>9.9999999999999995E-7</v>
      </c>
      <c r="AM18">
        <v>2.0999999999999999E-5</v>
      </c>
      <c r="AN18">
        <v>0</v>
      </c>
      <c r="AO18">
        <v>9.9999999999999995E-7</v>
      </c>
      <c r="AP18">
        <v>8.7000000000000001E-5</v>
      </c>
      <c r="AQ18">
        <v>2.0100000000000001E-4</v>
      </c>
      <c r="AR18">
        <v>1.1E-5</v>
      </c>
      <c r="AS18">
        <v>1.0000000000000001E-5</v>
      </c>
      <c r="AT18">
        <v>9.2999999999999997E-5</v>
      </c>
      <c r="AU18">
        <v>2.3E-5</v>
      </c>
      <c r="AV18">
        <v>1.1E-5</v>
      </c>
      <c r="AW18">
        <v>1.0000000000000001E-5</v>
      </c>
      <c r="AX18">
        <v>2.5999999999999998E-5</v>
      </c>
      <c r="AY18">
        <v>7.2999999999999999E-5</v>
      </c>
      <c r="AZ18">
        <v>1.44E-4</v>
      </c>
      <c r="BA18">
        <v>2.5700000000000001E-4</v>
      </c>
      <c r="BB18">
        <v>1.0610000000000001E-3</v>
      </c>
      <c r="BC18">
        <v>1.395E-3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6.0000000000000002E-5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3.846E-3</v>
      </c>
      <c r="E20">
        <v>0</v>
      </c>
      <c r="F20">
        <v>3.1999999999999999E-5</v>
      </c>
      <c r="G20">
        <v>2.2800000000000001E-4</v>
      </c>
      <c r="H20">
        <v>2.9E-5</v>
      </c>
      <c r="I20">
        <v>2.4000000000000001E-5</v>
      </c>
      <c r="J20">
        <v>1.5E-5</v>
      </c>
      <c r="K20">
        <v>1.4E-5</v>
      </c>
      <c r="L20">
        <v>1.05E-4</v>
      </c>
      <c r="M20">
        <v>0</v>
      </c>
      <c r="N20">
        <v>4.1E-5</v>
      </c>
      <c r="O20">
        <v>3.9999999999999998E-6</v>
      </c>
      <c r="P20">
        <v>6.3999999999999997E-5</v>
      </c>
      <c r="Q20">
        <v>2.6999999999999999E-5</v>
      </c>
      <c r="R20">
        <v>1E-4</v>
      </c>
      <c r="S20">
        <v>8.7999999999999998E-5</v>
      </c>
      <c r="T20">
        <v>3.0249999999999999E-3</v>
      </c>
      <c r="U20">
        <v>1.12E-4</v>
      </c>
      <c r="V20">
        <v>6.2000000000000003E-5</v>
      </c>
      <c r="W20">
        <v>7.3999999999999996E-5</v>
      </c>
      <c r="X20">
        <v>4.3999999999999999E-5</v>
      </c>
      <c r="Y20">
        <v>5.3999999999999998E-5</v>
      </c>
      <c r="Z20">
        <v>1.1900000000000001E-4</v>
      </c>
      <c r="AA20">
        <v>1.02E-4</v>
      </c>
      <c r="AB20">
        <v>2.99E-4</v>
      </c>
      <c r="AC20">
        <v>4.1089999999999998E-3</v>
      </c>
      <c r="AD20">
        <v>2.859E-3</v>
      </c>
      <c r="AE20">
        <v>3.1000000000000001E-5</v>
      </c>
      <c r="AF20">
        <v>1.0000000000000001E-5</v>
      </c>
      <c r="AG20">
        <v>3.4999999999999997E-5</v>
      </c>
      <c r="AH20">
        <v>1.926E-3</v>
      </c>
      <c r="AI20">
        <v>5.7000000000000003E-5</v>
      </c>
      <c r="AJ20">
        <v>1.44E-4</v>
      </c>
      <c r="AK20">
        <v>4.1E-5</v>
      </c>
      <c r="AL20">
        <v>8.2999999999999998E-5</v>
      </c>
      <c r="AM20">
        <v>8.2000000000000001E-5</v>
      </c>
      <c r="AN20">
        <v>7.3999999999999996E-5</v>
      </c>
      <c r="AO20">
        <v>1.07E-4</v>
      </c>
      <c r="AP20">
        <v>4.0000000000000003E-5</v>
      </c>
      <c r="AQ20">
        <v>4.6E-5</v>
      </c>
      <c r="AR20">
        <v>7.2000000000000002E-5</v>
      </c>
      <c r="AS20">
        <v>4.6999999999999997E-5</v>
      </c>
      <c r="AT20">
        <v>4.5000000000000003E-5</v>
      </c>
      <c r="AU20">
        <v>4.3000000000000002E-5</v>
      </c>
      <c r="AV20">
        <v>2.8E-5</v>
      </c>
      <c r="AW20">
        <v>2.3E-5</v>
      </c>
      <c r="AX20">
        <v>1.5E-5</v>
      </c>
      <c r="AY20">
        <v>5.8E-5</v>
      </c>
      <c r="AZ20">
        <v>4.8000000000000001E-5</v>
      </c>
      <c r="BA20">
        <v>4.3999999999999999E-5</v>
      </c>
      <c r="BB20">
        <v>5.1999999999999997E-5</v>
      </c>
      <c r="BC20">
        <v>1.2300000000000001E-4</v>
      </c>
    </row>
    <row r="21" spans="1:55">
      <c r="A21" t="s">
        <v>21</v>
      </c>
      <c r="B21">
        <v>2.5500000000000002E-4</v>
      </c>
      <c r="C21">
        <v>1.869E-3</v>
      </c>
      <c r="D21">
        <v>6.4499999999999996E-4</v>
      </c>
      <c r="E21">
        <v>0</v>
      </c>
      <c r="F21">
        <v>5.1E-5</v>
      </c>
      <c r="G21">
        <v>4.0829999999999998E-3</v>
      </c>
      <c r="H21">
        <v>1.6000000000000001E-4</v>
      </c>
      <c r="I21">
        <v>1.8599999999999999E-4</v>
      </c>
      <c r="J21">
        <v>7.7000000000000001E-5</v>
      </c>
      <c r="K21">
        <v>1.64E-3</v>
      </c>
      <c r="L21">
        <v>6.2259999999999998E-3</v>
      </c>
      <c r="M21">
        <v>0</v>
      </c>
      <c r="N21">
        <v>4.0700000000000003E-4</v>
      </c>
      <c r="O21">
        <v>2.8E-5</v>
      </c>
      <c r="P21">
        <v>6.2600000000000004E-4</v>
      </c>
      <c r="Q21">
        <v>1.44E-4</v>
      </c>
      <c r="R21">
        <v>2.5089999999999999E-3</v>
      </c>
      <c r="S21">
        <v>3.5560000000000001E-3</v>
      </c>
      <c r="T21">
        <v>9.2500000000000004E-4</v>
      </c>
      <c r="U21">
        <v>0.18354699999999999</v>
      </c>
      <c r="V21">
        <v>9.3999999999999997E-4</v>
      </c>
      <c r="W21">
        <v>1.7329999999999999E-3</v>
      </c>
      <c r="X21">
        <v>1.3320000000000001E-3</v>
      </c>
      <c r="Y21">
        <v>8.9300000000000002E-4</v>
      </c>
      <c r="Z21">
        <v>3.019E-3</v>
      </c>
      <c r="AA21">
        <v>6.4899999999999995E-4</v>
      </c>
      <c r="AB21">
        <v>2.0830000000000002E-3</v>
      </c>
      <c r="AC21">
        <v>5.1390000000000003E-3</v>
      </c>
      <c r="AD21">
        <v>2.0040000000000001E-3</v>
      </c>
      <c r="AE21">
        <v>1.21E-4</v>
      </c>
      <c r="AF21">
        <v>2.2100000000000001E-4</v>
      </c>
      <c r="AG21">
        <v>3.79E-4</v>
      </c>
      <c r="AH21">
        <v>2.9299999999999999E-3</v>
      </c>
      <c r="AI21">
        <v>7.2909999999999997E-3</v>
      </c>
      <c r="AJ21">
        <v>1.2394000000000001E-2</v>
      </c>
      <c r="AK21">
        <v>1.39E-3</v>
      </c>
      <c r="AL21">
        <v>5.4799999999999998E-4</v>
      </c>
      <c r="AM21">
        <v>9.4399999999999996E-4</v>
      </c>
      <c r="AN21">
        <v>2.173E-3</v>
      </c>
      <c r="AO21">
        <v>6.3199999999999997E-4</v>
      </c>
      <c r="AP21">
        <v>1.3270000000000001E-3</v>
      </c>
      <c r="AQ21">
        <v>9.6900000000000003E-4</v>
      </c>
      <c r="AR21">
        <v>5.7300000000000005E-4</v>
      </c>
      <c r="AS21">
        <v>1.7852E-2</v>
      </c>
      <c r="AT21">
        <v>3.8609999999999998E-3</v>
      </c>
      <c r="AU21">
        <v>1.1762E-2</v>
      </c>
      <c r="AV21">
        <v>5.1710000000000002E-3</v>
      </c>
      <c r="AW21">
        <v>5.326E-3</v>
      </c>
      <c r="AX21">
        <v>1.8569999999999999E-3</v>
      </c>
      <c r="AY21">
        <v>9.5149999999999992E-3</v>
      </c>
      <c r="AZ21">
        <v>9.1690000000000001E-3</v>
      </c>
      <c r="BA21">
        <v>1.8291999999999999E-2</v>
      </c>
      <c r="BB21">
        <v>2.0969999999999999E-3</v>
      </c>
      <c r="BC21">
        <v>3.7820000000000002E-3</v>
      </c>
    </row>
    <row r="22" spans="1:55">
      <c r="A22" t="s">
        <v>22</v>
      </c>
      <c r="B22">
        <v>5.1400000000000001E-2</v>
      </c>
      <c r="C22">
        <v>7.8366000000000005E-2</v>
      </c>
      <c r="D22">
        <v>9.1983999999999996E-2</v>
      </c>
      <c r="E22">
        <v>3.3036999999999997E-2</v>
      </c>
      <c r="F22">
        <v>1.8438E-2</v>
      </c>
      <c r="G22">
        <v>2.7653E-2</v>
      </c>
      <c r="H22">
        <v>5.0350000000000004E-3</v>
      </c>
      <c r="I22">
        <v>3.9399999999999998E-4</v>
      </c>
      <c r="J22">
        <v>1.573E-3</v>
      </c>
      <c r="K22">
        <v>3.1199999999999999E-4</v>
      </c>
      <c r="L22">
        <v>1.1701E-2</v>
      </c>
      <c r="M22">
        <v>0</v>
      </c>
      <c r="N22">
        <v>3.6581000000000002E-2</v>
      </c>
      <c r="O22">
        <v>3.6099999999999999E-4</v>
      </c>
      <c r="P22">
        <v>5.1219999999999998E-3</v>
      </c>
      <c r="Q22">
        <v>0</v>
      </c>
      <c r="R22">
        <v>0.16137299999999999</v>
      </c>
      <c r="S22">
        <v>0.104849</v>
      </c>
      <c r="T22">
        <v>5.2734000000000003E-2</v>
      </c>
      <c r="U22">
        <v>5.4468999999999997E-2</v>
      </c>
      <c r="V22">
        <v>0.112091</v>
      </c>
      <c r="W22">
        <v>8.7486999999999995E-2</v>
      </c>
      <c r="X22">
        <v>4.3661999999999999E-2</v>
      </c>
      <c r="Y22">
        <v>7.9135999999999998E-2</v>
      </c>
      <c r="Z22">
        <v>5.2839999999999998E-2</v>
      </c>
      <c r="AA22">
        <v>5.117E-3</v>
      </c>
      <c r="AB22">
        <v>1.6815E-2</v>
      </c>
      <c r="AC22">
        <v>6.5397999999999998E-2</v>
      </c>
      <c r="AD22">
        <v>7.5039999999999996E-2</v>
      </c>
      <c r="AE22">
        <v>2.6120000000000002E-3</v>
      </c>
      <c r="AF22">
        <v>1.5699999999999999E-4</v>
      </c>
      <c r="AG22">
        <v>0.128135</v>
      </c>
      <c r="AH22">
        <v>9.8960000000000003E-3</v>
      </c>
      <c r="AI22">
        <v>5.6839999999999998E-3</v>
      </c>
      <c r="AJ22">
        <v>4.496E-3</v>
      </c>
      <c r="AK22">
        <v>3.2859999999999999E-3</v>
      </c>
      <c r="AL22">
        <v>1.768E-3</v>
      </c>
      <c r="AM22">
        <v>4.947E-3</v>
      </c>
      <c r="AN22">
        <v>7.5129999999999997E-3</v>
      </c>
      <c r="AO22">
        <v>6.02E-4</v>
      </c>
      <c r="AP22">
        <v>1.5529999999999999E-3</v>
      </c>
      <c r="AQ22">
        <v>4.235E-3</v>
      </c>
      <c r="AR22">
        <v>9.7099999999999997E-4</v>
      </c>
      <c r="AS22">
        <v>2.8960000000000001E-3</v>
      </c>
      <c r="AT22">
        <v>1.946E-3</v>
      </c>
      <c r="AU22">
        <v>5.1409999999999997E-3</v>
      </c>
      <c r="AV22">
        <v>2.0709999999999999E-3</v>
      </c>
      <c r="AW22">
        <v>1.108E-3</v>
      </c>
      <c r="AX22">
        <v>1.5100000000000001E-3</v>
      </c>
      <c r="AY22">
        <v>9.9069999999999991E-3</v>
      </c>
      <c r="AZ22">
        <v>6.5770000000000004E-3</v>
      </c>
      <c r="BA22">
        <v>2.0494999999999999E-2</v>
      </c>
      <c r="BB22">
        <v>0.122434</v>
      </c>
      <c r="BC22">
        <v>4.2354000000000003E-2</v>
      </c>
    </row>
    <row r="23" spans="1:55">
      <c r="A23" t="s">
        <v>23</v>
      </c>
      <c r="B23">
        <v>4.1599999999999997E-4</v>
      </c>
      <c r="C23">
        <v>1.281E-3</v>
      </c>
      <c r="D23">
        <v>4.7899999999999999E-4</v>
      </c>
      <c r="E23">
        <v>0</v>
      </c>
      <c r="F23">
        <v>1.0293999999999999E-2</v>
      </c>
      <c r="G23">
        <v>9.0419999999999997E-3</v>
      </c>
      <c r="H23">
        <v>1.47E-4</v>
      </c>
      <c r="I23">
        <v>1.7899999999999999E-4</v>
      </c>
      <c r="J23">
        <v>1.6799999999999999E-4</v>
      </c>
      <c r="K23">
        <v>1.22E-4</v>
      </c>
      <c r="L23">
        <v>7.1599999999999995E-4</v>
      </c>
      <c r="M23">
        <v>0</v>
      </c>
      <c r="N23">
        <v>4.0400000000000001E-4</v>
      </c>
      <c r="O23">
        <v>3.4999999999999997E-5</v>
      </c>
      <c r="P23">
        <v>2.8600000000000001E-4</v>
      </c>
      <c r="Q23">
        <v>8.6000000000000003E-5</v>
      </c>
      <c r="R23">
        <v>5.1399999999999996E-3</v>
      </c>
      <c r="S23">
        <v>1.4097999999999999E-2</v>
      </c>
      <c r="T23">
        <v>2.8809999999999999E-3</v>
      </c>
      <c r="U23">
        <v>1.949E-3</v>
      </c>
      <c r="V23">
        <v>1.753E-3</v>
      </c>
      <c r="W23">
        <v>5.6487999999999997E-2</v>
      </c>
      <c r="X23">
        <v>3.9599999999999998E-4</v>
      </c>
      <c r="Y23">
        <v>4.1599999999999997E-4</v>
      </c>
      <c r="Z23">
        <v>8.6569999999999998E-3</v>
      </c>
      <c r="AA23">
        <v>1.2030000000000001E-3</v>
      </c>
      <c r="AB23">
        <v>1.9227999999999999E-2</v>
      </c>
      <c r="AC23">
        <v>2.7491999999999999E-2</v>
      </c>
      <c r="AD23">
        <v>1.4741000000000001E-2</v>
      </c>
      <c r="AE23">
        <v>4.8799999999999999E-4</v>
      </c>
      <c r="AF23">
        <v>6.3E-5</v>
      </c>
      <c r="AG23">
        <v>7.3399999999999995E-4</v>
      </c>
      <c r="AH23">
        <v>1.8030999999999998E-2</v>
      </c>
      <c r="AI23">
        <v>8.0459999999999993E-3</v>
      </c>
      <c r="AJ23">
        <v>1.0618000000000001E-2</v>
      </c>
      <c r="AK23">
        <v>1.32E-3</v>
      </c>
      <c r="AL23">
        <v>1.2931E-2</v>
      </c>
      <c r="AM23">
        <v>7.705E-3</v>
      </c>
      <c r="AN23">
        <v>5.9129999999999999E-3</v>
      </c>
      <c r="AO23">
        <v>1.1384E-2</v>
      </c>
      <c r="AP23">
        <v>5.45E-3</v>
      </c>
      <c r="AQ23">
        <v>3.6000000000000002E-4</v>
      </c>
      <c r="AR23">
        <v>7.76E-4</v>
      </c>
      <c r="AS23">
        <v>6.2299999999999996E-4</v>
      </c>
      <c r="AT23">
        <v>2.6549999999999998E-3</v>
      </c>
      <c r="AU23">
        <v>2.5349999999999999E-3</v>
      </c>
      <c r="AV23">
        <v>3.3540000000000002E-3</v>
      </c>
      <c r="AW23">
        <v>3.0569999999999998E-3</v>
      </c>
      <c r="AX23">
        <v>1.397E-3</v>
      </c>
      <c r="AY23">
        <v>4.13E-3</v>
      </c>
      <c r="AZ23">
        <v>1.103E-3</v>
      </c>
      <c r="BA23">
        <v>2.99E-3</v>
      </c>
      <c r="BB23">
        <v>2.4130000000000002E-3</v>
      </c>
      <c r="BC23">
        <v>3.2070000000000002E-3</v>
      </c>
    </row>
    <row r="24" spans="1:55">
      <c r="A24" t="s">
        <v>24</v>
      </c>
      <c r="B24">
        <v>9.9999999999999995E-7</v>
      </c>
      <c r="C24">
        <v>3.0000000000000001E-6</v>
      </c>
      <c r="D24">
        <v>3.5500000000000001E-4</v>
      </c>
      <c r="E24">
        <v>0</v>
      </c>
      <c r="F24">
        <v>9.9999999999999995E-7</v>
      </c>
      <c r="G24">
        <v>6.3299999999999999E-4</v>
      </c>
      <c r="H24">
        <v>9.9999999999999995E-7</v>
      </c>
      <c r="I24">
        <v>9.9999999999999995E-7</v>
      </c>
      <c r="J24">
        <v>1.9999999999999999E-6</v>
      </c>
      <c r="K24">
        <v>0</v>
      </c>
      <c r="L24">
        <v>1.9999999999999999E-6</v>
      </c>
      <c r="M24">
        <v>0</v>
      </c>
      <c r="N24">
        <v>9.9999999999999995E-7</v>
      </c>
      <c r="O24">
        <v>3.2499999999999999E-4</v>
      </c>
      <c r="P24">
        <v>6.7000000000000002E-5</v>
      </c>
      <c r="Q24">
        <v>0</v>
      </c>
      <c r="R24">
        <v>4.26E-4</v>
      </c>
      <c r="S24">
        <v>9.0000000000000006E-5</v>
      </c>
      <c r="T24">
        <v>2.1719999999999999E-3</v>
      </c>
      <c r="U24">
        <v>4.6999999999999997E-5</v>
      </c>
      <c r="V24">
        <v>2.8200000000000002E-4</v>
      </c>
      <c r="W24">
        <v>1.5809999999999999E-3</v>
      </c>
      <c r="X24">
        <v>3.1869000000000001E-2</v>
      </c>
      <c r="Y24">
        <v>6.9800000000000005E-4</v>
      </c>
      <c r="Z24">
        <v>1.124E-3</v>
      </c>
      <c r="AA24">
        <v>4.5000000000000003E-5</v>
      </c>
      <c r="AB24">
        <v>1.359E-3</v>
      </c>
      <c r="AC24">
        <v>4.7010000000000003E-3</v>
      </c>
      <c r="AD24">
        <v>1.1096999999999999E-2</v>
      </c>
      <c r="AE24">
        <v>4.8000000000000001E-5</v>
      </c>
      <c r="AF24">
        <v>0</v>
      </c>
      <c r="AG24">
        <v>5.6599999999999999E-4</v>
      </c>
      <c r="AH24">
        <v>1.6791E-2</v>
      </c>
      <c r="AI24">
        <v>9.6000000000000002E-5</v>
      </c>
      <c r="AJ24">
        <v>1E-4</v>
      </c>
      <c r="AK24">
        <v>1.2206E-2</v>
      </c>
      <c r="AL24">
        <v>2.013E-3</v>
      </c>
      <c r="AM24">
        <v>1.204E-3</v>
      </c>
      <c r="AN24">
        <v>1.0000000000000001E-5</v>
      </c>
      <c r="AO24">
        <v>1.8E-5</v>
      </c>
      <c r="AP24">
        <v>2.0000000000000002E-5</v>
      </c>
      <c r="AQ24">
        <v>9.9999999999999995E-7</v>
      </c>
      <c r="AR24">
        <v>1.9999999999999999E-6</v>
      </c>
      <c r="AS24">
        <v>3.9999999999999998E-6</v>
      </c>
      <c r="AT24">
        <v>1.1E-5</v>
      </c>
      <c r="AU24">
        <v>0</v>
      </c>
      <c r="AV24">
        <v>9.9999999999999995E-7</v>
      </c>
      <c r="AW24">
        <v>1.9999999999999999E-6</v>
      </c>
      <c r="AX24">
        <v>3.7910000000000001E-3</v>
      </c>
      <c r="AY24">
        <v>1.1199999999999999E-3</v>
      </c>
      <c r="AZ24">
        <v>7.2800000000000002E-4</v>
      </c>
      <c r="BA24">
        <v>4.7140000000000003E-3</v>
      </c>
      <c r="BB24">
        <v>2.722E-3</v>
      </c>
      <c r="BC24">
        <v>4.3920000000000001E-3</v>
      </c>
    </row>
    <row r="25" spans="1:55">
      <c r="A25" t="s">
        <v>25</v>
      </c>
      <c r="B25">
        <v>0</v>
      </c>
      <c r="C25">
        <v>0</v>
      </c>
      <c r="D25">
        <v>2.0599999999999999E-4</v>
      </c>
      <c r="E25">
        <v>0</v>
      </c>
      <c r="F25">
        <v>9.9999999999999995E-7</v>
      </c>
      <c r="G25">
        <v>0</v>
      </c>
      <c r="H25">
        <v>0</v>
      </c>
      <c r="I25">
        <v>0</v>
      </c>
      <c r="J25">
        <v>0</v>
      </c>
      <c r="K25">
        <v>0</v>
      </c>
      <c r="L25">
        <v>0</v>
      </c>
      <c r="M25">
        <v>0</v>
      </c>
      <c r="N25">
        <v>0</v>
      </c>
      <c r="O25">
        <v>0</v>
      </c>
      <c r="P25">
        <v>1.7E-5</v>
      </c>
      <c r="Q25">
        <v>0</v>
      </c>
      <c r="R25">
        <v>7.1000000000000005E-5</v>
      </c>
      <c r="S25">
        <v>1.9000000000000001E-5</v>
      </c>
      <c r="T25">
        <v>3.6000000000000001E-5</v>
      </c>
      <c r="U25">
        <v>4.2999999999999999E-4</v>
      </c>
      <c r="V25">
        <v>3.3000000000000003E-5</v>
      </c>
      <c r="W25">
        <v>1.7E-5</v>
      </c>
      <c r="X25">
        <v>1.3200000000000001E-4</v>
      </c>
      <c r="Y25">
        <v>8.6119999999999999E-3</v>
      </c>
      <c r="Z25">
        <v>4.7410000000000004E-3</v>
      </c>
      <c r="AA25">
        <v>5.1000000000000004E-4</v>
      </c>
      <c r="AB25">
        <v>1.5820000000000001E-3</v>
      </c>
      <c r="AC25">
        <v>9.4300000000000004E-4</v>
      </c>
      <c r="AD25">
        <v>3.836E-3</v>
      </c>
      <c r="AE25">
        <v>0</v>
      </c>
      <c r="AF25">
        <v>0</v>
      </c>
      <c r="AG25">
        <v>0</v>
      </c>
      <c r="AH25">
        <v>1.083E-3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0</v>
      </c>
      <c r="BB25">
        <v>9.9999999999999995E-7</v>
      </c>
      <c r="BC25">
        <v>9.9999999999999995E-7</v>
      </c>
    </row>
    <row r="26" spans="1:55">
      <c r="A26" t="s">
        <v>26</v>
      </c>
      <c r="B26">
        <v>2.0900000000000001E-4</v>
      </c>
      <c r="C26">
        <v>9.1000000000000003E-5</v>
      </c>
      <c r="D26">
        <v>2.1100000000000001E-4</v>
      </c>
      <c r="E26">
        <v>0</v>
      </c>
      <c r="F26">
        <v>9.0000000000000002E-6</v>
      </c>
      <c r="G26">
        <v>2E-3</v>
      </c>
      <c r="H26">
        <v>1.1E-5</v>
      </c>
      <c r="I26">
        <v>2.4000000000000001E-5</v>
      </c>
      <c r="J26">
        <v>6.9999999999999999E-6</v>
      </c>
      <c r="K26">
        <v>1.21E-4</v>
      </c>
      <c r="L26">
        <v>1.4450000000000001E-3</v>
      </c>
      <c r="M26">
        <v>0</v>
      </c>
      <c r="N26">
        <v>1.0839999999999999E-3</v>
      </c>
      <c r="O26">
        <v>5.1999999999999997E-5</v>
      </c>
      <c r="P26">
        <v>4.3999999999999999E-5</v>
      </c>
      <c r="Q26">
        <v>0</v>
      </c>
      <c r="R26">
        <v>6.4499999999999996E-4</v>
      </c>
      <c r="S26">
        <v>1.237E-3</v>
      </c>
      <c r="T26">
        <v>7.8200000000000003E-4</v>
      </c>
      <c r="U26">
        <v>5.5800000000000001E-4</v>
      </c>
      <c r="V26">
        <v>2.14E-4</v>
      </c>
      <c r="W26">
        <v>3.8200000000000002E-4</v>
      </c>
      <c r="X26">
        <v>6.8999999999999997E-4</v>
      </c>
      <c r="Y26">
        <v>7.6199999999999998E-4</v>
      </c>
      <c r="Z26">
        <v>2.5554E-2</v>
      </c>
      <c r="AA26">
        <v>1.3731999999999999E-2</v>
      </c>
      <c r="AB26">
        <v>6.8929999999999998E-3</v>
      </c>
      <c r="AC26">
        <v>5.4549999999999998E-3</v>
      </c>
      <c r="AD26">
        <v>4.7949999999999998E-3</v>
      </c>
      <c r="AE26">
        <v>8.9800000000000004E-4</v>
      </c>
      <c r="AF26">
        <v>0</v>
      </c>
      <c r="AG26">
        <v>1.0809999999999999E-3</v>
      </c>
      <c r="AH26">
        <v>2.4299999999999999E-3</v>
      </c>
      <c r="AI26">
        <v>5.0460000000000001E-3</v>
      </c>
      <c r="AJ26">
        <v>1.0200000000000001E-3</v>
      </c>
      <c r="AK26">
        <v>2.6329999999999999E-3</v>
      </c>
      <c r="AL26">
        <v>1.0859999999999999E-3</v>
      </c>
      <c r="AM26">
        <v>2.34E-4</v>
      </c>
      <c r="AN26">
        <v>2.9300000000000002E-4</v>
      </c>
      <c r="AO26">
        <v>1.4E-5</v>
      </c>
      <c r="AP26">
        <v>3.4900000000000003E-4</v>
      </c>
      <c r="AQ26">
        <v>2.05E-4</v>
      </c>
      <c r="AR26">
        <v>4.1E-5</v>
      </c>
      <c r="AS26">
        <v>3.4589999999999998E-3</v>
      </c>
      <c r="AT26">
        <v>4.9600000000000002E-4</v>
      </c>
      <c r="AU26">
        <v>2.1699999999999999E-4</v>
      </c>
      <c r="AV26">
        <v>1E-4</v>
      </c>
      <c r="AW26">
        <v>3.1000000000000001E-5</v>
      </c>
      <c r="AX26">
        <v>1.8599999999999999E-4</v>
      </c>
      <c r="AY26">
        <v>2.8700000000000002E-3</v>
      </c>
      <c r="AZ26">
        <v>4.5600000000000003E-4</v>
      </c>
      <c r="BA26">
        <v>2.0070000000000001E-3</v>
      </c>
      <c r="BB26">
        <v>2.6199999999999999E-3</v>
      </c>
      <c r="BC26">
        <v>2.3410000000000002E-3</v>
      </c>
    </row>
    <row r="27" spans="1:55">
      <c r="A27" t="s">
        <v>27</v>
      </c>
      <c r="B27">
        <v>0</v>
      </c>
      <c r="C27">
        <v>0</v>
      </c>
      <c r="D27">
        <v>3.7599999999999998E-4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1.1400000000000001E-4</v>
      </c>
      <c r="D28">
        <v>1.1479999999999999E-3</v>
      </c>
      <c r="E28">
        <v>4.2900000000000002E-4</v>
      </c>
      <c r="F28">
        <v>3.0000000000000001E-6</v>
      </c>
      <c r="G28">
        <v>4.1800000000000002E-4</v>
      </c>
      <c r="H28">
        <v>3.9999999999999998E-6</v>
      </c>
      <c r="I28">
        <v>1.3999999999999999E-4</v>
      </c>
      <c r="J28">
        <v>2.32E-4</v>
      </c>
      <c r="K28">
        <v>5.5999999999999999E-5</v>
      </c>
      <c r="L28">
        <v>2.9300000000000002E-4</v>
      </c>
      <c r="M28">
        <v>0</v>
      </c>
      <c r="N28">
        <v>3.1500000000000001E-4</v>
      </c>
      <c r="O28">
        <v>4.8000000000000001E-5</v>
      </c>
      <c r="P28">
        <v>6.4999999999999994E-5</v>
      </c>
      <c r="Q28">
        <v>0</v>
      </c>
      <c r="R28">
        <v>2.8800000000000001E-4</v>
      </c>
      <c r="S28">
        <v>2.2100000000000001E-4</v>
      </c>
      <c r="T28">
        <v>1.2899999999999999E-4</v>
      </c>
      <c r="U28">
        <v>2.3800000000000001E-4</v>
      </c>
      <c r="V28">
        <v>1.12E-4</v>
      </c>
      <c r="W28">
        <v>1.8100000000000001E-4</v>
      </c>
      <c r="X28">
        <v>1.16E-4</v>
      </c>
      <c r="Y28">
        <v>1.9000000000000001E-4</v>
      </c>
      <c r="Z28">
        <v>2.8800000000000001E-4</v>
      </c>
      <c r="AA28">
        <v>8.2000000000000001E-5</v>
      </c>
      <c r="AB28">
        <v>1.5959000000000001E-2</v>
      </c>
      <c r="AC28">
        <v>2.14E-4</v>
      </c>
      <c r="AD28">
        <v>3.6200000000000002E-4</v>
      </c>
      <c r="AE28">
        <v>1.0000000000000001E-5</v>
      </c>
      <c r="AF28">
        <v>1.07E-4</v>
      </c>
      <c r="AG28">
        <v>2.1699999999999999E-4</v>
      </c>
      <c r="AH28">
        <v>2.8899999999999998E-4</v>
      </c>
      <c r="AI28">
        <v>7.94E-4</v>
      </c>
      <c r="AJ28">
        <v>3.1599999999999998E-4</v>
      </c>
      <c r="AK28">
        <v>9.2999999999999997E-5</v>
      </c>
      <c r="AL28">
        <v>2.4299999999999999E-3</v>
      </c>
      <c r="AM28">
        <v>3.0699999999999998E-4</v>
      </c>
      <c r="AN28">
        <v>1.7880000000000001E-3</v>
      </c>
      <c r="AO28">
        <v>2.9429999999999999E-3</v>
      </c>
      <c r="AP28">
        <v>3.9599999999999998E-4</v>
      </c>
      <c r="AQ28">
        <v>6.8999999999999997E-5</v>
      </c>
      <c r="AR28">
        <v>1.6100000000000001E-4</v>
      </c>
      <c r="AS28">
        <v>6.6000000000000005E-5</v>
      </c>
      <c r="AT28">
        <v>1.7000000000000001E-4</v>
      </c>
      <c r="AU28">
        <v>1.2799999999999999E-4</v>
      </c>
      <c r="AV28">
        <v>2.1000000000000001E-4</v>
      </c>
      <c r="AW28">
        <v>9.2999999999999997E-5</v>
      </c>
      <c r="AX28">
        <v>1.05E-4</v>
      </c>
      <c r="AY28">
        <v>6.8000000000000005E-4</v>
      </c>
      <c r="AZ28">
        <v>9.6000000000000002E-5</v>
      </c>
      <c r="BA28">
        <v>9.7E-5</v>
      </c>
      <c r="BB28">
        <v>1.0399999999999999E-4</v>
      </c>
      <c r="BC28">
        <v>8.1000000000000004E-5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5.7000000000000003E-5</v>
      </c>
      <c r="Q29">
        <v>0</v>
      </c>
      <c r="R29">
        <v>5.3000000000000001E-5</v>
      </c>
      <c r="S29">
        <v>2.2699999999999999E-4</v>
      </c>
      <c r="T29">
        <v>3.8999999999999999E-5</v>
      </c>
      <c r="U29">
        <v>1.4200000000000001E-4</v>
      </c>
      <c r="V29">
        <v>5.0000000000000004E-6</v>
      </c>
      <c r="W29">
        <v>1.1E-5</v>
      </c>
      <c r="X29">
        <v>9.9999999999999995E-7</v>
      </c>
      <c r="Y29">
        <v>1.9999999999999999E-6</v>
      </c>
      <c r="Z29">
        <v>5.0000000000000004E-6</v>
      </c>
      <c r="AA29">
        <v>3.9999999999999998E-6</v>
      </c>
      <c r="AB29">
        <v>1.2999999999999999E-5</v>
      </c>
      <c r="AC29">
        <v>1.5790000000000001E-3</v>
      </c>
      <c r="AD29">
        <v>3.6600000000000001E-4</v>
      </c>
      <c r="AE29">
        <v>0</v>
      </c>
      <c r="AF29">
        <v>0</v>
      </c>
      <c r="AG29">
        <v>1.9999999999999999E-6</v>
      </c>
      <c r="AH29">
        <v>1.45E-4</v>
      </c>
      <c r="AI29">
        <v>1.9999999999999999E-6</v>
      </c>
      <c r="AJ29">
        <v>1.9999999999999999E-6</v>
      </c>
      <c r="AK29">
        <v>3.0000000000000001E-6</v>
      </c>
      <c r="AL29">
        <v>3.9999999999999998E-6</v>
      </c>
      <c r="AM29">
        <v>2.8E-5</v>
      </c>
      <c r="AN29">
        <v>1.0000000000000001E-5</v>
      </c>
      <c r="AO29">
        <v>1.7E-5</v>
      </c>
      <c r="AP29">
        <v>9.0000000000000002E-6</v>
      </c>
      <c r="AQ29">
        <v>2.1000000000000001E-4</v>
      </c>
      <c r="AR29">
        <v>7.9999999999999996E-6</v>
      </c>
      <c r="AS29">
        <v>9.9999999999999995E-7</v>
      </c>
      <c r="AT29">
        <v>1.6100000000000001E-4</v>
      </c>
      <c r="AU29">
        <v>7.7000000000000001E-5</v>
      </c>
      <c r="AV29">
        <v>6.6000000000000005E-5</v>
      </c>
      <c r="AW29">
        <v>1.3200000000000001E-4</v>
      </c>
      <c r="AX29">
        <v>6.9999999999999999E-6</v>
      </c>
      <c r="AY29">
        <v>1.2799999999999999E-4</v>
      </c>
      <c r="AZ29">
        <v>9.9999999999999995E-7</v>
      </c>
      <c r="BA29">
        <v>1.8100000000000001E-4</v>
      </c>
      <c r="BB29">
        <v>1.3300000000000001E-4</v>
      </c>
      <c r="BC29">
        <v>3.3100000000000002E-4</v>
      </c>
    </row>
    <row r="30" spans="1:55">
      <c r="A30" t="s">
        <v>30</v>
      </c>
      <c r="B30">
        <v>6.3E-5</v>
      </c>
      <c r="C30">
        <v>4.7199999999999998E-4</v>
      </c>
      <c r="D30">
        <v>8.6499999999999999E-4</v>
      </c>
      <c r="E30">
        <v>5.9969999999999997E-3</v>
      </c>
      <c r="F30">
        <v>4.1999999999999998E-5</v>
      </c>
      <c r="G30">
        <v>1.441E-3</v>
      </c>
      <c r="H30">
        <v>4.1999999999999998E-5</v>
      </c>
      <c r="I30">
        <v>1.4200000000000001E-4</v>
      </c>
      <c r="J30">
        <v>8.3299999999999997E-4</v>
      </c>
      <c r="K30">
        <v>1.7799999999999999E-4</v>
      </c>
      <c r="L30">
        <v>2.4699999999999999E-4</v>
      </c>
      <c r="M30">
        <v>0</v>
      </c>
      <c r="N30">
        <v>8.7999999999999998E-5</v>
      </c>
      <c r="O30">
        <v>4.6E-5</v>
      </c>
      <c r="P30">
        <v>5.7000000000000003E-5</v>
      </c>
      <c r="Q30">
        <v>0</v>
      </c>
      <c r="R30">
        <v>5.4799999999999998E-4</v>
      </c>
      <c r="S30">
        <v>1.25E-4</v>
      </c>
      <c r="T30">
        <v>9.6000000000000002E-5</v>
      </c>
      <c r="U30">
        <v>8.3999999999999995E-5</v>
      </c>
      <c r="V30">
        <v>3.19E-4</v>
      </c>
      <c r="W30">
        <v>7.8999999999999996E-5</v>
      </c>
      <c r="X30">
        <v>5.3000000000000001E-5</v>
      </c>
      <c r="Y30">
        <v>1.5200000000000001E-4</v>
      </c>
      <c r="Z30">
        <v>3.1599999999999998E-4</v>
      </c>
      <c r="AA30">
        <v>0</v>
      </c>
      <c r="AB30">
        <v>4.1999999999999998E-5</v>
      </c>
      <c r="AC30">
        <v>3.7500000000000001E-4</v>
      </c>
      <c r="AD30">
        <v>5.0020000000000004E-3</v>
      </c>
      <c r="AE30">
        <v>4.5000000000000003E-5</v>
      </c>
      <c r="AF30">
        <v>4.3100000000000001E-4</v>
      </c>
      <c r="AG30">
        <v>1.03E-4</v>
      </c>
      <c r="AH30">
        <v>1.02E-4</v>
      </c>
      <c r="AI30">
        <v>3.2200000000000002E-4</v>
      </c>
      <c r="AJ30">
        <v>6.78E-4</v>
      </c>
      <c r="AK30">
        <v>5.7869999999999996E-3</v>
      </c>
      <c r="AL30">
        <v>1.8E-5</v>
      </c>
      <c r="AM30">
        <v>2.947E-3</v>
      </c>
      <c r="AN30">
        <v>5.4019999999999997E-3</v>
      </c>
      <c r="AO30">
        <v>1.2899999999999999E-3</v>
      </c>
      <c r="AP30">
        <v>9.2E-5</v>
      </c>
      <c r="AQ30">
        <v>1.5300000000000001E-4</v>
      </c>
      <c r="AR30">
        <v>3.0000000000000001E-5</v>
      </c>
      <c r="AS30">
        <v>8.1800000000000004E-4</v>
      </c>
      <c r="AT30">
        <v>7.4100000000000001E-4</v>
      </c>
      <c r="AU30">
        <v>7.8200000000000003E-4</v>
      </c>
      <c r="AV30">
        <v>3.4400000000000001E-4</v>
      </c>
      <c r="AW30">
        <v>1.02E-4</v>
      </c>
      <c r="AX30">
        <v>2.42E-4</v>
      </c>
      <c r="AY30">
        <v>1.737E-3</v>
      </c>
      <c r="AZ30">
        <v>1.062E-3</v>
      </c>
      <c r="BA30">
        <v>1.7080000000000001E-3</v>
      </c>
      <c r="BB30">
        <v>6.0759999999999998E-3</v>
      </c>
      <c r="BC30">
        <v>4.202E-3</v>
      </c>
    </row>
    <row r="31" spans="1:55">
      <c r="A31" t="s">
        <v>31</v>
      </c>
      <c r="B31">
        <v>1.22E-4</v>
      </c>
      <c r="C31">
        <v>5.5400000000000002E-4</v>
      </c>
      <c r="D31">
        <v>6.4250000000000002E-3</v>
      </c>
      <c r="E31">
        <v>8.1530000000000005E-3</v>
      </c>
      <c r="F31">
        <v>3.0000000000000001E-6</v>
      </c>
      <c r="G31">
        <v>7.7899999999999996E-4</v>
      </c>
      <c r="H31">
        <v>2.8899999999999998E-4</v>
      </c>
      <c r="I31">
        <v>7.9500000000000003E-4</v>
      </c>
      <c r="J31">
        <v>6.87E-4</v>
      </c>
      <c r="K31">
        <v>6.9899999999999997E-4</v>
      </c>
      <c r="L31">
        <v>7.7099999999999998E-4</v>
      </c>
      <c r="M31">
        <v>0</v>
      </c>
      <c r="N31">
        <v>2.5000000000000001E-5</v>
      </c>
      <c r="O31">
        <v>3.77E-4</v>
      </c>
      <c r="P31">
        <v>9.5200000000000005E-4</v>
      </c>
      <c r="Q31">
        <v>0</v>
      </c>
      <c r="R31">
        <v>9.4529999999999996E-3</v>
      </c>
      <c r="S31">
        <v>8.0249999999999991E-3</v>
      </c>
      <c r="T31">
        <v>2.2750000000000001E-3</v>
      </c>
      <c r="U31">
        <v>8.0700000000000008E-3</v>
      </c>
      <c r="V31">
        <v>1.8209999999999999E-3</v>
      </c>
      <c r="W31">
        <v>3.2629999999999998E-3</v>
      </c>
      <c r="X31">
        <v>4.5329999999999997E-3</v>
      </c>
      <c r="Y31">
        <v>4.398E-3</v>
      </c>
      <c r="Z31">
        <v>5.8659999999999997E-3</v>
      </c>
      <c r="AA31">
        <v>1.255E-3</v>
      </c>
      <c r="AB31">
        <v>2.8289999999999999E-3</v>
      </c>
      <c r="AC31">
        <v>4.3899999999999998E-3</v>
      </c>
      <c r="AD31">
        <v>9.4230000000000008E-3</v>
      </c>
      <c r="AE31">
        <v>0.17192099999999999</v>
      </c>
      <c r="AF31">
        <v>2.0699999999999999E-4</v>
      </c>
      <c r="AG31">
        <v>2.9073000000000002E-2</v>
      </c>
      <c r="AH31">
        <v>8.1300000000000003E-4</v>
      </c>
      <c r="AI31">
        <v>6.0089999999999996E-3</v>
      </c>
      <c r="AJ31">
        <v>3.6480000000000002E-3</v>
      </c>
      <c r="AK31">
        <v>4.4247000000000002E-2</v>
      </c>
      <c r="AL31">
        <v>6.6299999999999996E-4</v>
      </c>
      <c r="AM31">
        <v>1.2459999999999999E-3</v>
      </c>
      <c r="AN31">
        <v>6.6559999999999996E-3</v>
      </c>
      <c r="AO31">
        <v>5.1400000000000003E-4</v>
      </c>
      <c r="AP31">
        <v>6.8900000000000003E-3</v>
      </c>
      <c r="AQ31">
        <v>4.117E-3</v>
      </c>
      <c r="AR31">
        <v>1.1150000000000001E-3</v>
      </c>
      <c r="AS31">
        <v>4.1359999999999999E-3</v>
      </c>
      <c r="AT31">
        <v>1.5009999999999999E-3</v>
      </c>
      <c r="AU31">
        <v>2.3860000000000001E-3</v>
      </c>
      <c r="AV31">
        <v>2.4380000000000001E-3</v>
      </c>
      <c r="AW31">
        <v>2.1069999999999999E-3</v>
      </c>
      <c r="AX31">
        <v>1.0499999999999999E-3</v>
      </c>
      <c r="AY31">
        <v>3.702E-3</v>
      </c>
      <c r="AZ31">
        <v>9.3530000000000002E-3</v>
      </c>
      <c r="BA31">
        <v>4.849E-3</v>
      </c>
      <c r="BB31">
        <v>6.5009999999999998E-3</v>
      </c>
      <c r="BC31">
        <v>8.6429999999999996E-3</v>
      </c>
    </row>
    <row r="32" spans="1:55">
      <c r="A32" t="s">
        <v>32</v>
      </c>
      <c r="B32">
        <v>0</v>
      </c>
      <c r="C32">
        <v>0</v>
      </c>
      <c r="D32">
        <v>1.4100000000000001E-4</v>
      </c>
      <c r="E32">
        <v>0</v>
      </c>
      <c r="F32">
        <v>0</v>
      </c>
      <c r="G32">
        <v>0</v>
      </c>
      <c r="H32">
        <v>0</v>
      </c>
      <c r="I32">
        <v>0</v>
      </c>
      <c r="J32">
        <v>9.0700000000000004E-4</v>
      </c>
      <c r="K32">
        <v>0</v>
      </c>
      <c r="L32">
        <v>0</v>
      </c>
      <c r="M32">
        <v>0</v>
      </c>
      <c r="N32">
        <v>9.0000000000000002E-6</v>
      </c>
      <c r="O32">
        <v>0</v>
      </c>
      <c r="P32">
        <v>1.2799999999999999E-4</v>
      </c>
      <c r="Q32">
        <v>0</v>
      </c>
      <c r="R32">
        <v>1.1529999999999999E-3</v>
      </c>
      <c r="S32">
        <v>7.7999999999999999E-4</v>
      </c>
      <c r="T32">
        <v>4.55E-4</v>
      </c>
      <c r="U32">
        <v>5.6099999999999998E-4</v>
      </c>
      <c r="V32">
        <v>4.5100000000000001E-4</v>
      </c>
      <c r="W32">
        <v>6.2100000000000002E-4</v>
      </c>
      <c r="X32">
        <v>1.371E-3</v>
      </c>
      <c r="Y32">
        <v>1.2440000000000001E-3</v>
      </c>
      <c r="Z32">
        <v>1.0560000000000001E-3</v>
      </c>
      <c r="AA32">
        <v>4.0200000000000001E-4</v>
      </c>
      <c r="AB32">
        <v>4.5399999999999998E-4</v>
      </c>
      <c r="AC32">
        <v>1.096E-3</v>
      </c>
      <c r="AD32">
        <v>1.1850000000000001E-3</v>
      </c>
      <c r="AE32">
        <v>4.6999999999999997E-5</v>
      </c>
      <c r="AF32">
        <v>1.9000000000000001E-4</v>
      </c>
      <c r="AG32">
        <v>3.1000000000000001E-5</v>
      </c>
      <c r="AH32">
        <v>1.0900000000000001E-4</v>
      </c>
      <c r="AI32">
        <v>0</v>
      </c>
      <c r="AJ32">
        <v>1.1E-5</v>
      </c>
      <c r="AK32">
        <v>0</v>
      </c>
      <c r="AL32">
        <v>3.5E-4</v>
      </c>
      <c r="AM32">
        <v>0</v>
      </c>
      <c r="AN32">
        <v>0</v>
      </c>
      <c r="AO32">
        <v>6.9999999999999999E-6</v>
      </c>
      <c r="AP32">
        <v>0</v>
      </c>
      <c r="AQ32">
        <v>2.9999999999999997E-4</v>
      </c>
      <c r="AR32">
        <v>5.0000000000000002E-5</v>
      </c>
      <c r="AS32">
        <v>0</v>
      </c>
      <c r="AT32">
        <v>0</v>
      </c>
      <c r="AU32">
        <v>0</v>
      </c>
      <c r="AV32">
        <v>0</v>
      </c>
      <c r="AW32">
        <v>0</v>
      </c>
      <c r="AX32">
        <v>0</v>
      </c>
      <c r="AY32">
        <v>1.1E-5</v>
      </c>
      <c r="AZ32">
        <v>1.8E-5</v>
      </c>
      <c r="BA32">
        <v>6.3999999999999997E-5</v>
      </c>
      <c r="BB32">
        <v>3.4999999999999997E-5</v>
      </c>
      <c r="BC32">
        <v>6.9999999999999999E-6</v>
      </c>
    </row>
    <row r="33" spans="1:55">
      <c r="A33" t="s">
        <v>33</v>
      </c>
      <c r="B33">
        <v>9.0000000000000002E-6</v>
      </c>
      <c r="C33">
        <v>6.4400000000000004E-4</v>
      </c>
      <c r="D33">
        <v>8.8400000000000002E-4</v>
      </c>
      <c r="E33">
        <v>0</v>
      </c>
      <c r="F33">
        <v>5.0000000000000004E-6</v>
      </c>
      <c r="G33">
        <v>6.9999999999999999E-6</v>
      </c>
      <c r="H33">
        <v>1.25E-4</v>
      </c>
      <c r="I33">
        <v>9.9999999999999995E-7</v>
      </c>
      <c r="J33">
        <v>6.8999999999999997E-5</v>
      </c>
      <c r="K33">
        <v>1.9000000000000001E-4</v>
      </c>
      <c r="L33">
        <v>8.2999999999999998E-5</v>
      </c>
      <c r="M33">
        <v>0</v>
      </c>
      <c r="N33">
        <v>1.2E-5</v>
      </c>
      <c r="O33">
        <v>6.0000000000000002E-6</v>
      </c>
      <c r="P33">
        <v>1.6699999999999999E-4</v>
      </c>
      <c r="Q33">
        <v>0</v>
      </c>
      <c r="R33">
        <v>1.1180000000000001E-3</v>
      </c>
      <c r="S33">
        <v>4.5199999999999998E-4</v>
      </c>
      <c r="T33">
        <v>1.5100000000000001E-4</v>
      </c>
      <c r="U33">
        <v>9.1699999999999995E-4</v>
      </c>
      <c r="V33">
        <v>3.2699999999999998E-4</v>
      </c>
      <c r="W33">
        <v>3.2000000000000003E-4</v>
      </c>
      <c r="X33">
        <v>7.8799999999999996E-4</v>
      </c>
      <c r="Y33">
        <v>1.0744999999999999E-2</v>
      </c>
      <c r="Z33">
        <v>2.34E-4</v>
      </c>
      <c r="AA33">
        <v>5.8E-5</v>
      </c>
      <c r="AB33">
        <v>5.1199999999999998E-4</v>
      </c>
      <c r="AC33">
        <v>3.8099999999999999E-4</v>
      </c>
      <c r="AD33">
        <v>3.8099999999999999E-4</v>
      </c>
      <c r="AE33">
        <v>1.9000000000000001E-5</v>
      </c>
      <c r="AF33">
        <v>1.0000000000000001E-5</v>
      </c>
      <c r="AG33">
        <v>2.9418E-2</v>
      </c>
      <c r="AH33">
        <v>8.1000000000000004E-5</v>
      </c>
      <c r="AI33">
        <v>8.6799999999999996E-4</v>
      </c>
      <c r="AJ33">
        <v>6.1399999999999996E-4</v>
      </c>
      <c r="AK33">
        <v>6.3999999999999997E-5</v>
      </c>
      <c r="AL33">
        <v>1.7E-5</v>
      </c>
      <c r="AM33">
        <v>9.7199999999999999E-4</v>
      </c>
      <c r="AN33">
        <v>4.6200000000000001E-4</v>
      </c>
      <c r="AO33">
        <v>6.0999999999999999E-5</v>
      </c>
      <c r="AP33">
        <v>5.7399999999999997E-4</v>
      </c>
      <c r="AQ33">
        <v>7.5799999999999999E-4</v>
      </c>
      <c r="AR33">
        <v>8.1000000000000004E-5</v>
      </c>
      <c r="AS33">
        <v>9.5000000000000005E-5</v>
      </c>
      <c r="AT33">
        <v>3.3000000000000003E-5</v>
      </c>
      <c r="AU33">
        <v>1.4E-5</v>
      </c>
      <c r="AV33">
        <v>9.1000000000000003E-5</v>
      </c>
      <c r="AW33">
        <v>1.1E-5</v>
      </c>
      <c r="AX33">
        <v>6.4999999999999994E-5</v>
      </c>
      <c r="AY33">
        <v>5.6099999999999998E-4</v>
      </c>
      <c r="AZ33">
        <v>3.7399999999999998E-4</v>
      </c>
      <c r="BA33">
        <v>4.95E-4</v>
      </c>
      <c r="BB33">
        <v>2.8930000000000002E-3</v>
      </c>
      <c r="BC33">
        <v>1.5200000000000001E-3</v>
      </c>
    </row>
    <row r="34" spans="1:55">
      <c r="A34" t="s">
        <v>34</v>
      </c>
      <c r="B34">
        <v>3.3231999999999998E-2</v>
      </c>
      <c r="C34">
        <v>2.3127000000000002E-2</v>
      </c>
      <c r="D34">
        <v>1.1919999999999999E-3</v>
      </c>
      <c r="E34">
        <v>1.449E-3</v>
      </c>
      <c r="F34">
        <v>1.1006999999999999E-2</v>
      </c>
      <c r="G34">
        <v>1.5681E-2</v>
      </c>
      <c r="H34">
        <v>1.854E-3</v>
      </c>
      <c r="I34">
        <v>4.6108000000000003E-2</v>
      </c>
      <c r="J34">
        <v>4.6220000000000002E-3</v>
      </c>
      <c r="K34">
        <v>2.0569E-2</v>
      </c>
      <c r="L34">
        <v>4.2269000000000001E-2</v>
      </c>
      <c r="M34">
        <v>0</v>
      </c>
      <c r="N34">
        <v>6.9026000000000004E-2</v>
      </c>
      <c r="O34">
        <v>9.9200000000000004E-4</v>
      </c>
      <c r="P34">
        <v>2.1499999999999999E-4</v>
      </c>
      <c r="Q34">
        <v>9.0000000000000002E-6</v>
      </c>
      <c r="R34">
        <v>1.4450000000000001E-3</v>
      </c>
      <c r="S34">
        <v>1.632E-3</v>
      </c>
      <c r="T34">
        <v>2.9599999999999998E-4</v>
      </c>
      <c r="U34">
        <v>2.4009999999999999E-3</v>
      </c>
      <c r="V34">
        <v>4.3999999999999999E-5</v>
      </c>
      <c r="W34">
        <v>6.6000000000000005E-5</v>
      </c>
      <c r="X34">
        <v>2.0025000000000001E-2</v>
      </c>
      <c r="Y34">
        <v>4.2139999999999999E-3</v>
      </c>
      <c r="Z34">
        <v>2.8600000000000001E-4</v>
      </c>
      <c r="AA34">
        <v>2.3E-5</v>
      </c>
      <c r="AB34">
        <v>1.8200000000000001E-4</v>
      </c>
      <c r="AC34">
        <v>1.0139999999999999E-3</v>
      </c>
      <c r="AD34">
        <v>3.3599999999999998E-4</v>
      </c>
      <c r="AE34">
        <v>1.049E-3</v>
      </c>
      <c r="AF34">
        <v>8.8529999999999998E-3</v>
      </c>
      <c r="AG34">
        <v>3.0551999999999999E-2</v>
      </c>
      <c r="AH34">
        <v>3.3479999999999998E-3</v>
      </c>
      <c r="AI34">
        <v>1.4584E-2</v>
      </c>
      <c r="AJ34">
        <v>3.1004E-2</v>
      </c>
      <c r="AK34">
        <v>7.2682999999999998E-2</v>
      </c>
      <c r="AL34">
        <v>2.7E-4</v>
      </c>
      <c r="AM34">
        <v>3.2809999999999999E-2</v>
      </c>
      <c r="AN34">
        <v>2.1713E-2</v>
      </c>
      <c r="AO34">
        <v>1.482E-3</v>
      </c>
      <c r="AP34">
        <v>9.5703999999999997E-2</v>
      </c>
      <c r="AQ34">
        <v>7.4099999999999999E-3</v>
      </c>
      <c r="AR34">
        <v>1.1329999999999999E-3</v>
      </c>
      <c r="AS34">
        <v>1.8721999999999999E-2</v>
      </c>
      <c r="AT34">
        <v>1.1861E-2</v>
      </c>
      <c r="AU34">
        <v>7.2090000000000001E-3</v>
      </c>
      <c r="AV34">
        <v>3.7889999999999998E-3</v>
      </c>
      <c r="AW34">
        <v>6.4260000000000003E-3</v>
      </c>
      <c r="AX34">
        <v>8.3667000000000005E-2</v>
      </c>
      <c r="AY34">
        <v>6.8700000000000002E-3</v>
      </c>
      <c r="AZ34">
        <v>6.1378000000000002E-2</v>
      </c>
      <c r="BA34">
        <v>8.2789999999999999E-3</v>
      </c>
      <c r="BB34">
        <v>2.9239999999999999E-3</v>
      </c>
      <c r="BC34">
        <v>6.2789999999999999E-3</v>
      </c>
    </row>
    <row r="35" spans="1:55">
      <c r="A35" t="s">
        <v>35</v>
      </c>
      <c r="B35">
        <v>6.8050000000000003E-3</v>
      </c>
      <c r="C35">
        <v>3.1589999999999999E-3</v>
      </c>
      <c r="D35">
        <v>0</v>
      </c>
      <c r="E35">
        <v>0</v>
      </c>
      <c r="F35">
        <v>1.9999999999999999E-6</v>
      </c>
      <c r="G35">
        <v>4.8659999999999997E-3</v>
      </c>
      <c r="H35">
        <v>2.9940000000000001E-3</v>
      </c>
      <c r="I35">
        <v>5.5630000000000002E-3</v>
      </c>
      <c r="J35">
        <v>1.534E-3</v>
      </c>
      <c r="K35">
        <v>6.5499999999999998E-4</v>
      </c>
      <c r="L35">
        <v>7.2439999999999996E-3</v>
      </c>
      <c r="M35">
        <v>0</v>
      </c>
      <c r="N35">
        <v>1.2008E-2</v>
      </c>
      <c r="O35">
        <v>2.1100000000000001E-4</v>
      </c>
      <c r="P35">
        <v>6.5370000000000003E-3</v>
      </c>
      <c r="Q35">
        <v>2.568E-3</v>
      </c>
      <c r="R35">
        <v>9.9480000000000002E-3</v>
      </c>
      <c r="S35">
        <v>7.901E-3</v>
      </c>
      <c r="T35">
        <v>1.0161E-2</v>
      </c>
      <c r="U35">
        <v>1.1277000000000001E-2</v>
      </c>
      <c r="V35">
        <v>4.3909999999999999E-3</v>
      </c>
      <c r="W35">
        <v>7.2589999999999998E-3</v>
      </c>
      <c r="X35">
        <v>3.9680000000000002E-3</v>
      </c>
      <c r="Y35">
        <v>5.9329999999999999E-3</v>
      </c>
      <c r="Z35">
        <v>1.0239E-2</v>
      </c>
      <c r="AA35">
        <v>1.0506E-2</v>
      </c>
      <c r="AB35">
        <v>2.3411000000000001E-2</v>
      </c>
      <c r="AC35">
        <v>1.0312E-2</v>
      </c>
      <c r="AD35">
        <v>9.7370000000000009E-3</v>
      </c>
      <c r="AE35">
        <v>2.183E-3</v>
      </c>
      <c r="AF35">
        <v>1.047E-3</v>
      </c>
      <c r="AG35">
        <v>3.7720000000000002E-3</v>
      </c>
      <c r="AH35">
        <v>1.3417E-2</v>
      </c>
      <c r="AI35">
        <v>9.1870000000000007E-3</v>
      </c>
      <c r="AJ35">
        <v>7.3740000000000003E-3</v>
      </c>
      <c r="AK35">
        <v>7.6309999999999998E-3</v>
      </c>
      <c r="AL35">
        <v>3.2489999999999998E-2</v>
      </c>
      <c r="AM35">
        <v>1.2522999999999999E-2</v>
      </c>
      <c r="AN35">
        <v>1.1516E-2</v>
      </c>
      <c r="AO35">
        <v>9.5420000000000001E-3</v>
      </c>
      <c r="AP35">
        <v>1.2234E-2</v>
      </c>
      <c r="AQ35">
        <v>4.5389999999999996E-3</v>
      </c>
      <c r="AR35">
        <v>7.2760000000000003E-3</v>
      </c>
      <c r="AS35">
        <v>3.091E-3</v>
      </c>
      <c r="AT35">
        <v>3.8400000000000001E-3</v>
      </c>
      <c r="AU35">
        <v>6.5700000000000003E-3</v>
      </c>
      <c r="AV35">
        <v>1.4159999999999999E-3</v>
      </c>
      <c r="AW35">
        <v>1.348E-3</v>
      </c>
      <c r="AX35">
        <v>9.4899999999999997E-4</v>
      </c>
      <c r="AY35">
        <v>1.6188000000000001E-2</v>
      </c>
      <c r="AZ35">
        <v>5.9699999999999996E-3</v>
      </c>
      <c r="BA35">
        <v>5.4840000000000002E-3</v>
      </c>
      <c r="BB35">
        <v>7.143E-3</v>
      </c>
      <c r="BC35">
        <v>5.6049999999999997E-3</v>
      </c>
    </row>
    <row r="36" spans="1:55">
      <c r="A36" t="s">
        <v>36</v>
      </c>
      <c r="B36">
        <v>1.2146000000000001E-2</v>
      </c>
      <c r="C36">
        <v>2.0563999999999999E-2</v>
      </c>
      <c r="D36">
        <v>2.0126000000000002E-2</v>
      </c>
      <c r="E36">
        <v>1.0120000000000001E-2</v>
      </c>
      <c r="F36">
        <v>1.5433000000000001E-2</v>
      </c>
      <c r="G36">
        <v>2.9007000000000002E-2</v>
      </c>
      <c r="H36">
        <v>2.2870999999999999E-2</v>
      </c>
      <c r="I36">
        <v>6.1669999999999997E-3</v>
      </c>
      <c r="J36">
        <v>9.7300000000000008E-3</v>
      </c>
      <c r="K36">
        <v>2.5600000000000002E-3</v>
      </c>
      <c r="L36">
        <v>2.7973999999999999E-2</v>
      </c>
      <c r="M36">
        <v>0</v>
      </c>
      <c r="N36">
        <v>1.7284999999999998E-2</v>
      </c>
      <c r="O36">
        <v>1.4970000000000001E-3</v>
      </c>
      <c r="P36">
        <v>4.9792999999999997E-2</v>
      </c>
      <c r="Q36">
        <v>2.1215000000000001E-2</v>
      </c>
      <c r="R36">
        <v>7.6529E-2</v>
      </c>
      <c r="S36">
        <v>5.8860999999999997E-2</v>
      </c>
      <c r="T36">
        <v>7.5896000000000005E-2</v>
      </c>
      <c r="U36">
        <v>8.405E-2</v>
      </c>
      <c r="V36">
        <v>3.3342999999999998E-2</v>
      </c>
      <c r="W36">
        <v>5.6092000000000003E-2</v>
      </c>
      <c r="X36">
        <v>2.8826000000000001E-2</v>
      </c>
      <c r="Y36">
        <v>4.2868000000000003E-2</v>
      </c>
      <c r="Z36">
        <v>8.0417000000000002E-2</v>
      </c>
      <c r="AA36">
        <v>8.2304000000000002E-2</v>
      </c>
      <c r="AB36">
        <v>0.17910699999999999</v>
      </c>
      <c r="AC36">
        <v>7.2033E-2</v>
      </c>
      <c r="AD36">
        <v>7.5037000000000006E-2</v>
      </c>
      <c r="AE36">
        <v>7.5030000000000001E-3</v>
      </c>
      <c r="AF36">
        <v>5.2389999999999997E-3</v>
      </c>
      <c r="AG36">
        <v>2.2898999999999999E-2</v>
      </c>
      <c r="AH36">
        <v>9.7924999999999998E-2</v>
      </c>
      <c r="AI36">
        <v>2.5999000000000001E-2</v>
      </c>
      <c r="AJ36">
        <v>1.9550999999999999E-2</v>
      </c>
      <c r="AK36">
        <v>2.3400000000000001E-2</v>
      </c>
      <c r="AL36">
        <v>5.2540000000000003E-2</v>
      </c>
      <c r="AM36">
        <v>5.0632000000000003E-2</v>
      </c>
      <c r="AN36">
        <v>4.7040999999999999E-2</v>
      </c>
      <c r="AO36">
        <v>6.1682000000000001E-2</v>
      </c>
      <c r="AP36">
        <v>1.2697E-2</v>
      </c>
      <c r="AQ36">
        <v>3.1470999999999999E-2</v>
      </c>
      <c r="AR36">
        <v>5.4167E-2</v>
      </c>
      <c r="AS36">
        <v>1.7434000000000002E-2</v>
      </c>
      <c r="AT36">
        <v>6.3629999999999997E-3</v>
      </c>
      <c r="AU36">
        <v>9.2130000000000007E-3</v>
      </c>
      <c r="AV36">
        <v>5.8329999999999996E-3</v>
      </c>
      <c r="AW36">
        <v>5.3940000000000004E-3</v>
      </c>
      <c r="AX36">
        <v>4.1790000000000004E-3</v>
      </c>
      <c r="AY36">
        <v>2.5855E-2</v>
      </c>
      <c r="AZ36">
        <v>1.1198E-2</v>
      </c>
      <c r="BA36">
        <v>2.1516E-2</v>
      </c>
      <c r="BB36">
        <v>4.0405000000000003E-2</v>
      </c>
      <c r="BC36">
        <v>2.6259000000000001E-2</v>
      </c>
    </row>
    <row r="37" spans="1:55">
      <c r="A37" t="s">
        <v>37</v>
      </c>
      <c r="B37">
        <v>5.0000000000000004E-6</v>
      </c>
      <c r="C37">
        <v>2.4899999999999998E-4</v>
      </c>
      <c r="D37">
        <v>0</v>
      </c>
      <c r="E37">
        <v>0</v>
      </c>
      <c r="F37">
        <v>1.7E-5</v>
      </c>
      <c r="G37">
        <v>2.8E-5</v>
      </c>
      <c r="H37">
        <v>7.7999999999999999E-5</v>
      </c>
      <c r="I37">
        <v>6.0000000000000002E-6</v>
      </c>
      <c r="J37">
        <v>1.4E-5</v>
      </c>
      <c r="K37">
        <v>5.0000000000000004E-6</v>
      </c>
      <c r="L37">
        <v>2.859E-3</v>
      </c>
      <c r="M37">
        <v>0</v>
      </c>
      <c r="N37">
        <v>1.4999999999999999E-4</v>
      </c>
      <c r="O37">
        <v>3.0000000000000001E-6</v>
      </c>
      <c r="P37">
        <v>2.1999999999999999E-5</v>
      </c>
      <c r="Q37">
        <v>1.4E-5</v>
      </c>
      <c r="R37">
        <v>6.8999999999999997E-5</v>
      </c>
      <c r="S37">
        <v>7.2000000000000002E-5</v>
      </c>
      <c r="T37">
        <v>4.3000000000000002E-5</v>
      </c>
      <c r="U37">
        <v>3.4400000000000001E-4</v>
      </c>
      <c r="V37">
        <v>1.2999999999999999E-5</v>
      </c>
      <c r="W37">
        <v>2.5000000000000001E-5</v>
      </c>
      <c r="X37">
        <v>2.2100000000000001E-4</v>
      </c>
      <c r="Y37">
        <v>4.0000000000000003E-5</v>
      </c>
      <c r="Z37">
        <v>5.0000000000000002E-5</v>
      </c>
      <c r="AA37">
        <v>3.4E-5</v>
      </c>
      <c r="AB37">
        <v>1.5100000000000001E-4</v>
      </c>
      <c r="AC37">
        <v>1.05E-4</v>
      </c>
      <c r="AD37">
        <v>9.0000000000000006E-5</v>
      </c>
      <c r="AE37">
        <v>1.8E-5</v>
      </c>
      <c r="AF37">
        <v>1.1E-5</v>
      </c>
      <c r="AG37">
        <v>1.12E-4</v>
      </c>
      <c r="AH37">
        <v>7.4999999999999993E-5</v>
      </c>
      <c r="AI37">
        <v>4.0000000000000003E-5</v>
      </c>
      <c r="AJ37">
        <v>3.1700000000000001E-4</v>
      </c>
      <c r="AK37">
        <v>1.0399999999999999E-4</v>
      </c>
      <c r="AL37">
        <v>3.0000000000000001E-5</v>
      </c>
      <c r="AM37">
        <v>4.5000000000000003E-5</v>
      </c>
      <c r="AN37">
        <v>3.0000000000000001E-5</v>
      </c>
      <c r="AO37">
        <v>4.6E-5</v>
      </c>
      <c r="AP37">
        <v>1.25E-4</v>
      </c>
      <c r="AQ37">
        <v>2.4000000000000001E-5</v>
      </c>
      <c r="AR37">
        <v>2.4000000000000001E-5</v>
      </c>
      <c r="AS37">
        <v>2.5999999999999998E-5</v>
      </c>
      <c r="AT37">
        <v>1.8E-5</v>
      </c>
      <c r="AU37">
        <v>2.9E-5</v>
      </c>
      <c r="AV37">
        <v>2.8400000000000002E-4</v>
      </c>
      <c r="AW37">
        <v>5.3999999999999998E-5</v>
      </c>
      <c r="AX37">
        <v>9.0000000000000002E-6</v>
      </c>
      <c r="AY37">
        <v>1.627E-3</v>
      </c>
      <c r="AZ37">
        <v>8.0000000000000007E-5</v>
      </c>
      <c r="BA37">
        <v>6.6000000000000005E-5</v>
      </c>
      <c r="BB37">
        <v>4.3999999999999999E-5</v>
      </c>
      <c r="BC37">
        <v>1.2999999999999999E-4</v>
      </c>
    </row>
    <row r="38" spans="1:55">
      <c r="A38" t="s">
        <v>38</v>
      </c>
      <c r="B38">
        <v>1.0089999999999999E-3</v>
      </c>
      <c r="C38">
        <v>4.2059999999999997E-3</v>
      </c>
      <c r="D38">
        <v>1.1381E-2</v>
      </c>
      <c r="E38">
        <v>1.4252000000000001E-2</v>
      </c>
      <c r="F38">
        <v>1.1362000000000001E-2</v>
      </c>
      <c r="G38">
        <v>4.4949999999999999E-3</v>
      </c>
      <c r="H38">
        <v>1.077E-3</v>
      </c>
      <c r="I38">
        <v>7.2499999999999995E-4</v>
      </c>
      <c r="J38">
        <v>1.062E-3</v>
      </c>
      <c r="K38">
        <v>3.7100000000000002E-4</v>
      </c>
      <c r="L38">
        <v>5.5849999999999997E-3</v>
      </c>
      <c r="M38">
        <v>0</v>
      </c>
      <c r="N38">
        <v>1.4978999999999999E-2</v>
      </c>
      <c r="O38">
        <v>1.8200000000000001E-4</v>
      </c>
      <c r="P38">
        <v>1.727E-3</v>
      </c>
      <c r="Q38">
        <v>1.469E-3</v>
      </c>
      <c r="R38">
        <v>5.8170000000000001E-3</v>
      </c>
      <c r="S38">
        <v>6.2459999999999998E-3</v>
      </c>
      <c r="T38">
        <v>4.4980000000000003E-3</v>
      </c>
      <c r="U38">
        <v>1.7954999999999999E-2</v>
      </c>
      <c r="V38">
        <v>2.0609999999999999E-3</v>
      </c>
      <c r="W38">
        <v>3.0839999999999999E-3</v>
      </c>
      <c r="X38">
        <v>3.9399999999999999E-3</v>
      </c>
      <c r="Y38">
        <v>4.0930000000000003E-3</v>
      </c>
      <c r="Z38">
        <v>6.0990000000000003E-3</v>
      </c>
      <c r="AA38">
        <v>4.4349999999999997E-3</v>
      </c>
      <c r="AB38">
        <v>1.2087000000000001E-2</v>
      </c>
      <c r="AC38">
        <v>1.1247E-2</v>
      </c>
      <c r="AD38">
        <v>7.7400000000000004E-3</v>
      </c>
      <c r="AE38">
        <v>6.1899999999999998E-4</v>
      </c>
      <c r="AF38">
        <v>1.6000000000000001E-3</v>
      </c>
      <c r="AG38">
        <v>3.271E-3</v>
      </c>
      <c r="AH38">
        <v>9.2560000000000003E-3</v>
      </c>
      <c r="AI38">
        <v>9.4420000000000007E-3</v>
      </c>
      <c r="AJ38">
        <v>6.7029999999999998E-3</v>
      </c>
      <c r="AK38">
        <v>2.137E-3</v>
      </c>
      <c r="AL38">
        <v>5.476E-3</v>
      </c>
      <c r="AM38">
        <v>5.1700000000000001E-3</v>
      </c>
      <c r="AN38">
        <v>3.0339999999999998E-3</v>
      </c>
      <c r="AO38">
        <v>3.3630000000000001E-3</v>
      </c>
      <c r="AP38">
        <v>3.637E-3</v>
      </c>
      <c r="AQ38">
        <v>2.1359999999999999E-3</v>
      </c>
      <c r="AR38">
        <v>2.862E-3</v>
      </c>
      <c r="AS38">
        <v>2.235E-3</v>
      </c>
      <c r="AT38">
        <v>1.0169999999999999E-3</v>
      </c>
      <c r="AU38">
        <v>1.0859999999999999E-3</v>
      </c>
      <c r="AV38">
        <v>1.7930000000000001E-3</v>
      </c>
      <c r="AW38">
        <v>2.5579999999999999E-3</v>
      </c>
      <c r="AX38">
        <v>5.22E-4</v>
      </c>
      <c r="AY38">
        <v>7.5770000000000004E-3</v>
      </c>
      <c r="AZ38">
        <v>3.0424E-2</v>
      </c>
      <c r="BA38">
        <v>1.0074E-2</v>
      </c>
      <c r="BB38">
        <v>1.2279999999999999E-2</v>
      </c>
      <c r="BC38">
        <v>4.1359999999999999E-3</v>
      </c>
    </row>
    <row r="39" spans="1:55">
      <c r="A39" t="s">
        <v>39</v>
      </c>
      <c r="B39">
        <v>1.21E-4</v>
      </c>
      <c r="C39">
        <v>5.7300000000000005E-4</v>
      </c>
      <c r="D39">
        <v>0</v>
      </c>
      <c r="E39">
        <v>0</v>
      </c>
      <c r="F39">
        <v>4.7600000000000003E-3</v>
      </c>
      <c r="G39">
        <v>5.2800000000000004E-4</v>
      </c>
      <c r="H39">
        <v>2.6600000000000001E-4</v>
      </c>
      <c r="I39">
        <v>6.9999999999999994E-5</v>
      </c>
      <c r="J39">
        <v>1.7899999999999999E-4</v>
      </c>
      <c r="K39">
        <v>5.2700000000000002E-4</v>
      </c>
      <c r="L39">
        <v>2.8639999999999998E-3</v>
      </c>
      <c r="M39">
        <v>0</v>
      </c>
      <c r="N39">
        <v>1.83E-4</v>
      </c>
      <c r="O39">
        <v>2.5099999999999998E-4</v>
      </c>
      <c r="P39">
        <v>5.0000000000000001E-4</v>
      </c>
      <c r="Q39">
        <v>2.7999999999999998E-4</v>
      </c>
      <c r="R39">
        <v>9.0799999999999995E-4</v>
      </c>
      <c r="S39">
        <v>6.38E-4</v>
      </c>
      <c r="T39">
        <v>7.8299999999999995E-4</v>
      </c>
      <c r="U39">
        <v>8.7299999999999997E-4</v>
      </c>
      <c r="V39">
        <v>3.19E-4</v>
      </c>
      <c r="W39">
        <v>5.4699999999999996E-4</v>
      </c>
      <c r="X39">
        <v>2.7900000000000001E-4</v>
      </c>
      <c r="Y39">
        <v>4.7199999999999998E-4</v>
      </c>
      <c r="Z39">
        <v>9.2900000000000003E-4</v>
      </c>
      <c r="AA39">
        <v>8.25E-4</v>
      </c>
      <c r="AB39">
        <v>2.029E-3</v>
      </c>
      <c r="AC39">
        <v>8.2299999999999995E-4</v>
      </c>
      <c r="AD39">
        <v>8.3500000000000002E-4</v>
      </c>
      <c r="AE39">
        <v>7.2999999999999999E-5</v>
      </c>
      <c r="AF39">
        <v>5.1999999999999997E-5</v>
      </c>
      <c r="AG39">
        <v>2.5099999999999998E-4</v>
      </c>
      <c r="AH39">
        <v>1.0610000000000001E-3</v>
      </c>
      <c r="AI39">
        <v>3.2299999999999999E-4</v>
      </c>
      <c r="AJ39">
        <v>2.23E-4</v>
      </c>
      <c r="AK39">
        <v>2.2800000000000001E-4</v>
      </c>
      <c r="AL39">
        <v>5.2999999999999998E-4</v>
      </c>
      <c r="AM39">
        <v>3.7399999999999998E-4</v>
      </c>
      <c r="AN39">
        <v>4.6500000000000003E-4</v>
      </c>
      <c r="AO39">
        <v>5.6499999999999996E-4</v>
      </c>
      <c r="AP39">
        <v>1.3455999999999999E-2</v>
      </c>
      <c r="AQ39">
        <v>3.4000000000000002E-4</v>
      </c>
      <c r="AR39">
        <v>5.5199999999999997E-4</v>
      </c>
      <c r="AS39">
        <v>3.7100000000000002E-4</v>
      </c>
      <c r="AT39">
        <v>7.8999999999999996E-5</v>
      </c>
      <c r="AU39">
        <v>1.37E-4</v>
      </c>
      <c r="AV39">
        <v>7.6000000000000004E-5</v>
      </c>
      <c r="AW39">
        <v>1.66E-4</v>
      </c>
      <c r="AX39">
        <v>5.1E-5</v>
      </c>
      <c r="AY39">
        <v>1.242E-3</v>
      </c>
      <c r="AZ39">
        <v>1.55E-4</v>
      </c>
      <c r="BA39">
        <v>2.4899999999999998E-4</v>
      </c>
      <c r="BB39">
        <v>4.6999999999999999E-4</v>
      </c>
      <c r="BC39">
        <v>4.1100000000000002E-4</v>
      </c>
    </row>
    <row r="40" spans="1:55">
      <c r="A40" t="s">
        <v>40</v>
      </c>
      <c r="B40">
        <v>1.16E-4</v>
      </c>
      <c r="C40">
        <v>1.0330000000000001E-3</v>
      </c>
      <c r="D40">
        <v>1.16E-4</v>
      </c>
      <c r="E40">
        <v>7.2499999999999995E-4</v>
      </c>
      <c r="F40">
        <v>6.8199999999999999E-4</v>
      </c>
      <c r="G40">
        <v>2.24E-4</v>
      </c>
      <c r="H40">
        <v>9.0000000000000006E-5</v>
      </c>
      <c r="I40">
        <v>1.21E-4</v>
      </c>
      <c r="J40">
        <v>1.6899999999999999E-4</v>
      </c>
      <c r="K40">
        <v>3.9399999999999998E-4</v>
      </c>
      <c r="L40">
        <v>7.7200000000000001E-4</v>
      </c>
      <c r="M40">
        <v>0</v>
      </c>
      <c r="N40">
        <v>4.8000000000000001E-5</v>
      </c>
      <c r="O40">
        <v>2.42E-4</v>
      </c>
      <c r="P40">
        <v>1.4300000000000001E-4</v>
      </c>
      <c r="Q40">
        <v>5.3000000000000001E-5</v>
      </c>
      <c r="R40">
        <v>6.2500000000000001E-4</v>
      </c>
      <c r="S40">
        <v>3.8499999999999998E-4</v>
      </c>
      <c r="T40">
        <v>5.1900000000000004E-4</v>
      </c>
      <c r="U40">
        <v>2.31E-4</v>
      </c>
      <c r="V40">
        <v>7.1000000000000005E-5</v>
      </c>
      <c r="W40">
        <v>1.22E-4</v>
      </c>
      <c r="X40">
        <v>2.22E-4</v>
      </c>
      <c r="Y40">
        <v>1.05E-4</v>
      </c>
      <c r="Z40">
        <v>2.34E-4</v>
      </c>
      <c r="AA40">
        <v>1.6699999999999999E-4</v>
      </c>
      <c r="AB40">
        <v>6.2600000000000004E-4</v>
      </c>
      <c r="AC40">
        <v>7.9100000000000004E-4</v>
      </c>
      <c r="AD40">
        <v>5.0799999999999999E-4</v>
      </c>
      <c r="AE40">
        <v>3.0000000000000001E-5</v>
      </c>
      <c r="AF40">
        <v>3.8999999999999999E-5</v>
      </c>
      <c r="AG40">
        <v>9.3499999999999996E-4</v>
      </c>
      <c r="AH40">
        <v>3.6400000000000001E-4</v>
      </c>
      <c r="AI40">
        <v>1.6899999999999999E-4</v>
      </c>
      <c r="AJ40">
        <v>5.9100000000000005E-4</v>
      </c>
      <c r="AK40">
        <v>2.1800000000000001E-4</v>
      </c>
      <c r="AL40">
        <v>2.2959999999999999E-3</v>
      </c>
      <c r="AM40">
        <v>2.1120000000000002E-3</v>
      </c>
      <c r="AN40">
        <v>7.5000000000000002E-4</v>
      </c>
      <c r="AO40">
        <v>1.2290000000000001E-3</v>
      </c>
      <c r="AP40">
        <v>2.6179999999999998E-2</v>
      </c>
      <c r="AQ40">
        <v>1.63E-4</v>
      </c>
      <c r="AR40">
        <v>2.1800000000000001E-4</v>
      </c>
      <c r="AS40">
        <v>8.2000000000000001E-5</v>
      </c>
      <c r="AT40">
        <v>3.1999999999999999E-5</v>
      </c>
      <c r="AU40">
        <v>3.8999999999999999E-5</v>
      </c>
      <c r="AV40">
        <v>5.3000000000000001E-5</v>
      </c>
      <c r="AW40">
        <v>1.6799999999999999E-4</v>
      </c>
      <c r="AX40">
        <v>1.4E-5</v>
      </c>
      <c r="AY40">
        <v>2.2079999999999999E-3</v>
      </c>
      <c r="AZ40">
        <v>4.6999999999999997E-5</v>
      </c>
      <c r="BA40">
        <v>7.2999999999999999E-5</v>
      </c>
      <c r="BB40">
        <v>1.2400000000000001E-4</v>
      </c>
      <c r="BC40">
        <v>2.4800000000000001E-4</v>
      </c>
    </row>
    <row r="41" spans="1:55">
      <c r="A41" t="s">
        <v>41</v>
      </c>
      <c r="B41">
        <v>1.64E-4</v>
      </c>
      <c r="C41">
        <v>4.8799999999999999E-4</v>
      </c>
      <c r="D41">
        <v>9.9159999999999995E-3</v>
      </c>
      <c r="E41">
        <v>9.6900000000000003E-4</v>
      </c>
      <c r="F41">
        <v>1.474E-3</v>
      </c>
      <c r="G41">
        <v>2.72E-4</v>
      </c>
      <c r="H41">
        <v>1.7899999999999999E-4</v>
      </c>
      <c r="I41">
        <v>2.7E-4</v>
      </c>
      <c r="J41">
        <v>2.8899999999999998E-4</v>
      </c>
      <c r="K41">
        <v>1.9319999999999999E-3</v>
      </c>
      <c r="L41">
        <v>7.2859999999999999E-3</v>
      </c>
      <c r="M41">
        <v>0</v>
      </c>
      <c r="N41">
        <v>1.6199999999999999E-3</v>
      </c>
      <c r="O41">
        <v>2.0900000000000001E-4</v>
      </c>
      <c r="P41">
        <v>4.44E-4</v>
      </c>
      <c r="Q41">
        <v>2.2900000000000001E-4</v>
      </c>
      <c r="R41">
        <v>2.575E-3</v>
      </c>
      <c r="S41">
        <v>1.072E-3</v>
      </c>
      <c r="T41">
        <v>1.403E-3</v>
      </c>
      <c r="U41">
        <v>1.013E-3</v>
      </c>
      <c r="V41">
        <v>5.2700000000000002E-4</v>
      </c>
      <c r="W41">
        <v>9.0399999999999996E-4</v>
      </c>
      <c r="X41">
        <v>6.1899999999999998E-4</v>
      </c>
      <c r="Y41">
        <v>1.0859999999999999E-3</v>
      </c>
      <c r="Z41">
        <v>1.629E-3</v>
      </c>
      <c r="AA41">
        <v>8.9700000000000001E-4</v>
      </c>
      <c r="AB41">
        <v>2.1210000000000001E-3</v>
      </c>
      <c r="AC41">
        <v>1.4920000000000001E-3</v>
      </c>
      <c r="AD41">
        <v>1.7229999999999999E-3</v>
      </c>
      <c r="AE41">
        <v>5.2999999999999998E-4</v>
      </c>
      <c r="AF41">
        <v>1.7899999999999999E-4</v>
      </c>
      <c r="AG41">
        <v>1.3389999999999999E-3</v>
      </c>
      <c r="AH41">
        <v>1.668E-3</v>
      </c>
      <c r="AI41">
        <v>1.3699999999999999E-3</v>
      </c>
      <c r="AJ41">
        <v>4.5979999999999997E-3</v>
      </c>
      <c r="AK41">
        <v>6.9700000000000003E-4</v>
      </c>
      <c r="AL41">
        <v>1.3780000000000001E-3</v>
      </c>
      <c r="AM41">
        <v>3.9129999999999998E-3</v>
      </c>
      <c r="AN41">
        <v>1.493E-3</v>
      </c>
      <c r="AO41">
        <v>1.5622E-2</v>
      </c>
      <c r="AP41">
        <v>2.7407999999999998E-2</v>
      </c>
      <c r="AQ41">
        <v>7.54E-4</v>
      </c>
      <c r="AR41">
        <v>3.6200000000000002E-4</v>
      </c>
      <c r="AS41">
        <v>1.8220000000000001E-3</v>
      </c>
      <c r="AT41">
        <v>2.787E-3</v>
      </c>
      <c r="AU41">
        <v>5.0500000000000002E-4</v>
      </c>
      <c r="AV41">
        <v>2.2569999999999999E-3</v>
      </c>
      <c r="AW41">
        <v>1.9189999999999999E-3</v>
      </c>
      <c r="AX41">
        <v>1.2359999999999999E-3</v>
      </c>
      <c r="AY41">
        <v>1.1734E-2</v>
      </c>
      <c r="AZ41">
        <v>5.1519000000000002E-2</v>
      </c>
      <c r="BA41">
        <v>8.9040000000000005E-3</v>
      </c>
      <c r="BB41">
        <v>5.313E-3</v>
      </c>
      <c r="BC41">
        <v>2.6819999999999999E-3</v>
      </c>
    </row>
    <row r="42" spans="1:55">
      <c r="A42" t="s">
        <v>42</v>
      </c>
      <c r="B42">
        <v>8.3999999999999995E-5</v>
      </c>
      <c r="C42">
        <v>8.4000000000000003E-4</v>
      </c>
      <c r="D42">
        <v>1.1839999999999999E-3</v>
      </c>
      <c r="E42">
        <v>1.2489999999999999E-3</v>
      </c>
      <c r="F42">
        <v>7.5259999999999997E-3</v>
      </c>
      <c r="G42">
        <v>2.3599999999999999E-4</v>
      </c>
      <c r="H42">
        <v>1.03E-4</v>
      </c>
      <c r="I42">
        <v>1.64E-4</v>
      </c>
      <c r="J42">
        <v>2.2000000000000001E-4</v>
      </c>
      <c r="K42">
        <v>7.7000000000000001E-5</v>
      </c>
      <c r="L42">
        <v>6.78E-4</v>
      </c>
      <c r="M42">
        <v>0</v>
      </c>
      <c r="N42">
        <v>2.6600000000000001E-4</v>
      </c>
      <c r="O42">
        <v>2.1999999999999999E-5</v>
      </c>
      <c r="P42">
        <v>2.2000000000000001E-4</v>
      </c>
      <c r="Q42">
        <v>1.5100000000000001E-4</v>
      </c>
      <c r="R42">
        <v>7.7700000000000002E-4</v>
      </c>
      <c r="S42">
        <v>6.4700000000000001E-4</v>
      </c>
      <c r="T42">
        <v>3.4400000000000001E-4</v>
      </c>
      <c r="U42">
        <v>5.5999999999999995E-4</v>
      </c>
      <c r="V42">
        <v>2.9E-4</v>
      </c>
      <c r="W42">
        <v>4.1899999999999999E-4</v>
      </c>
      <c r="X42">
        <v>3.1799999999999998E-4</v>
      </c>
      <c r="Y42">
        <v>5.2899999999999996E-4</v>
      </c>
      <c r="Z42">
        <v>8.3900000000000001E-4</v>
      </c>
      <c r="AA42">
        <v>4.0999999999999999E-4</v>
      </c>
      <c r="AB42">
        <v>1.851E-3</v>
      </c>
      <c r="AC42">
        <v>1.039E-3</v>
      </c>
      <c r="AD42">
        <v>1.0809999999999999E-3</v>
      </c>
      <c r="AE42">
        <v>5.8E-5</v>
      </c>
      <c r="AF42">
        <v>3.6999999999999998E-5</v>
      </c>
      <c r="AG42">
        <v>2.9399999999999999E-4</v>
      </c>
      <c r="AH42">
        <v>1.114E-3</v>
      </c>
      <c r="AI42">
        <v>1.317E-3</v>
      </c>
      <c r="AJ42">
        <v>1.8079999999999999E-3</v>
      </c>
      <c r="AK42">
        <v>3.8470000000000002E-3</v>
      </c>
      <c r="AL42">
        <v>2.7109999999999999E-3</v>
      </c>
      <c r="AM42">
        <v>4.4743999999999999E-2</v>
      </c>
      <c r="AN42">
        <v>1.4513E-2</v>
      </c>
      <c r="AO42">
        <v>2.4608999999999999E-2</v>
      </c>
      <c r="AP42">
        <v>1.4265999999999999E-2</v>
      </c>
      <c r="AQ42">
        <v>1.83E-4</v>
      </c>
      <c r="AR42">
        <v>2.4600000000000002E-4</v>
      </c>
      <c r="AS42">
        <v>4.0000000000000002E-4</v>
      </c>
      <c r="AT42">
        <v>7.2999999999999999E-5</v>
      </c>
      <c r="AU42">
        <v>8.0000000000000007E-5</v>
      </c>
      <c r="AV42">
        <v>8.3000000000000001E-4</v>
      </c>
      <c r="AW42">
        <v>2.526E-3</v>
      </c>
      <c r="AX42">
        <v>8.7000000000000001E-5</v>
      </c>
      <c r="AY42">
        <v>1.2329999999999999E-3</v>
      </c>
      <c r="AZ42">
        <v>2.1699999999999999E-4</v>
      </c>
      <c r="BA42">
        <v>2.0000000000000001E-4</v>
      </c>
      <c r="BB42">
        <v>2.5500000000000002E-4</v>
      </c>
      <c r="BC42">
        <v>3.1100000000000002E-4</v>
      </c>
    </row>
    <row r="43" spans="1:55">
      <c r="A43" t="s">
        <v>43</v>
      </c>
      <c r="B43">
        <v>3.9999999999999998E-6</v>
      </c>
      <c r="C43">
        <v>1.63E-4</v>
      </c>
      <c r="D43">
        <v>1.0599000000000001E-2</v>
      </c>
      <c r="E43">
        <v>1.2263E-2</v>
      </c>
      <c r="F43">
        <v>1.3461000000000001E-2</v>
      </c>
      <c r="G43">
        <v>1.235E-3</v>
      </c>
      <c r="H43">
        <v>9.9999999999999995E-7</v>
      </c>
      <c r="I43">
        <v>1.8000000000000001E-4</v>
      </c>
      <c r="J43">
        <v>4.4099999999999999E-4</v>
      </c>
      <c r="K43">
        <v>1.66E-4</v>
      </c>
      <c r="L43">
        <v>9.7799999999999992E-4</v>
      </c>
      <c r="M43">
        <v>0</v>
      </c>
      <c r="N43">
        <v>0</v>
      </c>
      <c r="O43">
        <v>1.2999999999999999E-5</v>
      </c>
      <c r="P43">
        <v>1.7899999999999999E-4</v>
      </c>
      <c r="Q43">
        <v>0</v>
      </c>
      <c r="R43">
        <v>6.3670000000000003E-3</v>
      </c>
      <c r="S43">
        <v>5.4900000000000001E-4</v>
      </c>
      <c r="T43">
        <v>2.8499999999999999E-4</v>
      </c>
      <c r="U43">
        <v>4.1800000000000002E-4</v>
      </c>
      <c r="V43">
        <v>4.35E-4</v>
      </c>
      <c r="W43">
        <v>2.4600000000000002E-4</v>
      </c>
      <c r="X43">
        <v>1.7899999999999999E-4</v>
      </c>
      <c r="Y43">
        <v>7.3800000000000005E-4</v>
      </c>
      <c r="Z43">
        <v>5.6599999999999999E-4</v>
      </c>
      <c r="AA43">
        <v>3.5199999999999999E-4</v>
      </c>
      <c r="AB43">
        <v>6.888E-3</v>
      </c>
      <c r="AC43">
        <v>4.8000000000000001E-5</v>
      </c>
      <c r="AD43">
        <v>2.4600000000000002E-4</v>
      </c>
      <c r="AE43">
        <v>2.0000000000000002E-5</v>
      </c>
      <c r="AF43">
        <v>8.3999999999999995E-5</v>
      </c>
      <c r="AG43">
        <v>3.2000000000000003E-4</v>
      </c>
      <c r="AH43">
        <v>3.6999999999999999E-4</v>
      </c>
      <c r="AI43">
        <v>5.6010000000000001E-3</v>
      </c>
      <c r="AJ43">
        <v>2.1940000000000002E-3</v>
      </c>
      <c r="AK43">
        <v>3.2100000000000002E-3</v>
      </c>
      <c r="AL43">
        <v>1.4430000000000001E-3</v>
      </c>
      <c r="AM43">
        <v>5.5230000000000001E-3</v>
      </c>
      <c r="AN43">
        <v>1.1521999999999999E-2</v>
      </c>
      <c r="AO43">
        <v>3.5379999999999999E-3</v>
      </c>
      <c r="AP43">
        <v>6.0039999999999998E-3</v>
      </c>
      <c r="AQ43">
        <v>8.9099999999999997E-4</v>
      </c>
      <c r="AR43">
        <v>6.9999999999999999E-6</v>
      </c>
      <c r="AS43">
        <v>4.333E-3</v>
      </c>
      <c r="AT43">
        <v>1.9289999999999999E-3</v>
      </c>
      <c r="AU43">
        <v>3.9001000000000001E-2</v>
      </c>
      <c r="AV43">
        <v>1.8828999999999999E-2</v>
      </c>
      <c r="AW43">
        <v>9.1950000000000004E-2</v>
      </c>
      <c r="AX43">
        <v>8.0900000000000004E-4</v>
      </c>
      <c r="AY43">
        <v>1.098E-2</v>
      </c>
      <c r="AZ43">
        <v>1.94E-4</v>
      </c>
      <c r="BA43">
        <v>2.8499999999999999E-4</v>
      </c>
      <c r="BB43">
        <v>1.325E-3</v>
      </c>
      <c r="BC43">
        <v>4.73E-4</v>
      </c>
    </row>
    <row r="44" spans="1:55">
      <c r="A44" t="s">
        <v>44</v>
      </c>
      <c r="B44">
        <v>4.5300000000000001E-4</v>
      </c>
      <c r="C44">
        <v>7.85E-4</v>
      </c>
      <c r="D44">
        <v>9.1439999999999994E-3</v>
      </c>
      <c r="E44">
        <v>4.6589999999999999E-3</v>
      </c>
      <c r="F44">
        <v>1.4858E-2</v>
      </c>
      <c r="G44">
        <v>3.4400000000000001E-4</v>
      </c>
      <c r="H44">
        <v>1.2E-4</v>
      </c>
      <c r="I44">
        <v>1.34E-4</v>
      </c>
      <c r="J44">
        <v>8.1099999999999998E-4</v>
      </c>
      <c r="K44">
        <v>6.1200000000000002E-4</v>
      </c>
      <c r="L44">
        <v>4.8200000000000001E-4</v>
      </c>
      <c r="M44">
        <v>0</v>
      </c>
      <c r="N44">
        <v>2.5860000000000002E-3</v>
      </c>
      <c r="O44">
        <v>2.8E-5</v>
      </c>
      <c r="P44">
        <v>2.8899999999999998E-4</v>
      </c>
      <c r="Q44">
        <v>1.1E-4</v>
      </c>
      <c r="R44">
        <v>7.7099999999999998E-4</v>
      </c>
      <c r="S44">
        <v>1.0989999999999999E-3</v>
      </c>
      <c r="T44">
        <v>2.4650000000000002E-3</v>
      </c>
      <c r="U44">
        <v>1.639E-3</v>
      </c>
      <c r="V44">
        <v>4.6799999999999999E-4</v>
      </c>
      <c r="W44">
        <v>9.810000000000001E-4</v>
      </c>
      <c r="X44">
        <v>1.5529999999999999E-3</v>
      </c>
      <c r="Y44">
        <v>1.5039999999999999E-3</v>
      </c>
      <c r="Z44">
        <v>6.9800000000000005E-4</v>
      </c>
      <c r="AA44">
        <v>6.1399999999999996E-4</v>
      </c>
      <c r="AB44">
        <v>2.385E-3</v>
      </c>
      <c r="AC44">
        <v>1.3619999999999999E-3</v>
      </c>
      <c r="AD44">
        <v>6.4180000000000001E-3</v>
      </c>
      <c r="AE44">
        <v>3.9300000000000001E-4</v>
      </c>
      <c r="AF44">
        <v>1.3100000000000001E-4</v>
      </c>
      <c r="AG44">
        <v>4.2000000000000002E-4</v>
      </c>
      <c r="AH44">
        <v>6.6930000000000002E-3</v>
      </c>
      <c r="AI44">
        <v>2.421E-3</v>
      </c>
      <c r="AJ44">
        <v>7.7650000000000002E-3</v>
      </c>
      <c r="AK44">
        <v>1.093E-3</v>
      </c>
      <c r="AL44">
        <v>7.2400000000000003E-4</v>
      </c>
      <c r="AM44">
        <v>3.5339999999999998E-3</v>
      </c>
      <c r="AN44">
        <v>4.9459999999999999E-3</v>
      </c>
      <c r="AO44">
        <v>2.3705E-2</v>
      </c>
      <c r="AP44">
        <v>1.794E-3</v>
      </c>
      <c r="AQ44">
        <v>1.1119999999999999E-3</v>
      </c>
      <c r="AR44">
        <v>4.2400000000000001E-4</v>
      </c>
      <c r="AS44">
        <v>1.1980000000000001E-3</v>
      </c>
      <c r="AT44">
        <v>8.0599999999999997E-4</v>
      </c>
      <c r="AU44">
        <v>4.6799999999999999E-4</v>
      </c>
      <c r="AV44">
        <v>1.936E-3</v>
      </c>
      <c r="AW44">
        <v>2.186E-3</v>
      </c>
      <c r="AX44">
        <v>2.6200000000000003E-4</v>
      </c>
      <c r="AY44">
        <v>3.6380000000000002E-3</v>
      </c>
      <c r="AZ44">
        <v>9.5429999999999994E-3</v>
      </c>
      <c r="BA44">
        <v>8.8400000000000002E-4</v>
      </c>
      <c r="BB44">
        <v>2.6419999999999998E-3</v>
      </c>
      <c r="BC44">
        <v>2.8119999999999998E-3</v>
      </c>
    </row>
    <row r="45" spans="1:55">
      <c r="A45" t="s">
        <v>45</v>
      </c>
      <c r="B45">
        <v>1.6000000000000001E-4</v>
      </c>
      <c r="C45">
        <v>5.3700000000000004E-4</v>
      </c>
      <c r="D45">
        <v>1.1535999999999999E-2</v>
      </c>
      <c r="E45">
        <v>9.4579999999999994E-3</v>
      </c>
      <c r="F45">
        <v>5.2800000000000004E-4</v>
      </c>
      <c r="G45">
        <v>2.0890000000000001E-3</v>
      </c>
      <c r="H45">
        <v>2.9500000000000001E-4</v>
      </c>
      <c r="I45">
        <v>2.1849999999999999E-3</v>
      </c>
      <c r="J45">
        <v>3.6299999999999999E-4</v>
      </c>
      <c r="K45">
        <v>1.191E-3</v>
      </c>
      <c r="L45">
        <v>3.0330000000000001E-3</v>
      </c>
      <c r="M45">
        <v>0</v>
      </c>
      <c r="N45">
        <v>3.9969999999999997E-3</v>
      </c>
      <c r="O45">
        <v>1.493E-3</v>
      </c>
      <c r="P45">
        <v>6.0229999999999997E-3</v>
      </c>
      <c r="Q45">
        <v>2.7E-4</v>
      </c>
      <c r="R45">
        <v>2.6012E-2</v>
      </c>
      <c r="S45">
        <v>3.8823999999999997E-2</v>
      </c>
      <c r="T45">
        <v>9.6819999999999996E-3</v>
      </c>
      <c r="U45">
        <v>1.7510000000000001E-2</v>
      </c>
      <c r="V45">
        <v>1.2626E-2</v>
      </c>
      <c r="W45">
        <v>5.8209999999999998E-3</v>
      </c>
      <c r="X45">
        <v>5.6220000000000003E-3</v>
      </c>
      <c r="Y45">
        <v>3.7629999999999999E-3</v>
      </c>
      <c r="Z45">
        <v>8.8929999999999999E-3</v>
      </c>
      <c r="AA45">
        <v>4.1780000000000003E-3</v>
      </c>
      <c r="AB45">
        <v>1.6791E-2</v>
      </c>
      <c r="AC45">
        <v>4.9713E-2</v>
      </c>
      <c r="AD45">
        <v>2.5752000000000001E-2</v>
      </c>
      <c r="AE45">
        <v>3.1800000000000001E-3</v>
      </c>
      <c r="AF45">
        <v>8.7100000000000003E-4</v>
      </c>
      <c r="AG45">
        <v>3.9880000000000002E-3</v>
      </c>
      <c r="AH45">
        <v>9.1959999999999993E-3</v>
      </c>
      <c r="AI45">
        <v>1.6475E-2</v>
      </c>
      <c r="AJ45">
        <v>2.2428E-2</v>
      </c>
      <c r="AK45">
        <v>5.96E-3</v>
      </c>
      <c r="AL45">
        <v>4.8599999999999997E-3</v>
      </c>
      <c r="AM45">
        <v>1.8495999999999999E-2</v>
      </c>
      <c r="AN45">
        <v>4.5582999999999999E-2</v>
      </c>
      <c r="AO45">
        <v>2.3824000000000001E-2</v>
      </c>
      <c r="AP45">
        <v>3.7116999999999997E-2</v>
      </c>
      <c r="AQ45">
        <v>9.7280000000000005E-3</v>
      </c>
      <c r="AR45">
        <v>3.9639999999999996E-3</v>
      </c>
      <c r="AS45">
        <v>0.13164899999999999</v>
      </c>
      <c r="AT45">
        <v>2.1367000000000001E-2</v>
      </c>
      <c r="AU45">
        <v>5.1669E-2</v>
      </c>
      <c r="AV45">
        <v>1.9615E-2</v>
      </c>
      <c r="AW45">
        <v>2.6789E-2</v>
      </c>
      <c r="AX45">
        <v>1.1651999999999999E-2</v>
      </c>
      <c r="AY45">
        <v>6.9085999999999995E-2</v>
      </c>
      <c r="AZ45">
        <v>3.2934999999999999E-2</v>
      </c>
      <c r="BA45">
        <v>4.0577000000000002E-2</v>
      </c>
      <c r="BB45">
        <v>1.4289E-2</v>
      </c>
      <c r="BC45">
        <v>1.3849E-2</v>
      </c>
    </row>
    <row r="46" spans="1:55">
      <c r="A46" t="s">
        <v>46</v>
      </c>
      <c r="B46">
        <v>1.2179999999999999E-3</v>
      </c>
      <c r="C46">
        <v>2.777E-3</v>
      </c>
      <c r="D46">
        <v>3.6089999999999998E-3</v>
      </c>
      <c r="E46">
        <v>7.8600000000000002E-4</v>
      </c>
      <c r="F46">
        <v>9.7999999999999997E-3</v>
      </c>
      <c r="G46">
        <v>1.3598000000000001E-2</v>
      </c>
      <c r="H46">
        <v>8.5700000000000001E-4</v>
      </c>
      <c r="I46">
        <v>1.6169999999999999E-3</v>
      </c>
      <c r="J46">
        <v>2.8570000000000002E-3</v>
      </c>
      <c r="K46">
        <v>2.3600000000000001E-3</v>
      </c>
      <c r="L46">
        <v>9.3290000000000005E-3</v>
      </c>
      <c r="M46">
        <v>0</v>
      </c>
      <c r="N46">
        <v>9.3609999999999995E-3</v>
      </c>
      <c r="O46">
        <v>1.9100000000000001E-4</v>
      </c>
      <c r="P46">
        <v>2.647E-3</v>
      </c>
      <c r="Q46">
        <v>3.9999999999999998E-6</v>
      </c>
      <c r="R46">
        <v>1.0962E-2</v>
      </c>
      <c r="S46">
        <v>6.2490000000000002E-3</v>
      </c>
      <c r="T46">
        <v>3.663E-3</v>
      </c>
      <c r="U46">
        <v>1.5521E-2</v>
      </c>
      <c r="V46">
        <v>3.7239999999999999E-3</v>
      </c>
      <c r="W46">
        <v>5.7159999999999997E-3</v>
      </c>
      <c r="X46">
        <v>2.7880000000000001E-3</v>
      </c>
      <c r="Y46">
        <v>4.2709999999999996E-3</v>
      </c>
      <c r="Z46">
        <v>2.493E-3</v>
      </c>
      <c r="AA46">
        <v>3.5539999999999999E-3</v>
      </c>
      <c r="AB46">
        <v>3.8660000000000001E-3</v>
      </c>
      <c r="AC46">
        <v>5.6389999999999999E-3</v>
      </c>
      <c r="AD46">
        <v>1.8952E-2</v>
      </c>
      <c r="AE46">
        <v>8.4670000000000006E-3</v>
      </c>
      <c r="AF46">
        <v>2.5769999999999999E-3</v>
      </c>
      <c r="AG46">
        <v>1.25E-3</v>
      </c>
      <c r="AH46">
        <v>3.666E-3</v>
      </c>
      <c r="AI46">
        <v>5.0920000000000002E-3</v>
      </c>
      <c r="AJ46">
        <v>1.9050000000000001E-2</v>
      </c>
      <c r="AK46">
        <v>4.6990000000000001E-3</v>
      </c>
      <c r="AL46">
        <v>3.3969999999999998E-3</v>
      </c>
      <c r="AM46">
        <v>1.5358E-2</v>
      </c>
      <c r="AN46">
        <v>4.5710000000000004E-3</v>
      </c>
      <c r="AO46">
        <v>1.9239999999999999E-3</v>
      </c>
      <c r="AP46">
        <v>3.29E-3</v>
      </c>
      <c r="AQ46">
        <v>5.7650000000000002E-3</v>
      </c>
      <c r="AR46">
        <v>7.2900000000000005E-4</v>
      </c>
      <c r="AS46">
        <v>5.1460000000000004E-3</v>
      </c>
      <c r="AT46">
        <v>6.0720000000000001E-3</v>
      </c>
      <c r="AU46">
        <v>1.4713E-2</v>
      </c>
      <c r="AV46">
        <v>7.8711000000000003E-2</v>
      </c>
      <c r="AW46">
        <v>3.0370000000000001E-2</v>
      </c>
      <c r="AX46">
        <v>1.1613999999999999E-2</v>
      </c>
      <c r="AY46">
        <v>1.6816999999999999E-2</v>
      </c>
      <c r="AZ46">
        <v>9.1500000000000001E-4</v>
      </c>
      <c r="BA46">
        <v>1.954E-3</v>
      </c>
      <c r="BB46">
        <v>2.4320000000000001E-3</v>
      </c>
      <c r="BC46">
        <v>5.0000000000000001E-3</v>
      </c>
    </row>
    <row r="47" spans="1:55">
      <c r="A47" t="s">
        <v>47</v>
      </c>
      <c r="B47">
        <v>2.34E-4</v>
      </c>
      <c r="C47">
        <v>5.7899999999999998E-4</v>
      </c>
      <c r="D47">
        <v>2.4499999999999999E-4</v>
      </c>
      <c r="E47">
        <v>1.21E-4</v>
      </c>
      <c r="F47">
        <v>6.4999999999999997E-4</v>
      </c>
      <c r="G47">
        <v>0</v>
      </c>
      <c r="H47">
        <v>0</v>
      </c>
      <c r="I47">
        <v>4.7699999999999999E-4</v>
      </c>
      <c r="J47">
        <v>6.4000000000000005E-4</v>
      </c>
      <c r="K47">
        <v>3.0860000000000002E-3</v>
      </c>
      <c r="L47">
        <v>1.402E-3</v>
      </c>
      <c r="M47">
        <v>0</v>
      </c>
      <c r="N47">
        <v>1.3569999999999999E-3</v>
      </c>
      <c r="O47">
        <v>1.93E-4</v>
      </c>
      <c r="P47">
        <v>1.2E-4</v>
      </c>
      <c r="Q47">
        <v>0</v>
      </c>
      <c r="R47">
        <v>0</v>
      </c>
      <c r="S47">
        <v>2.3410000000000002E-3</v>
      </c>
      <c r="T47">
        <v>1.593E-3</v>
      </c>
      <c r="U47">
        <v>6.3599999999999996E-4</v>
      </c>
      <c r="V47">
        <v>7.6099999999999996E-4</v>
      </c>
      <c r="W47">
        <v>2.9300000000000002E-4</v>
      </c>
      <c r="X47">
        <v>5.0000000000000004E-6</v>
      </c>
      <c r="Y47">
        <v>2.4699999999999999E-4</v>
      </c>
      <c r="Z47">
        <v>1.1E-5</v>
      </c>
      <c r="AA47">
        <v>2.3800000000000001E-4</v>
      </c>
      <c r="AB47">
        <v>2.5799999999999998E-3</v>
      </c>
      <c r="AC47">
        <v>1.5E-5</v>
      </c>
      <c r="AD47">
        <v>9.4700000000000003E-4</v>
      </c>
      <c r="AE47">
        <v>4.3999999999999999E-5</v>
      </c>
      <c r="AF47">
        <v>8.2000000000000001E-5</v>
      </c>
      <c r="AG47">
        <v>3.0000000000000001E-6</v>
      </c>
      <c r="AH47">
        <v>1.1709999999999999E-3</v>
      </c>
      <c r="AI47">
        <v>5.561E-3</v>
      </c>
      <c r="AJ47">
        <v>2.3110000000000001E-3</v>
      </c>
      <c r="AK47">
        <v>1.9900000000000001E-4</v>
      </c>
      <c r="AL47">
        <v>2.3900000000000001E-4</v>
      </c>
      <c r="AM47">
        <v>8.5520000000000006E-3</v>
      </c>
      <c r="AN47">
        <v>1.3646999999999999E-2</v>
      </c>
      <c r="AO47">
        <v>4.5909999999999996E-3</v>
      </c>
      <c r="AP47">
        <v>7.9509999999999997E-3</v>
      </c>
      <c r="AQ47">
        <v>8.6200000000000003E-4</v>
      </c>
      <c r="AR47">
        <v>4.8299999999999998E-4</v>
      </c>
      <c r="AS47">
        <v>1.7520000000000001E-3</v>
      </c>
      <c r="AT47">
        <v>6.241E-3</v>
      </c>
      <c r="AU47">
        <v>1.0292000000000001E-2</v>
      </c>
      <c r="AV47">
        <v>1.1785E-2</v>
      </c>
      <c r="AW47">
        <v>2.4275999999999999E-2</v>
      </c>
      <c r="AX47">
        <v>1.65E-3</v>
      </c>
      <c r="AY47">
        <v>4.5329999999999997E-3</v>
      </c>
      <c r="AZ47">
        <v>1.867E-3</v>
      </c>
      <c r="BA47">
        <v>5.04E-4</v>
      </c>
      <c r="BB47">
        <v>2.3180000000000002E-3</v>
      </c>
      <c r="BC47">
        <v>4.4200000000000001E-4</v>
      </c>
    </row>
    <row r="48" spans="1:55">
      <c r="A48" t="s">
        <v>48</v>
      </c>
      <c r="B48">
        <v>1.2780000000000001E-3</v>
      </c>
      <c r="C48">
        <v>5.0939999999999996E-3</v>
      </c>
      <c r="D48">
        <v>5.1500000000000005E-4</v>
      </c>
      <c r="E48">
        <v>5.5000000000000002E-5</v>
      </c>
      <c r="F48">
        <v>1.585E-3</v>
      </c>
      <c r="G48">
        <v>5.2599999999999999E-4</v>
      </c>
      <c r="H48">
        <v>1.01E-4</v>
      </c>
      <c r="I48">
        <v>5.9400000000000002E-4</v>
      </c>
      <c r="J48">
        <v>3.3500000000000001E-4</v>
      </c>
      <c r="K48">
        <v>3.7599999999999998E-4</v>
      </c>
      <c r="L48">
        <v>1.1479999999999999E-3</v>
      </c>
      <c r="M48">
        <v>0</v>
      </c>
      <c r="N48">
        <v>9.1000000000000003E-5</v>
      </c>
      <c r="O48">
        <v>6.9999999999999999E-6</v>
      </c>
      <c r="P48">
        <v>2.22E-4</v>
      </c>
      <c r="Q48">
        <v>0</v>
      </c>
      <c r="R48">
        <v>3.643E-3</v>
      </c>
      <c r="S48">
        <v>5.1110000000000001E-3</v>
      </c>
      <c r="T48">
        <v>1.0139999999999999E-3</v>
      </c>
      <c r="U48">
        <v>3.9690000000000003E-3</v>
      </c>
      <c r="V48">
        <v>1.067E-3</v>
      </c>
      <c r="W48">
        <v>7.5699999999999997E-4</v>
      </c>
      <c r="X48">
        <v>2.5799999999999998E-4</v>
      </c>
      <c r="Y48">
        <v>3.5799999999999997E-4</v>
      </c>
      <c r="Z48">
        <v>1.4369999999999999E-3</v>
      </c>
      <c r="AA48">
        <v>5.8200000000000005E-4</v>
      </c>
      <c r="AB48">
        <v>2.1080000000000001E-3</v>
      </c>
      <c r="AC48">
        <v>6.0000000000000002E-6</v>
      </c>
      <c r="AD48">
        <v>3.078E-3</v>
      </c>
      <c r="AE48">
        <v>4.0790000000000002E-3</v>
      </c>
      <c r="AF48">
        <v>1.9999999999999999E-6</v>
      </c>
      <c r="AG48">
        <v>4.08E-4</v>
      </c>
      <c r="AH48">
        <v>4.75E-4</v>
      </c>
      <c r="AI48">
        <v>7.5760000000000003E-3</v>
      </c>
      <c r="AJ48">
        <v>5.3340000000000002E-3</v>
      </c>
      <c r="AK48">
        <v>3.0000000000000001E-6</v>
      </c>
      <c r="AL48">
        <v>1.477E-3</v>
      </c>
      <c r="AM48">
        <v>2.444E-3</v>
      </c>
      <c r="AN48">
        <v>7.9999999999999996E-6</v>
      </c>
      <c r="AO48">
        <v>8.0000000000000004E-4</v>
      </c>
      <c r="AP48">
        <v>2.2659999999999998E-3</v>
      </c>
      <c r="AQ48">
        <v>1.405E-3</v>
      </c>
      <c r="AR48">
        <v>5.6800000000000004E-4</v>
      </c>
      <c r="AS48">
        <v>1.8500000000000001E-3</v>
      </c>
      <c r="AT48">
        <v>5.1900000000000004E-4</v>
      </c>
      <c r="AU48">
        <v>3.5458000000000003E-2</v>
      </c>
      <c r="AV48">
        <v>6.2338999999999999E-2</v>
      </c>
      <c r="AW48">
        <v>2.2196E-2</v>
      </c>
      <c r="AX48">
        <v>3.542E-3</v>
      </c>
      <c r="AY48">
        <v>1.0187999999999999E-2</v>
      </c>
      <c r="AZ48">
        <v>1.256E-3</v>
      </c>
      <c r="BA48">
        <v>1.6800000000000001E-3</v>
      </c>
      <c r="BB48">
        <v>2.8149999999999998E-3</v>
      </c>
      <c r="BC48">
        <v>2.49E-3</v>
      </c>
    </row>
    <row r="49" spans="1:55">
      <c r="A49" t="s">
        <v>49</v>
      </c>
      <c r="B49">
        <v>3.9999999999999998E-6</v>
      </c>
      <c r="C49">
        <v>9.9999999999999995E-7</v>
      </c>
      <c r="D49">
        <v>1.13E-4</v>
      </c>
      <c r="E49">
        <v>2.5300000000000002E-4</v>
      </c>
      <c r="F49">
        <v>4.6E-5</v>
      </c>
      <c r="G49">
        <v>3.9999999999999998E-6</v>
      </c>
      <c r="H49">
        <v>0</v>
      </c>
      <c r="I49">
        <v>9.9999999999999995E-7</v>
      </c>
      <c r="J49">
        <v>9.9999999999999995E-7</v>
      </c>
      <c r="K49">
        <v>9.9999999999999995E-7</v>
      </c>
      <c r="L49">
        <v>3.0000000000000001E-6</v>
      </c>
      <c r="M49">
        <v>0</v>
      </c>
      <c r="N49">
        <v>0</v>
      </c>
      <c r="O49">
        <v>0</v>
      </c>
      <c r="P49">
        <v>9.9999999999999995E-7</v>
      </c>
      <c r="Q49">
        <v>0</v>
      </c>
      <c r="R49">
        <v>2.0999999999999999E-5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2.1999999999999999E-5</v>
      </c>
      <c r="AC49">
        <v>0</v>
      </c>
      <c r="AD49">
        <v>9.9999999999999995E-7</v>
      </c>
      <c r="AE49">
        <v>0</v>
      </c>
      <c r="AF49">
        <v>0</v>
      </c>
      <c r="AG49">
        <v>9.9999999999999995E-7</v>
      </c>
      <c r="AH49">
        <v>9.9999999999999995E-7</v>
      </c>
      <c r="AI49">
        <v>1.8E-5</v>
      </c>
      <c r="AJ49">
        <v>6.9999999999999999E-6</v>
      </c>
      <c r="AK49">
        <v>1.0000000000000001E-5</v>
      </c>
      <c r="AL49">
        <v>5.0000000000000004E-6</v>
      </c>
      <c r="AM49">
        <v>1.8E-5</v>
      </c>
      <c r="AN49">
        <v>3.8000000000000002E-5</v>
      </c>
      <c r="AO49">
        <v>1.2E-5</v>
      </c>
      <c r="AP49">
        <v>2.0000000000000002E-5</v>
      </c>
      <c r="AQ49">
        <v>3.0000000000000001E-6</v>
      </c>
      <c r="AR49">
        <v>0</v>
      </c>
      <c r="AS49">
        <v>1.4E-5</v>
      </c>
      <c r="AT49">
        <v>6.0000000000000002E-6</v>
      </c>
      <c r="AU49">
        <v>1.27E-4</v>
      </c>
      <c r="AV49">
        <v>6.0999999999999999E-5</v>
      </c>
      <c r="AW49">
        <v>2.99E-4</v>
      </c>
      <c r="AX49">
        <v>3.0000000000000001E-6</v>
      </c>
      <c r="AY49">
        <v>3.6000000000000001E-5</v>
      </c>
      <c r="AZ49">
        <v>9.9999999999999995E-7</v>
      </c>
      <c r="BA49">
        <v>9.9999999999999995E-7</v>
      </c>
      <c r="BB49">
        <v>3.9999999999999998E-6</v>
      </c>
      <c r="BC49">
        <v>1.9999999999999999E-6</v>
      </c>
    </row>
    <row r="50" spans="1:55">
      <c r="A50" t="s">
        <v>50</v>
      </c>
      <c r="B50">
        <v>0</v>
      </c>
      <c r="C50">
        <v>0</v>
      </c>
      <c r="D50">
        <v>0</v>
      </c>
      <c r="E50">
        <v>0</v>
      </c>
      <c r="F50">
        <v>0</v>
      </c>
      <c r="G50">
        <v>0</v>
      </c>
      <c r="H50">
        <v>0</v>
      </c>
      <c r="I50">
        <v>0</v>
      </c>
      <c r="J50">
        <v>0</v>
      </c>
      <c r="K50">
        <v>4.8999999999999998E-4</v>
      </c>
      <c r="L50">
        <v>5.5589999999999997E-3</v>
      </c>
      <c r="M50">
        <v>0</v>
      </c>
      <c r="N50">
        <v>1.4239999999999999E-3</v>
      </c>
      <c r="O50">
        <v>2.2900000000000001E-4</v>
      </c>
      <c r="P50">
        <v>3.6699999999999998E-4</v>
      </c>
      <c r="Q50">
        <v>0</v>
      </c>
      <c r="R50">
        <v>2.0760000000000002E-3</v>
      </c>
      <c r="S50">
        <v>3.8860000000000001E-3</v>
      </c>
      <c r="T50">
        <v>9.9500000000000001E-4</v>
      </c>
      <c r="U50">
        <v>2.3909999999999999E-3</v>
      </c>
      <c r="V50">
        <v>7.6599999999999997E-4</v>
      </c>
      <c r="W50">
        <v>1.65E-3</v>
      </c>
      <c r="X50">
        <v>1.237E-3</v>
      </c>
      <c r="Y50">
        <v>1.3680000000000001E-3</v>
      </c>
      <c r="Z50">
        <v>2.5439999999999998E-3</v>
      </c>
      <c r="AA50">
        <v>0</v>
      </c>
      <c r="AB50">
        <v>2.7859999999999998E-3</v>
      </c>
      <c r="AC50">
        <v>5.0049999999999999E-3</v>
      </c>
      <c r="AD50">
        <v>1.9680000000000001E-3</v>
      </c>
      <c r="AE50">
        <v>0</v>
      </c>
      <c r="AF50">
        <v>0</v>
      </c>
      <c r="AG50">
        <v>3.852E-3</v>
      </c>
      <c r="AH50">
        <v>1.338E-3</v>
      </c>
      <c r="AI50">
        <v>1.7569999999999999E-2</v>
      </c>
      <c r="AJ50">
        <v>1.9816E-2</v>
      </c>
      <c r="AK50">
        <v>1.1875999999999999E-2</v>
      </c>
      <c r="AL50">
        <v>1.9819999999999998E-3</v>
      </c>
      <c r="AM50">
        <v>2.6159999999999998E-3</v>
      </c>
      <c r="AN50">
        <v>6.8869999999999999E-3</v>
      </c>
      <c r="AO50">
        <v>2.8649999999999999E-3</v>
      </c>
      <c r="AP50">
        <v>4.8329999999999996E-3</v>
      </c>
      <c r="AQ50">
        <v>1.591E-3</v>
      </c>
      <c r="AR50">
        <v>8.5300000000000003E-4</v>
      </c>
      <c r="AS50">
        <v>6.6290000000000003E-3</v>
      </c>
      <c r="AT50">
        <v>5.287E-3</v>
      </c>
      <c r="AU50">
        <v>7.4089999999999998E-3</v>
      </c>
      <c r="AV50">
        <v>4.1099999999999999E-3</v>
      </c>
      <c r="AW50">
        <v>6.875E-3</v>
      </c>
      <c r="AX50">
        <v>1.848E-3</v>
      </c>
      <c r="AY50">
        <v>1.0288E-2</v>
      </c>
      <c r="AZ50">
        <v>2.0110000000000002E-3</v>
      </c>
      <c r="BA50">
        <v>9.6699999999999998E-3</v>
      </c>
      <c r="BB50">
        <v>4.8139999999999997E-3</v>
      </c>
      <c r="BC50">
        <v>1.1540999999999999E-2</v>
      </c>
    </row>
    <row r="51" spans="1:55">
      <c r="A51" t="s">
        <v>51</v>
      </c>
      <c r="B51">
        <v>2.8600000000000001E-4</v>
      </c>
      <c r="C51">
        <v>4.0999999999999999E-4</v>
      </c>
      <c r="D51">
        <v>6.3530000000000001E-3</v>
      </c>
      <c r="E51">
        <v>1.1329999999999999E-3</v>
      </c>
      <c r="F51">
        <v>4.6999999999999997E-5</v>
      </c>
      <c r="G51">
        <v>2.4160000000000002E-3</v>
      </c>
      <c r="H51">
        <v>6.0000000000000002E-5</v>
      </c>
      <c r="I51">
        <v>6.8900000000000005E-4</v>
      </c>
      <c r="J51">
        <v>2.1800000000000001E-4</v>
      </c>
      <c r="K51">
        <v>1.013E-3</v>
      </c>
      <c r="L51">
        <v>7.2300000000000001E-4</v>
      </c>
      <c r="M51">
        <v>0</v>
      </c>
      <c r="N51">
        <v>4.8899999999999996E-4</v>
      </c>
      <c r="O51">
        <v>1.7799999999999999E-4</v>
      </c>
      <c r="P51">
        <v>1.01E-4</v>
      </c>
      <c r="Q51">
        <v>3.9999999999999998E-6</v>
      </c>
      <c r="R51">
        <v>5.8E-4</v>
      </c>
      <c r="S51">
        <v>7.8899999999999999E-4</v>
      </c>
      <c r="T51">
        <v>4.0400000000000001E-4</v>
      </c>
      <c r="U51">
        <v>6.6E-4</v>
      </c>
      <c r="V51">
        <v>1.92E-4</v>
      </c>
      <c r="W51">
        <v>2.34E-4</v>
      </c>
      <c r="X51">
        <v>4.9700000000000005E-4</v>
      </c>
      <c r="Y51">
        <v>2.2499999999999999E-4</v>
      </c>
      <c r="Z51">
        <v>4.5100000000000001E-4</v>
      </c>
      <c r="AA51">
        <v>1.66E-4</v>
      </c>
      <c r="AB51">
        <v>1.14E-3</v>
      </c>
      <c r="AC51">
        <v>8.3699999999999996E-4</v>
      </c>
      <c r="AD51">
        <v>4.44E-4</v>
      </c>
      <c r="AE51">
        <v>1.9889999999999999E-3</v>
      </c>
      <c r="AF51">
        <v>3.1799999999999998E-4</v>
      </c>
      <c r="AG51">
        <v>6.3000000000000003E-4</v>
      </c>
      <c r="AH51">
        <v>6.5700000000000003E-4</v>
      </c>
      <c r="AI51">
        <v>1.5430000000000001E-3</v>
      </c>
      <c r="AJ51">
        <v>9.5500000000000001E-4</v>
      </c>
      <c r="AK51">
        <v>1.23E-3</v>
      </c>
      <c r="AL51">
        <v>1.779E-3</v>
      </c>
      <c r="AM51">
        <v>3.2230000000000002E-3</v>
      </c>
      <c r="AN51">
        <v>1.9949999999999998E-3</v>
      </c>
      <c r="AO51">
        <v>3.6570000000000001E-3</v>
      </c>
      <c r="AP51">
        <v>2.032E-3</v>
      </c>
      <c r="AQ51">
        <v>5.1999999999999995E-4</v>
      </c>
      <c r="AR51">
        <v>1.5799999999999999E-4</v>
      </c>
      <c r="AS51">
        <v>1.0269999999999999E-3</v>
      </c>
      <c r="AT51">
        <v>3.3790000000000001E-3</v>
      </c>
      <c r="AU51">
        <v>2.8649999999999999E-3</v>
      </c>
      <c r="AV51">
        <v>1.892E-3</v>
      </c>
      <c r="AW51">
        <v>1.5690000000000001E-3</v>
      </c>
      <c r="AX51">
        <v>8.8099999999999995E-4</v>
      </c>
      <c r="AY51">
        <v>2.4620000000000002E-3</v>
      </c>
      <c r="AZ51">
        <v>2.6459999999999999E-3</v>
      </c>
      <c r="BA51">
        <v>1.598E-3</v>
      </c>
      <c r="BB51">
        <v>3.0600000000000001E-4</v>
      </c>
      <c r="BC51">
        <v>5.1199999999999998E-4</v>
      </c>
    </row>
    <row r="52" spans="1:55">
      <c r="A52" t="s">
        <v>52</v>
      </c>
      <c r="B52">
        <v>0</v>
      </c>
      <c r="C52">
        <v>0</v>
      </c>
      <c r="D52">
        <v>0</v>
      </c>
      <c r="E52">
        <v>0</v>
      </c>
      <c r="F52">
        <v>6.7599999999999995E-4</v>
      </c>
      <c r="G52">
        <v>0</v>
      </c>
      <c r="H52">
        <v>0</v>
      </c>
      <c r="I52">
        <v>0</v>
      </c>
      <c r="J52">
        <v>0</v>
      </c>
      <c r="K52">
        <v>2.9750000000000002E-3</v>
      </c>
      <c r="L52">
        <v>5.0759999999999998E-3</v>
      </c>
      <c r="M52">
        <v>0</v>
      </c>
      <c r="N52">
        <v>0</v>
      </c>
      <c r="O52">
        <v>4.9299999999999995E-4</v>
      </c>
      <c r="P52">
        <v>2.8600000000000001E-4</v>
      </c>
      <c r="Q52">
        <v>0</v>
      </c>
      <c r="R52">
        <v>2.9350000000000001E-3</v>
      </c>
      <c r="S52">
        <v>0</v>
      </c>
      <c r="T52">
        <v>0</v>
      </c>
      <c r="U52">
        <v>3.8470000000000002E-3</v>
      </c>
      <c r="V52">
        <v>1.485E-3</v>
      </c>
      <c r="W52">
        <v>2.4489999999999998E-3</v>
      </c>
      <c r="X52">
        <v>0</v>
      </c>
      <c r="Y52">
        <v>0</v>
      </c>
      <c r="Z52">
        <v>0</v>
      </c>
      <c r="AA52">
        <v>0</v>
      </c>
      <c r="AB52">
        <v>6.437E-3</v>
      </c>
      <c r="AC52">
        <v>0</v>
      </c>
      <c r="AD52">
        <v>0</v>
      </c>
      <c r="AE52">
        <v>1.155E-3</v>
      </c>
      <c r="AF52">
        <v>3.9999999999999998E-6</v>
      </c>
      <c r="AG52">
        <v>2.1798000000000001E-2</v>
      </c>
      <c r="AH52">
        <v>4.5880000000000001E-3</v>
      </c>
      <c r="AI52">
        <v>1.21E-4</v>
      </c>
      <c r="AJ52">
        <v>1.08E-4</v>
      </c>
      <c r="AK52">
        <v>0.197217</v>
      </c>
      <c r="AL52">
        <v>1.691E-3</v>
      </c>
      <c r="AM52">
        <v>5.4850000000000003E-3</v>
      </c>
      <c r="AN52">
        <v>2.0929999999999998E-3</v>
      </c>
      <c r="AO52">
        <v>2.1949999999999999E-3</v>
      </c>
      <c r="AP52">
        <v>1.22E-4</v>
      </c>
      <c r="AQ52">
        <v>1.851E-3</v>
      </c>
      <c r="AR52">
        <v>2.5119999999999999E-3</v>
      </c>
      <c r="AS52">
        <v>2.4754000000000002E-2</v>
      </c>
      <c r="AT52">
        <v>2.5630000000000002E-3</v>
      </c>
      <c r="AU52">
        <v>5.4219999999999997E-3</v>
      </c>
      <c r="AV52">
        <v>3.614E-3</v>
      </c>
      <c r="AW52">
        <v>8.4599999999999996E-4</v>
      </c>
      <c r="AX52">
        <v>8.9759999999999996E-3</v>
      </c>
      <c r="AY52">
        <v>7.3239999999999998E-3</v>
      </c>
      <c r="AZ52">
        <v>3.2620000000000001E-3</v>
      </c>
      <c r="BA52">
        <v>1.812E-3</v>
      </c>
      <c r="BB52">
        <v>2.1559999999999999E-3</v>
      </c>
      <c r="BC52">
        <v>8.3999999999999995E-5</v>
      </c>
    </row>
    <row r="53" spans="1:55">
      <c r="A53" t="s">
        <v>53</v>
      </c>
      <c r="B53">
        <v>6.0000000000000002E-6</v>
      </c>
      <c r="C53">
        <v>1.0000000000000001E-5</v>
      </c>
      <c r="D53">
        <v>0</v>
      </c>
      <c r="E53">
        <v>0</v>
      </c>
      <c r="F53">
        <v>1.9999999999999999E-6</v>
      </c>
      <c r="G53">
        <v>1.8E-5</v>
      </c>
      <c r="H53">
        <v>1.1E-5</v>
      </c>
      <c r="I53">
        <v>3.9999999999999998E-6</v>
      </c>
      <c r="J53">
        <v>5.0000000000000004E-6</v>
      </c>
      <c r="K53">
        <v>1.2E-5</v>
      </c>
      <c r="L53">
        <v>1.2799999999999999E-4</v>
      </c>
      <c r="M53">
        <v>0</v>
      </c>
      <c r="N53">
        <v>1.0000000000000001E-5</v>
      </c>
      <c r="O53">
        <v>6.9999999999999999E-6</v>
      </c>
      <c r="P53">
        <v>3.0000000000000001E-5</v>
      </c>
      <c r="Q53">
        <v>9.0000000000000002E-6</v>
      </c>
      <c r="R53">
        <v>1.37E-4</v>
      </c>
      <c r="S53">
        <v>7.7999999999999999E-5</v>
      </c>
      <c r="T53">
        <v>4.1E-5</v>
      </c>
      <c r="U53">
        <v>1.9900000000000001E-4</v>
      </c>
      <c r="V53">
        <v>7.7999999999999999E-5</v>
      </c>
      <c r="W53">
        <v>4.8000000000000001E-5</v>
      </c>
      <c r="X53">
        <v>1.07E-4</v>
      </c>
      <c r="Y53">
        <v>8.6000000000000003E-5</v>
      </c>
      <c r="Z53">
        <v>5.8999999999999998E-5</v>
      </c>
      <c r="AA53">
        <v>6.7000000000000002E-5</v>
      </c>
      <c r="AB53">
        <v>1.16E-4</v>
      </c>
      <c r="AC53">
        <v>3.6999999999999998E-5</v>
      </c>
      <c r="AD53">
        <v>4.6E-5</v>
      </c>
      <c r="AE53">
        <v>5.8999999999999998E-5</v>
      </c>
      <c r="AF53">
        <v>1.0000000000000001E-5</v>
      </c>
      <c r="AG53">
        <v>8.3999999999999995E-5</v>
      </c>
      <c r="AH53">
        <v>1.9599999999999999E-4</v>
      </c>
      <c r="AI53">
        <v>4.8999999999999998E-5</v>
      </c>
      <c r="AJ53">
        <v>2.8800000000000001E-4</v>
      </c>
      <c r="AK53">
        <v>8.7000000000000001E-4</v>
      </c>
      <c r="AL53">
        <v>1.12E-4</v>
      </c>
      <c r="AM53">
        <v>2.8E-5</v>
      </c>
      <c r="AN53">
        <v>1.1E-4</v>
      </c>
      <c r="AO53">
        <v>1.8900000000000001E-4</v>
      </c>
      <c r="AP53">
        <v>2.6899999999999998E-4</v>
      </c>
      <c r="AQ53">
        <v>2.5099999999999998E-4</v>
      </c>
      <c r="AR53">
        <v>2.6999999999999999E-5</v>
      </c>
      <c r="AS53">
        <v>2.81E-4</v>
      </c>
      <c r="AT53">
        <v>6.3870000000000003E-3</v>
      </c>
      <c r="AU53">
        <v>1.059E-3</v>
      </c>
      <c r="AV53">
        <v>5.0299999999999997E-4</v>
      </c>
      <c r="AW53">
        <v>4.6700000000000002E-4</v>
      </c>
      <c r="AX53">
        <v>3.9999999999999998E-6</v>
      </c>
      <c r="AY53">
        <v>2.03E-4</v>
      </c>
      <c r="AZ53">
        <v>4.0499999999999998E-4</v>
      </c>
      <c r="BA53">
        <v>2.3319999999999999E-3</v>
      </c>
      <c r="BB53">
        <v>6.0300000000000002E-4</v>
      </c>
      <c r="BC53">
        <v>9.6599999999999995E-4</v>
      </c>
    </row>
    <row r="54" spans="1:55">
      <c r="A54" t="s">
        <v>54</v>
      </c>
      <c r="B54">
        <v>7.7999999999999999E-4</v>
      </c>
      <c r="C54">
        <v>9.0200000000000002E-4</v>
      </c>
      <c r="D54">
        <v>1.2160000000000001E-3</v>
      </c>
      <c r="E54">
        <v>1.4009999999999999E-3</v>
      </c>
      <c r="F54">
        <v>6.7000000000000002E-5</v>
      </c>
      <c r="G54">
        <v>3.1199999999999999E-4</v>
      </c>
      <c r="H54">
        <v>5.8E-5</v>
      </c>
      <c r="I54">
        <v>3.9999999999999998E-6</v>
      </c>
      <c r="J54">
        <v>2.3E-5</v>
      </c>
      <c r="K54">
        <v>1.35E-4</v>
      </c>
      <c r="L54">
        <v>1.3100000000000001E-4</v>
      </c>
      <c r="M54">
        <v>0</v>
      </c>
      <c r="N54">
        <v>1.0139999999999999E-3</v>
      </c>
      <c r="O54">
        <v>1.1E-5</v>
      </c>
      <c r="P54">
        <v>6.0000000000000002E-5</v>
      </c>
      <c r="Q54">
        <v>0</v>
      </c>
      <c r="R54">
        <v>1.828E-3</v>
      </c>
      <c r="S54">
        <v>1.1900000000000001E-3</v>
      </c>
      <c r="T54">
        <v>6.0700000000000001E-4</v>
      </c>
      <c r="U54">
        <v>2.0249999999999999E-3</v>
      </c>
      <c r="V54">
        <v>2.7690000000000002E-3</v>
      </c>
      <c r="W54">
        <v>2.8869999999999998E-3</v>
      </c>
      <c r="X54">
        <v>5.9900000000000003E-4</v>
      </c>
      <c r="Y54">
        <v>1.4170000000000001E-3</v>
      </c>
      <c r="Z54">
        <v>7.3099999999999999E-4</v>
      </c>
      <c r="AA54">
        <v>6.0999999999999999E-5</v>
      </c>
      <c r="AB54">
        <v>4.2400000000000001E-4</v>
      </c>
      <c r="AC54">
        <v>7.45E-4</v>
      </c>
      <c r="AD54">
        <v>8.6499999999999999E-4</v>
      </c>
      <c r="AE54">
        <v>2.9E-5</v>
      </c>
      <c r="AF54">
        <v>1.9999999999999999E-6</v>
      </c>
      <c r="AG54">
        <v>1.451E-3</v>
      </c>
      <c r="AH54">
        <v>2.9599999999999998E-4</v>
      </c>
      <c r="AI54">
        <v>4.7100000000000001E-4</v>
      </c>
      <c r="AJ54">
        <v>3.3500000000000001E-4</v>
      </c>
      <c r="AK54">
        <v>2.1000000000000001E-4</v>
      </c>
      <c r="AL54">
        <v>4.0000000000000003E-5</v>
      </c>
      <c r="AM54">
        <v>5.6700000000000001E-4</v>
      </c>
      <c r="AN54">
        <v>1.124E-3</v>
      </c>
      <c r="AO54">
        <v>1.4300000000000001E-4</v>
      </c>
      <c r="AP54">
        <v>7.1500000000000003E-4</v>
      </c>
      <c r="AQ54">
        <v>1.06E-4</v>
      </c>
      <c r="AR54">
        <v>1.2999999999999999E-5</v>
      </c>
      <c r="AS54">
        <v>3.6000000000000001E-5</v>
      </c>
      <c r="AT54">
        <v>6.4999999999999997E-4</v>
      </c>
      <c r="AU54">
        <v>1.591E-3</v>
      </c>
      <c r="AV54">
        <v>1.0900000000000001E-4</v>
      </c>
      <c r="AW54">
        <v>4.7100000000000001E-4</v>
      </c>
      <c r="AX54">
        <v>5.8999999999999998E-5</v>
      </c>
      <c r="AY54">
        <v>4.46E-4</v>
      </c>
      <c r="AZ54">
        <v>9.5000000000000005E-5</v>
      </c>
      <c r="BA54">
        <v>7.4899999999999999E-4</v>
      </c>
      <c r="BB54">
        <v>5.2160000000000002E-3</v>
      </c>
      <c r="BC54">
        <v>2.477E-3</v>
      </c>
    </row>
    <row r="55" spans="1:55">
      <c r="A55" t="s">
        <v>55</v>
      </c>
      <c r="B55">
        <v>2.1519999999999998E-3</v>
      </c>
      <c r="C55">
        <v>5.1180000000000002E-3</v>
      </c>
      <c r="D55">
        <v>2.4600000000000002E-4</v>
      </c>
      <c r="E55">
        <v>2.8200000000000002E-4</v>
      </c>
      <c r="F55">
        <v>4.8999999999999998E-4</v>
      </c>
      <c r="G55">
        <v>5.5870999999999997E-2</v>
      </c>
      <c r="H55">
        <v>3.2699999999999998E-4</v>
      </c>
      <c r="I55">
        <v>5.8100000000000003E-4</v>
      </c>
      <c r="J55">
        <v>2.1499999999999999E-4</v>
      </c>
      <c r="K55">
        <v>3.39E-4</v>
      </c>
      <c r="L55">
        <v>4.75E-4</v>
      </c>
      <c r="M55">
        <v>0</v>
      </c>
      <c r="N55">
        <v>1.37E-4</v>
      </c>
      <c r="O55">
        <v>1.5799999999999999E-4</v>
      </c>
      <c r="P55">
        <v>2.8890000000000001E-3</v>
      </c>
      <c r="Q55">
        <v>4.0000000000000003E-5</v>
      </c>
      <c r="R55">
        <v>1.9530000000000001E-3</v>
      </c>
      <c r="S55">
        <v>9.6400000000000001E-4</v>
      </c>
      <c r="T55">
        <v>3.6299999999999999E-4</v>
      </c>
      <c r="U55">
        <v>1.732E-3</v>
      </c>
      <c r="V55">
        <v>2.9459999999999998E-3</v>
      </c>
      <c r="W55">
        <v>2.2290000000000001E-3</v>
      </c>
      <c r="X55">
        <v>1.242E-3</v>
      </c>
      <c r="Y55">
        <v>1.5679999999999999E-2</v>
      </c>
      <c r="Z55">
        <v>5.2599999999999999E-4</v>
      </c>
      <c r="AA55">
        <v>2.1699999999999999E-4</v>
      </c>
      <c r="AB55">
        <v>1.16E-3</v>
      </c>
      <c r="AC55">
        <v>7.8399999999999997E-4</v>
      </c>
      <c r="AD55">
        <v>7.9000000000000001E-4</v>
      </c>
      <c r="AE55">
        <v>1.11E-4</v>
      </c>
      <c r="AF55">
        <v>4.8999999999999998E-5</v>
      </c>
      <c r="AG55">
        <v>4.2757000000000003E-2</v>
      </c>
      <c r="AH55">
        <v>1.119E-3</v>
      </c>
      <c r="AI55">
        <v>3.908E-3</v>
      </c>
      <c r="AJ55">
        <v>2.0409999999999998E-3</v>
      </c>
      <c r="AK55">
        <v>7.6499999999999995E-4</v>
      </c>
      <c r="AL55">
        <v>1.3829999999999999E-3</v>
      </c>
      <c r="AM55">
        <v>5.4549999999999998E-3</v>
      </c>
      <c r="AN55">
        <v>1.9980000000000002E-3</v>
      </c>
      <c r="AO55">
        <v>2.8389999999999999E-3</v>
      </c>
      <c r="AP55">
        <v>2.3240000000000001E-3</v>
      </c>
      <c r="AQ55">
        <v>4.6350000000000002E-3</v>
      </c>
      <c r="AR55">
        <v>5.3270000000000001E-3</v>
      </c>
      <c r="AS55">
        <v>9.0300000000000005E-4</v>
      </c>
      <c r="AT55">
        <v>4.06E-4</v>
      </c>
      <c r="AU55">
        <v>3.4900000000000003E-4</v>
      </c>
      <c r="AV55">
        <v>3.6000000000000002E-4</v>
      </c>
      <c r="AW55">
        <v>7.6400000000000003E-4</v>
      </c>
      <c r="AX55">
        <v>3.4600000000000001E-4</v>
      </c>
      <c r="AY55">
        <v>3.5439999999999998E-3</v>
      </c>
      <c r="AZ55">
        <v>4.3429999999999996E-3</v>
      </c>
      <c r="BA55">
        <v>4.47E-3</v>
      </c>
      <c r="BB55">
        <v>7.5399999999999998E-3</v>
      </c>
      <c r="BC55">
        <v>2.7234999999999999E-2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55"/>
  <sheetViews>
    <sheetView topLeftCell="A28"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5.9490000000000001E-2</v>
      </c>
      <c r="C2">
        <v>0</v>
      </c>
      <c r="D2">
        <v>0</v>
      </c>
      <c r="E2">
        <v>0</v>
      </c>
      <c r="F2">
        <v>0</v>
      </c>
      <c r="G2">
        <v>5.3999999999999998E-5</v>
      </c>
      <c r="H2">
        <v>0</v>
      </c>
      <c r="I2">
        <v>0</v>
      </c>
      <c r="J2">
        <v>1.2390000000000001E-3</v>
      </c>
      <c r="K2">
        <v>0</v>
      </c>
      <c r="L2">
        <v>0</v>
      </c>
      <c r="M2">
        <v>0</v>
      </c>
      <c r="N2">
        <v>0</v>
      </c>
      <c r="O2">
        <v>0</v>
      </c>
      <c r="P2">
        <v>9.8900000000000002E-2</v>
      </c>
      <c r="Q2">
        <v>0</v>
      </c>
      <c r="R2">
        <v>0</v>
      </c>
      <c r="S2">
        <v>0</v>
      </c>
      <c r="T2">
        <v>0</v>
      </c>
      <c r="U2">
        <v>0</v>
      </c>
      <c r="V2">
        <v>2.34E-4</v>
      </c>
      <c r="W2">
        <v>0</v>
      </c>
      <c r="X2">
        <v>5.8399999999999999E-4</v>
      </c>
      <c r="Y2">
        <v>0</v>
      </c>
      <c r="Z2">
        <v>0</v>
      </c>
      <c r="AA2">
        <v>0</v>
      </c>
      <c r="AB2">
        <v>0</v>
      </c>
      <c r="AC2">
        <v>0</v>
      </c>
      <c r="AD2">
        <v>0</v>
      </c>
      <c r="AE2">
        <v>0</v>
      </c>
      <c r="AF2">
        <v>0</v>
      </c>
      <c r="AG2">
        <v>0</v>
      </c>
      <c r="AH2">
        <v>0</v>
      </c>
      <c r="AI2">
        <v>0</v>
      </c>
      <c r="AJ2">
        <v>0</v>
      </c>
      <c r="AK2">
        <v>0</v>
      </c>
      <c r="AL2">
        <v>0</v>
      </c>
      <c r="AM2">
        <v>0</v>
      </c>
      <c r="AN2">
        <v>0</v>
      </c>
      <c r="AO2">
        <v>0</v>
      </c>
      <c r="AP2">
        <v>0</v>
      </c>
      <c r="AQ2">
        <v>2.6949999999999999E-3</v>
      </c>
      <c r="AR2">
        <v>7.8340000000000007E-3</v>
      </c>
      <c r="AS2">
        <v>0</v>
      </c>
      <c r="AT2">
        <v>0</v>
      </c>
      <c r="AU2">
        <v>0</v>
      </c>
      <c r="AV2">
        <v>0</v>
      </c>
      <c r="AW2">
        <v>0</v>
      </c>
      <c r="AX2">
        <v>0</v>
      </c>
      <c r="AY2">
        <v>0</v>
      </c>
      <c r="AZ2">
        <v>2.8379999999999998E-3</v>
      </c>
      <c r="BA2">
        <v>2.9799999999999998E-4</v>
      </c>
      <c r="BB2">
        <v>1.024E-3</v>
      </c>
      <c r="BC2">
        <v>5.2969999999999996E-3</v>
      </c>
    </row>
    <row r="3" spans="1:55">
      <c r="A3" t="s">
        <v>3</v>
      </c>
      <c r="B3">
        <v>0</v>
      </c>
      <c r="C3">
        <v>1.1165E-2</v>
      </c>
      <c r="D3">
        <v>0</v>
      </c>
      <c r="E3">
        <v>0</v>
      </c>
      <c r="F3">
        <v>1.4E-5</v>
      </c>
      <c r="G3">
        <v>0</v>
      </c>
      <c r="H3">
        <v>0</v>
      </c>
      <c r="I3">
        <v>0</v>
      </c>
      <c r="J3">
        <v>0</v>
      </c>
      <c r="K3">
        <v>0</v>
      </c>
      <c r="L3">
        <v>0</v>
      </c>
      <c r="M3">
        <v>0</v>
      </c>
      <c r="N3">
        <v>0</v>
      </c>
      <c r="O3">
        <v>0</v>
      </c>
      <c r="P3">
        <v>7.2090000000000001E-3</v>
      </c>
      <c r="Q3">
        <v>0</v>
      </c>
      <c r="R3">
        <v>0</v>
      </c>
      <c r="S3">
        <v>0</v>
      </c>
      <c r="T3">
        <v>0</v>
      </c>
      <c r="U3">
        <v>0</v>
      </c>
      <c r="V3">
        <v>4.6200000000000001E-4</v>
      </c>
      <c r="W3">
        <v>0</v>
      </c>
      <c r="X3">
        <v>0</v>
      </c>
      <c r="Y3">
        <v>0</v>
      </c>
      <c r="Z3">
        <v>0</v>
      </c>
      <c r="AA3">
        <v>0</v>
      </c>
      <c r="AB3">
        <v>0</v>
      </c>
      <c r="AC3">
        <v>4.8999999999999998E-5</v>
      </c>
      <c r="AD3">
        <v>0</v>
      </c>
      <c r="AE3">
        <v>3.9999999999999998E-6</v>
      </c>
      <c r="AF3">
        <v>0</v>
      </c>
      <c r="AG3">
        <v>0</v>
      </c>
      <c r="AH3">
        <v>1.85E-4</v>
      </c>
      <c r="AI3">
        <v>0</v>
      </c>
      <c r="AJ3">
        <v>0</v>
      </c>
      <c r="AK3">
        <v>1.0219999999999999E-3</v>
      </c>
      <c r="AL3">
        <v>0</v>
      </c>
      <c r="AM3">
        <v>6.3100000000000005E-4</v>
      </c>
      <c r="AN3">
        <v>0</v>
      </c>
      <c r="AO3">
        <v>1.5529999999999999E-3</v>
      </c>
      <c r="AP3">
        <v>0</v>
      </c>
      <c r="AQ3">
        <v>8.4430000000000009E-3</v>
      </c>
      <c r="AR3">
        <v>1.8501E-2</v>
      </c>
      <c r="AS3">
        <v>0</v>
      </c>
      <c r="AT3">
        <v>2.5000000000000001E-5</v>
      </c>
      <c r="AU3">
        <v>0</v>
      </c>
      <c r="AV3">
        <v>0</v>
      </c>
      <c r="AW3">
        <v>0</v>
      </c>
      <c r="AX3">
        <v>0</v>
      </c>
      <c r="AY3">
        <v>0</v>
      </c>
      <c r="AZ3">
        <v>8.3999999999999995E-5</v>
      </c>
      <c r="BA3">
        <v>1.2300000000000001E-4</v>
      </c>
      <c r="BB3">
        <v>7.4460000000000004E-3</v>
      </c>
      <c r="BC3">
        <v>6.0800000000000003E-4</v>
      </c>
    </row>
    <row r="4" spans="1:55">
      <c r="A4" t="s">
        <v>4</v>
      </c>
      <c r="B4">
        <v>0</v>
      </c>
      <c r="C4">
        <v>0</v>
      </c>
      <c r="D4">
        <v>7.6270000000000004E-2</v>
      </c>
      <c r="E4">
        <v>0</v>
      </c>
      <c r="F4">
        <v>0</v>
      </c>
      <c r="G4">
        <v>0</v>
      </c>
      <c r="H4">
        <v>0</v>
      </c>
      <c r="I4">
        <v>0</v>
      </c>
      <c r="J4">
        <v>0</v>
      </c>
      <c r="K4">
        <v>0</v>
      </c>
      <c r="L4">
        <v>0</v>
      </c>
      <c r="M4">
        <v>0</v>
      </c>
      <c r="N4">
        <v>0</v>
      </c>
      <c r="O4">
        <v>0</v>
      </c>
      <c r="P4">
        <v>0</v>
      </c>
      <c r="Q4">
        <v>0</v>
      </c>
      <c r="R4">
        <v>0</v>
      </c>
      <c r="S4">
        <v>0</v>
      </c>
      <c r="T4">
        <v>0</v>
      </c>
      <c r="U4">
        <v>0</v>
      </c>
      <c r="V4">
        <v>0</v>
      </c>
      <c r="W4">
        <v>0.22894800000000001</v>
      </c>
      <c r="X4">
        <v>0</v>
      </c>
      <c r="Y4">
        <v>0</v>
      </c>
      <c r="Z4">
        <v>0</v>
      </c>
      <c r="AA4">
        <v>0</v>
      </c>
      <c r="AB4">
        <v>0</v>
      </c>
      <c r="AC4">
        <v>0</v>
      </c>
      <c r="AD4">
        <v>0</v>
      </c>
      <c r="AE4">
        <v>0</v>
      </c>
      <c r="AF4">
        <v>0</v>
      </c>
      <c r="AG4">
        <v>0</v>
      </c>
      <c r="AH4">
        <v>0</v>
      </c>
      <c r="AI4">
        <v>0</v>
      </c>
      <c r="AJ4">
        <v>4.1999999999999998E-5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8.4192000000000003E-2</v>
      </c>
      <c r="F5">
        <v>0</v>
      </c>
      <c r="G5">
        <v>0</v>
      </c>
      <c r="H5">
        <v>0</v>
      </c>
      <c r="I5">
        <v>0</v>
      </c>
      <c r="J5">
        <v>0</v>
      </c>
      <c r="K5">
        <v>0</v>
      </c>
      <c r="L5">
        <v>0</v>
      </c>
      <c r="M5">
        <v>0</v>
      </c>
      <c r="N5">
        <v>0</v>
      </c>
      <c r="O5">
        <v>0</v>
      </c>
      <c r="P5">
        <v>0.11957</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5.5931000000000002E-2</v>
      </c>
      <c r="G6">
        <v>0</v>
      </c>
      <c r="H6">
        <v>0</v>
      </c>
      <c r="I6">
        <v>0</v>
      </c>
      <c r="J6">
        <v>0</v>
      </c>
      <c r="K6">
        <v>0</v>
      </c>
      <c r="L6">
        <v>0</v>
      </c>
      <c r="M6">
        <v>0</v>
      </c>
      <c r="N6">
        <v>0</v>
      </c>
      <c r="O6">
        <v>0</v>
      </c>
      <c r="P6">
        <v>1.3990000000000001E-3</v>
      </c>
      <c r="Q6">
        <v>0</v>
      </c>
      <c r="R6">
        <v>0</v>
      </c>
      <c r="S6">
        <v>7.1539999999999998E-3</v>
      </c>
      <c r="T6">
        <v>1.5E-5</v>
      </c>
      <c r="U6">
        <v>0</v>
      </c>
      <c r="V6">
        <v>3.2446000000000003E-2</v>
      </c>
      <c r="W6">
        <v>8.3999999999999995E-5</v>
      </c>
      <c r="X6">
        <v>3.0000000000000001E-6</v>
      </c>
      <c r="Y6">
        <v>0</v>
      </c>
      <c r="Z6">
        <v>0</v>
      </c>
      <c r="AA6">
        <v>7.2000000000000002E-5</v>
      </c>
      <c r="AB6">
        <v>0</v>
      </c>
      <c r="AC6">
        <v>4.81E-3</v>
      </c>
      <c r="AD6">
        <v>2.7920000000000002E-3</v>
      </c>
      <c r="AE6">
        <v>0</v>
      </c>
      <c r="AF6">
        <v>0</v>
      </c>
      <c r="AG6">
        <v>0</v>
      </c>
      <c r="AH6">
        <v>1.9999999999999999E-6</v>
      </c>
      <c r="AI6">
        <v>0</v>
      </c>
      <c r="AJ6">
        <v>0</v>
      </c>
      <c r="AK6">
        <v>0</v>
      </c>
      <c r="AL6">
        <v>0</v>
      </c>
      <c r="AM6">
        <v>0</v>
      </c>
      <c r="AN6">
        <v>0</v>
      </c>
      <c r="AO6">
        <v>0</v>
      </c>
      <c r="AP6">
        <v>0</v>
      </c>
      <c r="AQ6">
        <v>3.4999999999999997E-5</v>
      </c>
      <c r="AR6">
        <v>5.4580000000000002E-3</v>
      </c>
      <c r="AS6">
        <v>0</v>
      </c>
      <c r="AT6">
        <v>0</v>
      </c>
      <c r="AU6">
        <v>0</v>
      </c>
      <c r="AV6">
        <v>0</v>
      </c>
      <c r="AW6">
        <v>0</v>
      </c>
      <c r="AX6">
        <v>0</v>
      </c>
      <c r="AY6">
        <v>0</v>
      </c>
      <c r="AZ6">
        <v>9.9999999999999995E-7</v>
      </c>
      <c r="BA6">
        <v>6.0000000000000002E-6</v>
      </c>
      <c r="BB6">
        <v>9.7999999999999997E-4</v>
      </c>
      <c r="BC6">
        <v>1.3999999999999999E-4</v>
      </c>
    </row>
    <row r="7" spans="1:55">
      <c r="A7" t="s">
        <v>7</v>
      </c>
      <c r="B7">
        <v>1.542E-3</v>
      </c>
      <c r="C7">
        <v>9.1330000000000005E-3</v>
      </c>
      <c r="D7">
        <v>0</v>
      </c>
      <c r="E7">
        <v>4.5000000000000003E-5</v>
      </c>
      <c r="F7">
        <v>6.0000000000000002E-5</v>
      </c>
      <c r="G7">
        <v>1.0192E-2</v>
      </c>
      <c r="H7">
        <v>3.4870000000000001E-3</v>
      </c>
      <c r="I7">
        <v>8.6000000000000003E-5</v>
      </c>
      <c r="J7">
        <v>9.0000000000000002E-6</v>
      </c>
      <c r="K7">
        <v>0</v>
      </c>
      <c r="L7">
        <v>0</v>
      </c>
      <c r="M7">
        <v>0</v>
      </c>
      <c r="N7">
        <v>0</v>
      </c>
      <c r="O7">
        <v>0</v>
      </c>
      <c r="P7">
        <v>3.0518E-2</v>
      </c>
      <c r="Q7">
        <v>0</v>
      </c>
      <c r="R7">
        <v>6.7260000000000002E-3</v>
      </c>
      <c r="S7">
        <v>7.6080000000000002E-3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1.5696000000000002E-2</v>
      </c>
      <c r="AR7">
        <v>2.3299E-2</v>
      </c>
      <c r="AS7">
        <v>0</v>
      </c>
      <c r="AT7">
        <v>0</v>
      </c>
      <c r="AU7">
        <v>0</v>
      </c>
      <c r="AV7">
        <v>0</v>
      </c>
      <c r="AW7">
        <v>0</v>
      </c>
      <c r="AX7">
        <v>0</v>
      </c>
      <c r="AY7">
        <v>0</v>
      </c>
      <c r="AZ7">
        <v>1.8489999999999999E-3</v>
      </c>
      <c r="BA7">
        <v>7.0100000000000002E-4</v>
      </c>
      <c r="BB7">
        <v>5.3330000000000001E-3</v>
      </c>
      <c r="BC7">
        <v>4.8919999999999996E-3</v>
      </c>
    </row>
    <row r="8" spans="1:55">
      <c r="A8" t="s">
        <v>8</v>
      </c>
      <c r="B8">
        <v>1.4094000000000001E-2</v>
      </c>
      <c r="C8">
        <v>1.0076999999999999E-2</v>
      </c>
      <c r="D8">
        <v>0</v>
      </c>
      <c r="E8">
        <v>5.6683999999999998E-2</v>
      </c>
      <c r="F8">
        <v>0.189606</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3.6999999999999999E-4</v>
      </c>
      <c r="BA8">
        <v>0</v>
      </c>
      <c r="BB8">
        <v>0</v>
      </c>
      <c r="BC8">
        <v>0</v>
      </c>
    </row>
    <row r="9" spans="1:55">
      <c r="A9" t="s">
        <v>9</v>
      </c>
      <c r="B9">
        <v>0</v>
      </c>
      <c r="C9">
        <v>9.3999999999999994E-5</v>
      </c>
      <c r="D9">
        <v>0</v>
      </c>
      <c r="E9">
        <v>8.0599999999999997E-4</v>
      </c>
      <c r="F9">
        <v>2.9399999999999999E-4</v>
      </c>
      <c r="G9">
        <v>5.0299999999999997E-4</v>
      </c>
      <c r="H9">
        <v>9.9999999999999995E-7</v>
      </c>
      <c r="I9">
        <v>1.2936E-2</v>
      </c>
      <c r="J9">
        <v>3.8999999999999999E-5</v>
      </c>
      <c r="K9">
        <v>0</v>
      </c>
      <c r="L9">
        <v>3.2400000000000001E-4</v>
      </c>
      <c r="M9">
        <v>0</v>
      </c>
      <c r="N9">
        <v>1.2799999999999999E-4</v>
      </c>
      <c r="O9">
        <v>4.3999999999999999E-5</v>
      </c>
      <c r="P9">
        <v>4.8000000000000001E-4</v>
      </c>
      <c r="Q9">
        <v>0</v>
      </c>
      <c r="R9">
        <v>4.4450000000000002E-3</v>
      </c>
      <c r="S9">
        <v>1.013E-3</v>
      </c>
      <c r="T9">
        <v>0.23222699999999999</v>
      </c>
      <c r="U9">
        <v>3.0661999999999998E-2</v>
      </c>
      <c r="V9">
        <v>1.606E-3</v>
      </c>
      <c r="W9">
        <v>3.4200000000000002E-4</v>
      </c>
      <c r="X9">
        <v>3.6999999999999998E-5</v>
      </c>
      <c r="Y9">
        <v>1.9999999999999999E-6</v>
      </c>
      <c r="Z9">
        <v>4.1E-5</v>
      </c>
      <c r="AA9">
        <v>0</v>
      </c>
      <c r="AB9">
        <v>2.32E-4</v>
      </c>
      <c r="AC9">
        <v>8.7819999999999999E-3</v>
      </c>
      <c r="AD9">
        <v>4.2630000000000003E-3</v>
      </c>
      <c r="AE9">
        <v>0</v>
      </c>
      <c r="AF9">
        <v>0</v>
      </c>
      <c r="AG9">
        <v>0</v>
      </c>
      <c r="AH9">
        <v>1.9262000000000001E-2</v>
      </c>
      <c r="AI9">
        <v>2.22E-4</v>
      </c>
      <c r="AJ9">
        <v>1.2999999999999999E-5</v>
      </c>
      <c r="AK9">
        <v>0</v>
      </c>
      <c r="AL9">
        <v>0</v>
      </c>
      <c r="AM9">
        <v>0</v>
      </c>
      <c r="AN9">
        <v>0</v>
      </c>
      <c r="AO9">
        <v>0</v>
      </c>
      <c r="AP9">
        <v>0</v>
      </c>
      <c r="AQ9">
        <v>2.13E-4</v>
      </c>
      <c r="AR9">
        <v>1.84E-4</v>
      </c>
      <c r="AS9">
        <v>0</v>
      </c>
      <c r="AT9">
        <v>0</v>
      </c>
      <c r="AU9">
        <v>0</v>
      </c>
      <c r="AV9">
        <v>0</v>
      </c>
      <c r="AW9">
        <v>0</v>
      </c>
      <c r="AX9">
        <v>0</v>
      </c>
      <c r="AY9">
        <v>0</v>
      </c>
      <c r="AZ9">
        <v>3.0000000000000001E-6</v>
      </c>
      <c r="BA9">
        <v>0</v>
      </c>
      <c r="BB9">
        <v>0</v>
      </c>
      <c r="BC9">
        <v>1.2E-4</v>
      </c>
    </row>
    <row r="10" spans="1:55">
      <c r="A10" t="s">
        <v>10</v>
      </c>
      <c r="B10">
        <v>0</v>
      </c>
      <c r="C10">
        <v>0</v>
      </c>
      <c r="D10">
        <v>0</v>
      </c>
      <c r="E10">
        <v>0</v>
      </c>
      <c r="F10">
        <v>0</v>
      </c>
      <c r="G10">
        <v>0</v>
      </c>
      <c r="H10">
        <v>0</v>
      </c>
      <c r="I10">
        <v>0</v>
      </c>
      <c r="J10">
        <v>1.6022000000000002E-2</v>
      </c>
      <c r="K10">
        <v>0</v>
      </c>
      <c r="L10">
        <v>0</v>
      </c>
      <c r="M10">
        <v>0</v>
      </c>
      <c r="N10">
        <v>0</v>
      </c>
      <c r="O10">
        <v>0</v>
      </c>
      <c r="P10">
        <v>3.5142E-2</v>
      </c>
      <c r="Q10">
        <v>0</v>
      </c>
      <c r="R10">
        <v>0</v>
      </c>
      <c r="S10">
        <v>0</v>
      </c>
      <c r="T10">
        <v>0</v>
      </c>
      <c r="U10">
        <v>0</v>
      </c>
      <c r="V10">
        <v>1.13E-4</v>
      </c>
      <c r="W10">
        <v>0</v>
      </c>
      <c r="X10">
        <v>0</v>
      </c>
      <c r="Y10">
        <v>0</v>
      </c>
      <c r="Z10">
        <v>0</v>
      </c>
      <c r="AA10">
        <v>0</v>
      </c>
      <c r="AB10">
        <v>0</v>
      </c>
      <c r="AC10">
        <v>3.1000000000000001E-5</v>
      </c>
      <c r="AD10">
        <v>3.1250000000000002E-3</v>
      </c>
      <c r="AE10">
        <v>0</v>
      </c>
      <c r="AF10">
        <v>0</v>
      </c>
      <c r="AG10">
        <v>0</v>
      </c>
      <c r="AH10">
        <v>0</v>
      </c>
      <c r="AI10">
        <v>0</v>
      </c>
      <c r="AJ10">
        <v>0</v>
      </c>
      <c r="AK10">
        <v>0</v>
      </c>
      <c r="AL10">
        <v>0</v>
      </c>
      <c r="AM10">
        <v>0</v>
      </c>
      <c r="AN10">
        <v>0</v>
      </c>
      <c r="AO10">
        <v>0</v>
      </c>
      <c r="AP10">
        <v>0</v>
      </c>
      <c r="AQ10">
        <v>1.6924000000000002E-2</v>
      </c>
      <c r="AR10">
        <v>5.6401E-2</v>
      </c>
      <c r="AS10">
        <v>0</v>
      </c>
      <c r="AT10">
        <v>0</v>
      </c>
      <c r="AU10">
        <v>0</v>
      </c>
      <c r="AV10">
        <v>0</v>
      </c>
      <c r="AW10">
        <v>0</v>
      </c>
      <c r="AX10">
        <v>0</v>
      </c>
      <c r="AY10">
        <v>0</v>
      </c>
      <c r="AZ10">
        <v>3.0800000000000001E-4</v>
      </c>
      <c r="BA10">
        <v>1.926E-3</v>
      </c>
      <c r="BB10">
        <v>3.8219999999999999E-3</v>
      </c>
      <c r="BC10">
        <v>1.3585E-2</v>
      </c>
    </row>
    <row r="11" spans="1:55">
      <c r="A11" t="s">
        <v>11</v>
      </c>
      <c r="B11">
        <v>6.9999999999999994E-5</v>
      </c>
      <c r="C11">
        <v>1.05E-4</v>
      </c>
      <c r="D11">
        <v>0</v>
      </c>
      <c r="E11">
        <v>0</v>
      </c>
      <c r="F11">
        <v>1.4E-5</v>
      </c>
      <c r="G11">
        <v>5.9599999999999996E-4</v>
      </c>
      <c r="H11">
        <v>1.5E-5</v>
      </c>
      <c r="I11">
        <v>1.7200000000000001E-4</v>
      </c>
      <c r="J11">
        <v>5.3999999999999998E-5</v>
      </c>
      <c r="K11">
        <v>0.10730199999999999</v>
      </c>
      <c r="L11">
        <v>2.1389999999999998E-3</v>
      </c>
      <c r="M11">
        <v>0</v>
      </c>
      <c r="N11">
        <v>2.05E-4</v>
      </c>
      <c r="O11">
        <v>0.20952499999999999</v>
      </c>
      <c r="P11">
        <v>2.9E-5</v>
      </c>
      <c r="Q11">
        <v>0</v>
      </c>
      <c r="R11">
        <v>1.4899999999999999E-4</v>
      </c>
      <c r="S11">
        <v>2.05E-4</v>
      </c>
      <c r="T11">
        <v>9.8999999999999994E-5</v>
      </c>
      <c r="U11">
        <v>1.66E-4</v>
      </c>
      <c r="V11">
        <v>0.16828099999999999</v>
      </c>
      <c r="W11">
        <v>3.7217E-2</v>
      </c>
      <c r="X11">
        <v>1.8676000000000002E-2</v>
      </c>
      <c r="Y11">
        <v>8.3042000000000005E-2</v>
      </c>
      <c r="Z11">
        <v>1.1198E-2</v>
      </c>
      <c r="AA11">
        <v>4.0000000000000003E-5</v>
      </c>
      <c r="AB11">
        <v>2.9599999999999998E-4</v>
      </c>
      <c r="AC11">
        <v>2.32E-4</v>
      </c>
      <c r="AD11">
        <v>1.5899999999999999E-4</v>
      </c>
      <c r="AE11">
        <v>0.456119</v>
      </c>
      <c r="AF11">
        <v>0.18914</v>
      </c>
      <c r="AG11">
        <v>1.63E-4</v>
      </c>
      <c r="AH11">
        <v>5.4799999999999998E-4</v>
      </c>
      <c r="AI11">
        <v>3.8900000000000002E-4</v>
      </c>
      <c r="AJ11">
        <v>4.4000000000000002E-4</v>
      </c>
      <c r="AK11">
        <v>3.0699999999999998E-4</v>
      </c>
      <c r="AL11">
        <v>4.1199999999999999E-4</v>
      </c>
      <c r="AM11">
        <v>7.76E-4</v>
      </c>
      <c r="AN11">
        <v>4.8299999999999998E-4</v>
      </c>
      <c r="AO11">
        <v>8.83E-4</v>
      </c>
      <c r="AP11">
        <v>5.2099999999999998E-4</v>
      </c>
      <c r="AQ11">
        <v>1.3300000000000001E-4</v>
      </c>
      <c r="AR11">
        <v>3.8000000000000002E-5</v>
      </c>
      <c r="AS11">
        <v>6.0800000000000003E-4</v>
      </c>
      <c r="AT11">
        <v>8.7699999999999996E-4</v>
      </c>
      <c r="AU11">
        <v>7.5799999999999999E-4</v>
      </c>
      <c r="AV11">
        <v>4.8200000000000001E-4</v>
      </c>
      <c r="AW11">
        <v>4.2299999999999998E-4</v>
      </c>
      <c r="AX11">
        <v>2.2599999999999999E-4</v>
      </c>
      <c r="AY11">
        <v>6.3000000000000003E-4</v>
      </c>
      <c r="AZ11">
        <v>6.8900000000000005E-4</v>
      </c>
      <c r="BA11">
        <v>4.1399999999999998E-4</v>
      </c>
      <c r="BB11">
        <v>7.7999999999999999E-5</v>
      </c>
      <c r="BC11">
        <v>1.2899999999999999E-4</v>
      </c>
    </row>
    <row r="12" spans="1:55">
      <c r="A12" t="s">
        <v>12</v>
      </c>
      <c r="B12">
        <v>8.2000000000000001E-5</v>
      </c>
      <c r="C12">
        <v>1.2400000000000001E-4</v>
      </c>
      <c r="D12">
        <v>0</v>
      </c>
      <c r="E12">
        <v>0</v>
      </c>
      <c r="F12">
        <v>1.4E-5</v>
      </c>
      <c r="G12">
        <v>6.9200000000000002E-4</v>
      </c>
      <c r="H12">
        <v>1.9000000000000001E-5</v>
      </c>
      <c r="I12">
        <v>2.03E-4</v>
      </c>
      <c r="J12">
        <v>6.6000000000000005E-5</v>
      </c>
      <c r="K12">
        <v>3.3300000000000002E-4</v>
      </c>
      <c r="L12">
        <v>0.12897700000000001</v>
      </c>
      <c r="M12">
        <v>0</v>
      </c>
      <c r="N12">
        <v>1.3999999999999999E-4</v>
      </c>
      <c r="O12">
        <v>7.2589999999999998E-3</v>
      </c>
      <c r="P12">
        <v>3.4E-5</v>
      </c>
      <c r="Q12">
        <v>0</v>
      </c>
      <c r="R12">
        <v>2.9799999999999998E-4</v>
      </c>
      <c r="S12">
        <v>2.9500000000000001E-4</v>
      </c>
      <c r="T12">
        <v>1.44E-4</v>
      </c>
      <c r="U12">
        <v>2.9999999999999997E-4</v>
      </c>
      <c r="V12">
        <v>1.14E-3</v>
      </c>
      <c r="W12">
        <v>1.08E-4</v>
      </c>
      <c r="X12">
        <v>0.242035</v>
      </c>
      <c r="Y12">
        <v>2.5010999999999999E-2</v>
      </c>
      <c r="Z12">
        <v>2.4760000000000001E-2</v>
      </c>
      <c r="AA12">
        <v>6.6000000000000005E-5</v>
      </c>
      <c r="AB12">
        <v>3.6000000000000002E-4</v>
      </c>
      <c r="AC12">
        <v>2.7799999999999998E-4</v>
      </c>
      <c r="AD12">
        <v>1.8900000000000001E-4</v>
      </c>
      <c r="AE12">
        <v>0.17638499999999999</v>
      </c>
      <c r="AF12">
        <v>4.6342000000000001E-2</v>
      </c>
      <c r="AG12">
        <v>3.77E-4</v>
      </c>
      <c r="AH12">
        <v>3.2899999999999997E-4</v>
      </c>
      <c r="AI12">
        <v>4.8700000000000002E-4</v>
      </c>
      <c r="AJ12">
        <v>5.4100000000000003E-4</v>
      </c>
      <c r="AK12">
        <v>6.3199999999999997E-4</v>
      </c>
      <c r="AL12">
        <v>4.7899999999999999E-4</v>
      </c>
      <c r="AM12">
        <v>9.0300000000000005E-4</v>
      </c>
      <c r="AN12">
        <v>5.9800000000000001E-4</v>
      </c>
      <c r="AO12">
        <v>1.0219999999999999E-3</v>
      </c>
      <c r="AP12">
        <v>6.4499999999999996E-4</v>
      </c>
      <c r="AQ12">
        <v>1.8000000000000001E-4</v>
      </c>
      <c r="AR12">
        <v>5.1E-5</v>
      </c>
      <c r="AS12">
        <v>7.2900000000000005E-4</v>
      </c>
      <c r="AT12">
        <v>1.0219999999999999E-3</v>
      </c>
      <c r="AU12">
        <v>8.8999999999999995E-4</v>
      </c>
      <c r="AV12">
        <v>5.7200000000000003E-4</v>
      </c>
      <c r="AW12">
        <v>5.0299999999999997E-4</v>
      </c>
      <c r="AX12">
        <v>2.6800000000000001E-4</v>
      </c>
      <c r="AY12">
        <v>7.5000000000000002E-4</v>
      </c>
      <c r="AZ12">
        <v>8.5599999999999999E-4</v>
      </c>
      <c r="BA12">
        <v>5.0900000000000001E-4</v>
      </c>
      <c r="BB12">
        <v>1.3200000000000001E-4</v>
      </c>
      <c r="BC12">
        <v>2.04E-4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2.0999999999999999E-5</v>
      </c>
      <c r="C14">
        <v>2.5999999999999998E-5</v>
      </c>
      <c r="D14">
        <v>0</v>
      </c>
      <c r="E14">
        <v>0</v>
      </c>
      <c r="F14">
        <v>1.4E-5</v>
      </c>
      <c r="G14">
        <v>1.1900000000000001E-4</v>
      </c>
      <c r="H14">
        <v>3.0000000000000001E-6</v>
      </c>
      <c r="I14">
        <v>4.3000000000000002E-5</v>
      </c>
      <c r="J14">
        <v>1.1E-5</v>
      </c>
      <c r="K14">
        <v>9.5770000000000004E-3</v>
      </c>
      <c r="L14">
        <v>0.10514</v>
      </c>
      <c r="M14">
        <v>0</v>
      </c>
      <c r="N14">
        <v>1.6559999999999998E-2</v>
      </c>
      <c r="O14">
        <v>3.4E-5</v>
      </c>
      <c r="P14">
        <v>1.1119999999999999E-3</v>
      </c>
      <c r="Q14">
        <v>0</v>
      </c>
      <c r="R14">
        <v>2.9E-5</v>
      </c>
      <c r="S14">
        <v>4.6999999999999999E-4</v>
      </c>
      <c r="T14">
        <v>5.1999999999999997E-5</v>
      </c>
      <c r="U14">
        <v>3.3000000000000003E-5</v>
      </c>
      <c r="V14">
        <v>2.9003000000000001E-2</v>
      </c>
      <c r="W14">
        <v>5.4699999999999996E-4</v>
      </c>
      <c r="X14">
        <v>7.2835999999999998E-2</v>
      </c>
      <c r="Y14">
        <v>7.3499999999999998E-4</v>
      </c>
      <c r="Z14">
        <v>1.194E-3</v>
      </c>
      <c r="AA14">
        <v>4.3000000000000002E-5</v>
      </c>
      <c r="AB14">
        <v>1.8599999999999999E-4</v>
      </c>
      <c r="AC14">
        <v>3.1840000000000002E-3</v>
      </c>
      <c r="AD14">
        <v>9.3120000000000008E-3</v>
      </c>
      <c r="AE14">
        <v>1.493E-3</v>
      </c>
      <c r="AF14">
        <v>1.7E-5</v>
      </c>
      <c r="AG14">
        <v>3.8999999999999999E-5</v>
      </c>
      <c r="AH14">
        <v>5.3881999999999999E-2</v>
      </c>
      <c r="AI14">
        <v>7.8999999999999996E-5</v>
      </c>
      <c r="AJ14">
        <v>9.2E-5</v>
      </c>
      <c r="AK14">
        <v>7.6000000000000004E-5</v>
      </c>
      <c r="AL14">
        <v>8.0000000000000007E-5</v>
      </c>
      <c r="AM14">
        <v>1.5699999999999999E-4</v>
      </c>
      <c r="AN14">
        <v>9.7999999999999997E-5</v>
      </c>
      <c r="AO14">
        <v>1.7100000000000001E-4</v>
      </c>
      <c r="AP14">
        <v>1.22E-4</v>
      </c>
      <c r="AQ14">
        <v>2.6999999999999999E-5</v>
      </c>
      <c r="AR14">
        <v>7.9999999999999996E-6</v>
      </c>
      <c r="AS14">
        <v>1.22E-4</v>
      </c>
      <c r="AT14">
        <v>1.73E-4</v>
      </c>
      <c r="AU14">
        <v>1.4899999999999999E-4</v>
      </c>
      <c r="AV14">
        <v>9.3999999999999994E-5</v>
      </c>
      <c r="AW14">
        <v>8.2999999999999998E-5</v>
      </c>
      <c r="AX14">
        <v>6.3E-5</v>
      </c>
      <c r="AY14">
        <v>1.2400000000000001E-4</v>
      </c>
      <c r="AZ14">
        <v>1.4999999999999999E-4</v>
      </c>
      <c r="BA14">
        <v>8.2000000000000001E-5</v>
      </c>
      <c r="BB14">
        <v>1.5999999999999999E-5</v>
      </c>
      <c r="BC14">
        <v>2.5999999999999998E-5</v>
      </c>
    </row>
    <row r="15" spans="1:55">
      <c r="A15" t="s">
        <v>15</v>
      </c>
      <c r="B15">
        <v>7.9199999999999995E-4</v>
      </c>
      <c r="C15">
        <v>2.4450000000000001E-3</v>
      </c>
      <c r="D15">
        <v>0</v>
      </c>
      <c r="E15">
        <v>0</v>
      </c>
      <c r="F15">
        <v>2.9399999999999999E-4</v>
      </c>
      <c r="G15">
        <v>8.0147999999999997E-2</v>
      </c>
      <c r="H15">
        <v>5.6599999999999999E-4</v>
      </c>
      <c r="I15">
        <v>1.5469999999999999E-2</v>
      </c>
      <c r="J15">
        <v>1.7375999999999999E-2</v>
      </c>
      <c r="K15">
        <v>2.2859999999999998E-3</v>
      </c>
      <c r="L15">
        <v>3.1446000000000002E-2</v>
      </c>
      <c r="M15">
        <v>0</v>
      </c>
      <c r="N15">
        <v>3.7726999999999997E-2</v>
      </c>
      <c r="O15">
        <v>3.993E-3</v>
      </c>
      <c r="P15">
        <v>1.6919999999999999E-3</v>
      </c>
      <c r="Q15">
        <v>0</v>
      </c>
      <c r="R15">
        <v>2.3452000000000001E-2</v>
      </c>
      <c r="S15">
        <v>1.9233E-2</v>
      </c>
      <c r="T15">
        <v>1.2123E-2</v>
      </c>
      <c r="U15">
        <v>2.5173000000000001E-2</v>
      </c>
      <c r="V15">
        <v>1.3729E-2</v>
      </c>
      <c r="W15">
        <v>5.9369999999999996E-3</v>
      </c>
      <c r="X15">
        <v>1.5233999999999999E-2</v>
      </c>
      <c r="Y15">
        <v>1.4102E-2</v>
      </c>
      <c r="Z15">
        <v>5.2560000000000003E-3</v>
      </c>
      <c r="AA15">
        <v>9.1799999999999998E-4</v>
      </c>
      <c r="AB15">
        <v>1.1214E-2</v>
      </c>
      <c r="AC15">
        <v>8.6390000000000008E-3</v>
      </c>
      <c r="AD15">
        <v>1.3074000000000001E-2</v>
      </c>
      <c r="AE15">
        <v>3.7829999999999999E-3</v>
      </c>
      <c r="AF15">
        <v>2.6786999999999998E-2</v>
      </c>
      <c r="AG15">
        <v>4.6979999999999999E-3</v>
      </c>
      <c r="AH15">
        <v>4.5692999999999998E-2</v>
      </c>
      <c r="AI15">
        <v>2.894E-2</v>
      </c>
      <c r="AJ15">
        <v>5.9029999999999999E-2</v>
      </c>
      <c r="AK15">
        <v>0.100926</v>
      </c>
      <c r="AL15">
        <v>0.25295800000000002</v>
      </c>
      <c r="AM15">
        <v>0.26620899999999997</v>
      </c>
      <c r="AN15">
        <v>0.19862199999999999</v>
      </c>
      <c r="AO15">
        <v>0.23257800000000001</v>
      </c>
      <c r="AP15">
        <v>1.4408000000000001E-2</v>
      </c>
      <c r="AQ15">
        <v>2.5709999999999999E-3</v>
      </c>
      <c r="AR15">
        <v>2.4069999999999999E-3</v>
      </c>
      <c r="AS15">
        <v>2.281E-3</v>
      </c>
      <c r="AT15">
        <v>5.2300000000000003E-4</v>
      </c>
      <c r="AU15">
        <v>7.1400000000000001E-4</v>
      </c>
      <c r="AV15">
        <v>1.8E-5</v>
      </c>
      <c r="AW15">
        <v>1.7030000000000001E-3</v>
      </c>
      <c r="AX15">
        <v>3.5820000000000001E-3</v>
      </c>
      <c r="AY15">
        <v>3.2523999999999997E-2</v>
      </c>
      <c r="AZ15">
        <v>1.3649999999999999E-3</v>
      </c>
      <c r="BA15">
        <v>3.1879999999999999E-3</v>
      </c>
      <c r="BB15">
        <v>7.1700000000000002E-3</v>
      </c>
      <c r="BC15">
        <v>2.0566000000000001E-2</v>
      </c>
    </row>
    <row r="16" spans="1:55">
      <c r="A16" t="s">
        <v>16</v>
      </c>
      <c r="B16">
        <v>1.9000000000000001E-5</v>
      </c>
      <c r="C16">
        <v>4.3999999999999999E-5</v>
      </c>
      <c r="D16">
        <v>2.1191999999999999E-2</v>
      </c>
      <c r="E16">
        <v>2.6088E-2</v>
      </c>
      <c r="F16">
        <v>5.4840000000000002E-3</v>
      </c>
      <c r="G16">
        <v>3.2822999999999998E-2</v>
      </c>
      <c r="H16">
        <v>0.22444</v>
      </c>
      <c r="I16">
        <v>1.3200000000000001E-4</v>
      </c>
      <c r="J16">
        <v>3.0102E-2</v>
      </c>
      <c r="K16">
        <v>7.9299999999999998E-4</v>
      </c>
      <c r="L16">
        <v>1.902E-3</v>
      </c>
      <c r="M16">
        <v>0</v>
      </c>
      <c r="N16">
        <v>3.0000000000000001E-5</v>
      </c>
      <c r="O16">
        <v>3.1500000000000001E-4</v>
      </c>
      <c r="P16">
        <v>0.17861199999999999</v>
      </c>
      <c r="Q16">
        <v>3.3000000000000003E-5</v>
      </c>
      <c r="R16">
        <v>1.3325E-2</v>
      </c>
      <c r="S16">
        <v>0.101878</v>
      </c>
      <c r="T16">
        <v>4.6020000000000002E-3</v>
      </c>
      <c r="U16">
        <v>2.3119999999999998E-3</v>
      </c>
      <c r="V16">
        <v>2.0145E-2</v>
      </c>
      <c r="W16">
        <v>4.57E-4</v>
      </c>
      <c r="X16">
        <v>8.8999999999999995E-4</v>
      </c>
      <c r="Y16">
        <v>1.4580000000000001E-3</v>
      </c>
      <c r="Z16">
        <v>1.2110000000000001E-3</v>
      </c>
      <c r="AA16">
        <v>7.2300000000000001E-4</v>
      </c>
      <c r="AB16">
        <v>2.3440000000000002E-3</v>
      </c>
      <c r="AC16">
        <v>3.6189999999999998E-3</v>
      </c>
      <c r="AD16">
        <v>2.6280000000000001E-3</v>
      </c>
      <c r="AE16">
        <v>3.7399999999999998E-4</v>
      </c>
      <c r="AF16">
        <v>1.475E-3</v>
      </c>
      <c r="AG16">
        <v>5.999E-3</v>
      </c>
      <c r="AH16">
        <v>6.6399999999999999E-4</v>
      </c>
      <c r="AI16">
        <v>1.1119999999999999E-3</v>
      </c>
      <c r="AJ16">
        <v>1.4809999999999999E-3</v>
      </c>
      <c r="AK16">
        <v>2.8240000000000001E-3</v>
      </c>
      <c r="AL16">
        <v>7.7999999999999999E-5</v>
      </c>
      <c r="AM16">
        <v>6.6113000000000005E-2</v>
      </c>
      <c r="AN16">
        <v>1.7350000000000001E-2</v>
      </c>
      <c r="AO16">
        <v>1.9969000000000001E-2</v>
      </c>
      <c r="AP16">
        <v>4.1159999999999999E-3</v>
      </c>
      <c r="AQ16">
        <v>0.17802999999999999</v>
      </c>
      <c r="AR16">
        <v>0.29237800000000003</v>
      </c>
      <c r="AS16">
        <v>8.0500000000000005E-4</v>
      </c>
      <c r="AT16">
        <v>3.4030000000000002E-3</v>
      </c>
      <c r="AU16">
        <v>7.9349999999999993E-3</v>
      </c>
      <c r="AV16">
        <v>8.6600000000000002E-4</v>
      </c>
      <c r="AW16">
        <v>2.8210000000000002E-3</v>
      </c>
      <c r="AX16">
        <v>7.2599999999999997E-4</v>
      </c>
      <c r="AY16">
        <v>3.0920000000000001E-3</v>
      </c>
      <c r="AZ16">
        <v>2.7234999999999999E-2</v>
      </c>
      <c r="BA16">
        <v>3.7338000000000003E-2</v>
      </c>
      <c r="BB16">
        <v>0.101831</v>
      </c>
      <c r="BC16">
        <v>3.0029E-2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1.065E-3</v>
      </c>
      <c r="R17">
        <v>0</v>
      </c>
      <c r="S17">
        <v>0</v>
      </c>
      <c r="T17">
        <v>0</v>
      </c>
      <c r="U17">
        <v>0</v>
      </c>
      <c r="V17">
        <v>0</v>
      </c>
      <c r="W17">
        <v>0</v>
      </c>
      <c r="X17">
        <v>0</v>
      </c>
      <c r="Y17">
        <v>0</v>
      </c>
      <c r="Z17">
        <v>0</v>
      </c>
      <c r="AA17">
        <v>0</v>
      </c>
      <c r="AB17">
        <v>0</v>
      </c>
      <c r="AC17">
        <v>0</v>
      </c>
      <c r="AD17">
        <v>0</v>
      </c>
      <c r="AE17">
        <v>9.9999999999999995E-7</v>
      </c>
      <c r="AF17">
        <v>0</v>
      </c>
      <c r="AG17">
        <v>0</v>
      </c>
      <c r="AH17">
        <v>0</v>
      </c>
      <c r="AI17">
        <v>9.9999999999999995E-7</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9.5000000000000005E-5</v>
      </c>
      <c r="C18">
        <v>5.5099999999999995E-4</v>
      </c>
      <c r="D18">
        <v>8.6779999999999999E-3</v>
      </c>
      <c r="E18">
        <v>1.5799999999999999E-4</v>
      </c>
      <c r="F18">
        <v>4.8000000000000001E-5</v>
      </c>
      <c r="G18">
        <v>1.66E-4</v>
      </c>
      <c r="H18">
        <v>9.9999999999999995E-7</v>
      </c>
      <c r="I18">
        <v>2.3E-5</v>
      </c>
      <c r="J18">
        <v>1.8E-5</v>
      </c>
      <c r="K18">
        <v>6.9999999999999999E-6</v>
      </c>
      <c r="L18">
        <v>3.6000000000000001E-5</v>
      </c>
      <c r="M18">
        <v>0</v>
      </c>
      <c r="N18">
        <v>9.9999999999999995E-7</v>
      </c>
      <c r="O18">
        <v>0</v>
      </c>
      <c r="P18">
        <v>1.1E-5</v>
      </c>
      <c r="Q18">
        <v>0</v>
      </c>
      <c r="R18">
        <v>3.3350999999999999E-2</v>
      </c>
      <c r="S18">
        <v>2.0600000000000002E-3</v>
      </c>
      <c r="T18">
        <v>1.01E-4</v>
      </c>
      <c r="U18">
        <v>8.5000000000000006E-5</v>
      </c>
      <c r="V18">
        <v>6.2000000000000003E-5</v>
      </c>
      <c r="W18">
        <v>2.2000000000000001E-4</v>
      </c>
      <c r="X18">
        <v>1.4E-5</v>
      </c>
      <c r="Y18">
        <v>1.9999999999999999E-6</v>
      </c>
      <c r="Z18">
        <v>7.8999999999999996E-5</v>
      </c>
      <c r="AA18">
        <v>1.9999999999999999E-6</v>
      </c>
      <c r="AB18">
        <v>2.5999999999999998E-5</v>
      </c>
      <c r="AC18">
        <v>2.372E-3</v>
      </c>
      <c r="AD18">
        <v>2.8800000000000001E-4</v>
      </c>
      <c r="AE18">
        <v>0</v>
      </c>
      <c r="AF18">
        <v>3.0000000000000001E-6</v>
      </c>
      <c r="AG18">
        <v>2.5000000000000001E-5</v>
      </c>
      <c r="AH18">
        <v>7.7999999999999999E-5</v>
      </c>
      <c r="AI18">
        <v>2.4899999999999998E-4</v>
      </c>
      <c r="AJ18">
        <v>1.85E-4</v>
      </c>
      <c r="AK18">
        <v>0</v>
      </c>
      <c r="AL18">
        <v>9.9999999999999995E-7</v>
      </c>
      <c r="AM18">
        <v>2.0000000000000002E-5</v>
      </c>
      <c r="AN18">
        <v>0</v>
      </c>
      <c r="AO18">
        <v>9.9999999999999995E-7</v>
      </c>
      <c r="AP18">
        <v>8.6000000000000003E-5</v>
      </c>
      <c r="AQ18">
        <v>2.02E-4</v>
      </c>
      <c r="AR18">
        <v>1.1E-5</v>
      </c>
      <c r="AS18">
        <v>1.1E-5</v>
      </c>
      <c r="AT18">
        <v>9.2999999999999997E-5</v>
      </c>
      <c r="AU18">
        <v>2.3E-5</v>
      </c>
      <c r="AV18">
        <v>1.1E-5</v>
      </c>
      <c r="AW18">
        <v>1.1E-5</v>
      </c>
      <c r="AX18">
        <v>2.5999999999999998E-5</v>
      </c>
      <c r="AY18">
        <v>7.2999999999999999E-5</v>
      </c>
      <c r="AZ18">
        <v>1.45E-4</v>
      </c>
      <c r="BA18">
        <v>2.5900000000000001E-4</v>
      </c>
      <c r="BB18">
        <v>1.072E-3</v>
      </c>
      <c r="BC18">
        <v>1.377E-3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5.8999999999999998E-5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4.2069999999999998E-3</v>
      </c>
      <c r="E20">
        <v>0</v>
      </c>
      <c r="F20">
        <v>2.8E-5</v>
      </c>
      <c r="G20">
        <v>2.1900000000000001E-4</v>
      </c>
      <c r="H20">
        <v>2.9E-5</v>
      </c>
      <c r="I20">
        <v>2.3E-5</v>
      </c>
      <c r="J20">
        <v>1.5E-5</v>
      </c>
      <c r="K20">
        <v>1.2999999999999999E-5</v>
      </c>
      <c r="L20">
        <v>1.02E-4</v>
      </c>
      <c r="M20">
        <v>0</v>
      </c>
      <c r="N20">
        <v>4.0000000000000003E-5</v>
      </c>
      <c r="O20">
        <v>3.9999999999999998E-6</v>
      </c>
      <c r="P20">
        <v>6.3E-5</v>
      </c>
      <c r="Q20">
        <v>2.9E-5</v>
      </c>
      <c r="R20">
        <v>1.02E-4</v>
      </c>
      <c r="S20">
        <v>8.8999999999999995E-5</v>
      </c>
      <c r="T20">
        <v>2.9810000000000001E-3</v>
      </c>
      <c r="U20">
        <v>1.12E-4</v>
      </c>
      <c r="V20">
        <v>6.0000000000000002E-5</v>
      </c>
      <c r="W20">
        <v>8.3999999999999995E-5</v>
      </c>
      <c r="X20">
        <v>4.3999999999999999E-5</v>
      </c>
      <c r="Y20">
        <v>5.3999999999999998E-5</v>
      </c>
      <c r="Z20">
        <v>1.1900000000000001E-4</v>
      </c>
      <c r="AA20">
        <v>1.05E-4</v>
      </c>
      <c r="AB20">
        <v>3.0899999999999998E-4</v>
      </c>
      <c r="AC20">
        <v>4.1939999999999998E-3</v>
      </c>
      <c r="AD20">
        <v>2.8770000000000002E-3</v>
      </c>
      <c r="AE20">
        <v>3.0000000000000001E-5</v>
      </c>
      <c r="AF20">
        <v>9.0000000000000002E-6</v>
      </c>
      <c r="AG20">
        <v>3.4999999999999997E-5</v>
      </c>
      <c r="AH20">
        <v>1.885E-3</v>
      </c>
      <c r="AI20">
        <v>5.5999999999999999E-5</v>
      </c>
      <c r="AJ20">
        <v>1.4100000000000001E-4</v>
      </c>
      <c r="AK20">
        <v>4.0000000000000003E-5</v>
      </c>
      <c r="AL20">
        <v>7.4999999999999993E-5</v>
      </c>
      <c r="AM20">
        <v>7.7000000000000001E-5</v>
      </c>
      <c r="AN20">
        <v>6.9999999999999994E-5</v>
      </c>
      <c r="AO20">
        <v>1.01E-4</v>
      </c>
      <c r="AP20">
        <v>4.0000000000000003E-5</v>
      </c>
      <c r="AQ20">
        <v>4.6E-5</v>
      </c>
      <c r="AR20">
        <v>7.2000000000000002E-5</v>
      </c>
      <c r="AS20">
        <v>4.8999999999999998E-5</v>
      </c>
      <c r="AT20">
        <v>4.6E-5</v>
      </c>
      <c r="AU20">
        <v>4.3999999999999999E-5</v>
      </c>
      <c r="AV20">
        <v>2.8E-5</v>
      </c>
      <c r="AW20">
        <v>2.4000000000000001E-5</v>
      </c>
      <c r="AX20">
        <v>1.5E-5</v>
      </c>
      <c r="AY20">
        <v>5.8E-5</v>
      </c>
      <c r="AZ20">
        <v>4.8999999999999998E-5</v>
      </c>
      <c r="BA20">
        <v>4.3999999999999999E-5</v>
      </c>
      <c r="BB20">
        <v>5.3000000000000001E-5</v>
      </c>
      <c r="BC20">
        <v>1.22E-4</v>
      </c>
    </row>
    <row r="21" spans="1:55">
      <c r="A21" t="s">
        <v>21</v>
      </c>
      <c r="B21">
        <v>2.5099999999999998E-4</v>
      </c>
      <c r="C21">
        <v>1.8879999999999999E-3</v>
      </c>
      <c r="D21">
        <v>7.0899999999999999E-4</v>
      </c>
      <c r="E21">
        <v>0</v>
      </c>
      <c r="F21">
        <v>4.5000000000000003E-5</v>
      </c>
      <c r="G21">
        <v>3.9589999999999998E-3</v>
      </c>
      <c r="H21">
        <v>1.64E-4</v>
      </c>
      <c r="I21">
        <v>1.83E-4</v>
      </c>
      <c r="J21">
        <v>7.4999999999999993E-5</v>
      </c>
      <c r="K21">
        <v>1.552E-3</v>
      </c>
      <c r="L21">
        <v>6.1219999999999998E-3</v>
      </c>
      <c r="M21">
        <v>0</v>
      </c>
      <c r="N21">
        <v>4.0000000000000002E-4</v>
      </c>
      <c r="O21">
        <v>2.5999999999999998E-5</v>
      </c>
      <c r="P21">
        <v>6.2299999999999996E-4</v>
      </c>
      <c r="Q21">
        <v>1.5300000000000001E-4</v>
      </c>
      <c r="R21">
        <v>2.5890000000000002E-3</v>
      </c>
      <c r="S21">
        <v>3.653E-3</v>
      </c>
      <c r="T21">
        <v>9.1699999999999995E-4</v>
      </c>
      <c r="U21">
        <v>0.18521099999999999</v>
      </c>
      <c r="V21">
        <v>9.2299999999999999E-4</v>
      </c>
      <c r="W21">
        <v>1.967E-3</v>
      </c>
      <c r="X21">
        <v>1.333E-3</v>
      </c>
      <c r="Y21">
        <v>8.8699999999999998E-4</v>
      </c>
      <c r="Z21">
        <v>3.0539999999999999E-3</v>
      </c>
      <c r="AA21">
        <v>6.7100000000000005E-4</v>
      </c>
      <c r="AB21">
        <v>2.1710000000000002E-3</v>
      </c>
      <c r="AC21">
        <v>5.2769999999999996E-3</v>
      </c>
      <c r="AD21">
        <v>2.0300000000000001E-3</v>
      </c>
      <c r="AE21">
        <v>1.17E-4</v>
      </c>
      <c r="AF21">
        <v>2.0900000000000001E-4</v>
      </c>
      <c r="AG21">
        <v>3.86E-4</v>
      </c>
      <c r="AH21">
        <v>2.8860000000000001E-3</v>
      </c>
      <c r="AI21">
        <v>7.2519999999999998E-3</v>
      </c>
      <c r="AJ21">
        <v>1.2154E-2</v>
      </c>
      <c r="AK21">
        <v>1.3680000000000001E-3</v>
      </c>
      <c r="AL21">
        <v>5.0299999999999997E-4</v>
      </c>
      <c r="AM21">
        <v>8.9499999999999996E-4</v>
      </c>
      <c r="AN21">
        <v>2.0739999999999999E-3</v>
      </c>
      <c r="AO21">
        <v>6.0099999999999997E-4</v>
      </c>
      <c r="AP21">
        <v>1.338E-3</v>
      </c>
      <c r="AQ21">
        <v>9.8400000000000007E-4</v>
      </c>
      <c r="AR21">
        <v>5.7899999999999998E-4</v>
      </c>
      <c r="AS21">
        <v>1.8474000000000001E-2</v>
      </c>
      <c r="AT21">
        <v>3.9370000000000004E-3</v>
      </c>
      <c r="AU21">
        <v>1.2226000000000001E-2</v>
      </c>
      <c r="AV21">
        <v>5.1780000000000003E-3</v>
      </c>
      <c r="AW21">
        <v>5.6410000000000002E-3</v>
      </c>
      <c r="AX21">
        <v>1.8730000000000001E-3</v>
      </c>
      <c r="AY21">
        <v>9.5879999999999993E-3</v>
      </c>
      <c r="AZ21">
        <v>9.3790000000000002E-3</v>
      </c>
      <c r="BA21">
        <v>1.8658000000000001E-2</v>
      </c>
      <c r="BB21">
        <v>2.1429999999999999E-3</v>
      </c>
      <c r="BC21">
        <v>3.774E-3</v>
      </c>
    </row>
    <row r="22" spans="1:55">
      <c r="A22" t="s">
        <v>22</v>
      </c>
      <c r="B22">
        <v>4.8098000000000002E-2</v>
      </c>
      <c r="C22">
        <v>7.5495999999999994E-2</v>
      </c>
      <c r="D22">
        <v>9.6584000000000003E-2</v>
      </c>
      <c r="E22">
        <v>2.9996999999999999E-2</v>
      </c>
      <c r="F22">
        <v>1.5328E-2</v>
      </c>
      <c r="G22">
        <v>2.5579999999999999E-2</v>
      </c>
      <c r="H22">
        <v>4.9240000000000004E-3</v>
      </c>
      <c r="I22">
        <v>3.6900000000000002E-4</v>
      </c>
      <c r="J22">
        <v>1.467E-3</v>
      </c>
      <c r="K22">
        <v>2.81E-4</v>
      </c>
      <c r="L22">
        <v>1.0978E-2</v>
      </c>
      <c r="M22">
        <v>0</v>
      </c>
      <c r="N22">
        <v>3.4303E-2</v>
      </c>
      <c r="O22">
        <v>3.21E-4</v>
      </c>
      <c r="P22">
        <v>4.8630000000000001E-3</v>
      </c>
      <c r="Q22">
        <v>0</v>
      </c>
      <c r="R22">
        <v>0.158861</v>
      </c>
      <c r="S22">
        <v>0.102753</v>
      </c>
      <c r="T22">
        <v>4.9874000000000002E-2</v>
      </c>
      <c r="U22">
        <v>5.2435000000000002E-2</v>
      </c>
      <c r="V22">
        <v>0.10499699999999999</v>
      </c>
      <c r="W22">
        <v>9.4691999999999998E-2</v>
      </c>
      <c r="X22">
        <v>4.1682999999999998E-2</v>
      </c>
      <c r="Y22">
        <v>7.4979000000000004E-2</v>
      </c>
      <c r="Z22">
        <v>5.0999999999999997E-2</v>
      </c>
      <c r="AA22">
        <v>5.045E-3</v>
      </c>
      <c r="AB22">
        <v>1.6716000000000002E-2</v>
      </c>
      <c r="AC22">
        <v>6.4075999999999994E-2</v>
      </c>
      <c r="AD22">
        <v>7.2491E-2</v>
      </c>
      <c r="AE22">
        <v>2.4060000000000002E-3</v>
      </c>
      <c r="AF22">
        <v>1.4100000000000001E-4</v>
      </c>
      <c r="AG22">
        <v>0.124679</v>
      </c>
      <c r="AH22">
        <v>9.2980000000000007E-3</v>
      </c>
      <c r="AI22">
        <v>5.3940000000000004E-3</v>
      </c>
      <c r="AJ22">
        <v>4.2069999999999998E-3</v>
      </c>
      <c r="AK22">
        <v>3.0860000000000002E-3</v>
      </c>
      <c r="AL22">
        <v>1.549E-3</v>
      </c>
      <c r="AM22">
        <v>4.4749999999999998E-3</v>
      </c>
      <c r="AN22">
        <v>6.8399999999999997E-3</v>
      </c>
      <c r="AO22">
        <v>5.4600000000000004E-4</v>
      </c>
      <c r="AP22">
        <v>1.4940000000000001E-3</v>
      </c>
      <c r="AQ22">
        <v>4.1019999999999997E-3</v>
      </c>
      <c r="AR22">
        <v>9.3599999999999998E-4</v>
      </c>
      <c r="AS22">
        <v>2.859E-3</v>
      </c>
      <c r="AT22">
        <v>1.8929999999999999E-3</v>
      </c>
      <c r="AU22">
        <v>5.0980000000000001E-3</v>
      </c>
      <c r="AV22">
        <v>1.9789999999999999E-3</v>
      </c>
      <c r="AW22">
        <v>1.119E-3</v>
      </c>
      <c r="AX22">
        <v>1.4530000000000001E-3</v>
      </c>
      <c r="AY22">
        <v>9.5239999999999995E-3</v>
      </c>
      <c r="AZ22">
        <v>6.4190000000000002E-3</v>
      </c>
      <c r="BA22">
        <v>1.9944E-2</v>
      </c>
      <c r="BB22">
        <v>0.119349</v>
      </c>
      <c r="BC22">
        <v>4.0327000000000002E-2</v>
      </c>
    </row>
    <row r="23" spans="1:55">
      <c r="A23" t="s">
        <v>23</v>
      </c>
      <c r="B23">
        <v>4.0299999999999998E-4</v>
      </c>
      <c r="C23">
        <v>1.2780000000000001E-3</v>
      </c>
      <c r="D23">
        <v>5.2099999999999998E-4</v>
      </c>
      <c r="E23">
        <v>0</v>
      </c>
      <c r="F23">
        <v>8.8629999999999994E-3</v>
      </c>
      <c r="G23">
        <v>8.6619999999999996E-3</v>
      </c>
      <c r="H23">
        <v>1.4899999999999999E-4</v>
      </c>
      <c r="I23">
        <v>1.74E-4</v>
      </c>
      <c r="J23">
        <v>1.6200000000000001E-4</v>
      </c>
      <c r="K23">
        <v>1.1400000000000001E-4</v>
      </c>
      <c r="L23">
        <v>6.9499999999999998E-4</v>
      </c>
      <c r="M23">
        <v>0</v>
      </c>
      <c r="N23">
        <v>3.9199999999999999E-4</v>
      </c>
      <c r="O23">
        <v>3.1999999999999999E-5</v>
      </c>
      <c r="P23">
        <v>2.81E-4</v>
      </c>
      <c r="Q23">
        <v>9.1000000000000003E-5</v>
      </c>
      <c r="R23">
        <v>5.2399999999999999E-3</v>
      </c>
      <c r="S23">
        <v>1.4308E-2</v>
      </c>
      <c r="T23">
        <v>2.8219999999999999E-3</v>
      </c>
      <c r="U23">
        <v>1.9430000000000001E-3</v>
      </c>
      <c r="V23">
        <v>1.701E-3</v>
      </c>
      <c r="W23">
        <v>6.3319E-2</v>
      </c>
      <c r="X23">
        <v>3.9199999999999999E-4</v>
      </c>
      <c r="Y23">
        <v>4.08E-4</v>
      </c>
      <c r="Z23">
        <v>8.6540000000000002E-3</v>
      </c>
      <c r="AA23">
        <v>1.2290000000000001E-3</v>
      </c>
      <c r="AB23">
        <v>1.9795E-2</v>
      </c>
      <c r="AC23">
        <v>2.7896000000000001E-2</v>
      </c>
      <c r="AD23">
        <v>1.4748000000000001E-2</v>
      </c>
      <c r="AE23">
        <v>4.66E-4</v>
      </c>
      <c r="AF23">
        <v>5.8999999999999998E-5</v>
      </c>
      <c r="AG23">
        <v>7.3899999999999997E-4</v>
      </c>
      <c r="AH23">
        <v>1.7545999999999999E-2</v>
      </c>
      <c r="AI23">
        <v>7.9070000000000008E-3</v>
      </c>
      <c r="AJ23">
        <v>1.0286999999999999E-2</v>
      </c>
      <c r="AK23">
        <v>1.284E-3</v>
      </c>
      <c r="AL23">
        <v>1.1731999999999999E-2</v>
      </c>
      <c r="AM23">
        <v>7.2170000000000003E-3</v>
      </c>
      <c r="AN23">
        <v>5.5750000000000001E-3</v>
      </c>
      <c r="AO23">
        <v>1.0685E-2</v>
      </c>
      <c r="AP23">
        <v>5.4299999999999999E-3</v>
      </c>
      <c r="AQ23">
        <v>3.6099999999999999E-4</v>
      </c>
      <c r="AR23">
        <v>7.7499999999999997E-4</v>
      </c>
      <c r="AS23">
        <v>6.3699999999999998E-4</v>
      </c>
      <c r="AT23">
        <v>2.6749999999999999E-3</v>
      </c>
      <c r="AU23">
        <v>2.604E-3</v>
      </c>
      <c r="AV23">
        <v>3.3189999999999999E-3</v>
      </c>
      <c r="AW23">
        <v>3.199E-3</v>
      </c>
      <c r="AX23">
        <v>1.392E-3</v>
      </c>
      <c r="AY23">
        <v>4.1120000000000002E-3</v>
      </c>
      <c r="AZ23">
        <v>1.1150000000000001E-3</v>
      </c>
      <c r="BA23">
        <v>3.0130000000000001E-3</v>
      </c>
      <c r="BB23">
        <v>2.4359999999999998E-3</v>
      </c>
      <c r="BC23">
        <v>3.1619999999999999E-3</v>
      </c>
    </row>
    <row r="24" spans="1:55">
      <c r="A24" t="s">
        <v>24</v>
      </c>
      <c r="B24">
        <v>9.9999999999999995E-7</v>
      </c>
      <c r="C24">
        <v>3.9999999999999998E-6</v>
      </c>
      <c r="D24">
        <v>4.2099999999999999E-4</v>
      </c>
      <c r="E24">
        <v>0</v>
      </c>
      <c r="F24">
        <v>9.9999999999999995E-7</v>
      </c>
      <c r="G24">
        <v>6.6200000000000005E-4</v>
      </c>
      <c r="H24">
        <v>9.9999999999999995E-7</v>
      </c>
      <c r="I24">
        <v>9.9999999999999995E-7</v>
      </c>
      <c r="J24">
        <v>1.9999999999999999E-6</v>
      </c>
      <c r="K24">
        <v>0</v>
      </c>
      <c r="L24">
        <v>1.9999999999999999E-6</v>
      </c>
      <c r="M24">
        <v>0</v>
      </c>
      <c r="N24">
        <v>9.9999999999999995E-7</v>
      </c>
      <c r="O24">
        <v>3.2699999999999998E-4</v>
      </c>
      <c r="P24">
        <v>7.2000000000000002E-5</v>
      </c>
      <c r="Q24">
        <v>0</v>
      </c>
      <c r="R24">
        <v>4.7399999999999997E-4</v>
      </c>
      <c r="S24">
        <v>9.8999999999999994E-5</v>
      </c>
      <c r="T24">
        <v>2.3219999999999998E-3</v>
      </c>
      <c r="U24">
        <v>5.1999999999999997E-5</v>
      </c>
      <c r="V24">
        <v>2.9799999999999998E-4</v>
      </c>
      <c r="W24">
        <v>1.9350000000000001E-3</v>
      </c>
      <c r="X24">
        <v>3.4387000000000001E-2</v>
      </c>
      <c r="Y24">
        <v>7.4700000000000005E-4</v>
      </c>
      <c r="Z24">
        <v>1.227E-3</v>
      </c>
      <c r="AA24">
        <v>5.0000000000000002E-5</v>
      </c>
      <c r="AB24">
        <v>1.5269999999999999E-3</v>
      </c>
      <c r="AC24">
        <v>5.2059999999999997E-3</v>
      </c>
      <c r="AD24">
        <v>1.2116E-2</v>
      </c>
      <c r="AE24">
        <v>5.0000000000000002E-5</v>
      </c>
      <c r="AF24">
        <v>0</v>
      </c>
      <c r="AG24">
        <v>6.2299999999999996E-4</v>
      </c>
      <c r="AH24">
        <v>1.7832000000000001E-2</v>
      </c>
      <c r="AI24">
        <v>1.03E-4</v>
      </c>
      <c r="AJ24">
        <v>1.05E-4</v>
      </c>
      <c r="AK24">
        <v>1.2957E-2</v>
      </c>
      <c r="AL24">
        <v>1.993E-3</v>
      </c>
      <c r="AM24">
        <v>1.2310000000000001E-3</v>
      </c>
      <c r="AN24">
        <v>1.1E-5</v>
      </c>
      <c r="AO24">
        <v>1.8E-5</v>
      </c>
      <c r="AP24">
        <v>2.1999999999999999E-5</v>
      </c>
      <c r="AQ24">
        <v>9.9999999999999995E-7</v>
      </c>
      <c r="AR24">
        <v>1.9999999999999999E-6</v>
      </c>
      <c r="AS24">
        <v>3.9999999999999998E-6</v>
      </c>
      <c r="AT24">
        <v>1.2E-5</v>
      </c>
      <c r="AU24">
        <v>0</v>
      </c>
      <c r="AV24">
        <v>9.9999999999999995E-7</v>
      </c>
      <c r="AW24">
        <v>1.9999999999999999E-6</v>
      </c>
      <c r="AX24">
        <v>4.1229999999999999E-3</v>
      </c>
      <c r="AY24">
        <v>1.217E-3</v>
      </c>
      <c r="AZ24">
        <v>8.03E-4</v>
      </c>
      <c r="BA24">
        <v>5.1850000000000004E-3</v>
      </c>
      <c r="BB24">
        <v>2.9989999999999999E-3</v>
      </c>
      <c r="BC24">
        <v>4.7260000000000002E-3</v>
      </c>
    </row>
    <row r="25" spans="1:55">
      <c r="A25" t="s">
        <v>25</v>
      </c>
      <c r="B25">
        <v>0</v>
      </c>
      <c r="C25">
        <v>0</v>
      </c>
      <c r="D25">
        <v>2.7399999999999999E-4</v>
      </c>
      <c r="E25">
        <v>0</v>
      </c>
      <c r="F25">
        <v>9.9999999999999995E-7</v>
      </c>
      <c r="G25">
        <v>9.9999999999999995E-7</v>
      </c>
      <c r="H25">
        <v>0</v>
      </c>
      <c r="I25">
        <v>0</v>
      </c>
      <c r="J25">
        <v>0</v>
      </c>
      <c r="K25">
        <v>0</v>
      </c>
      <c r="L25">
        <v>0</v>
      </c>
      <c r="M25">
        <v>0</v>
      </c>
      <c r="N25">
        <v>0</v>
      </c>
      <c r="O25">
        <v>0</v>
      </c>
      <c r="P25">
        <v>2.0999999999999999E-5</v>
      </c>
      <c r="Q25">
        <v>0</v>
      </c>
      <c r="R25">
        <v>8.8999999999999995E-5</v>
      </c>
      <c r="S25">
        <v>2.3E-5</v>
      </c>
      <c r="T25">
        <v>4.3000000000000002E-5</v>
      </c>
      <c r="U25">
        <v>5.2499999999999997E-4</v>
      </c>
      <c r="V25">
        <v>4.0000000000000003E-5</v>
      </c>
      <c r="W25">
        <v>2.3E-5</v>
      </c>
      <c r="X25">
        <v>1.6000000000000001E-4</v>
      </c>
      <c r="Y25">
        <v>1.0352999999999999E-2</v>
      </c>
      <c r="Z25">
        <v>5.8060000000000004E-3</v>
      </c>
      <c r="AA25">
        <v>6.3900000000000003E-4</v>
      </c>
      <c r="AB25">
        <v>1.9959999999999999E-3</v>
      </c>
      <c r="AC25">
        <v>1.1720000000000001E-3</v>
      </c>
      <c r="AD25">
        <v>4.7010000000000003E-3</v>
      </c>
      <c r="AE25">
        <v>0</v>
      </c>
      <c r="AF25">
        <v>0</v>
      </c>
      <c r="AG25">
        <v>0</v>
      </c>
      <c r="AH25">
        <v>1.291E-3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9.9999999999999995E-7</v>
      </c>
      <c r="BB25">
        <v>9.9999999999999995E-7</v>
      </c>
      <c r="BC25">
        <v>9.9999999999999995E-7</v>
      </c>
    </row>
    <row r="26" spans="1:55">
      <c r="A26" t="s">
        <v>26</v>
      </c>
      <c r="B26">
        <v>2.43E-4</v>
      </c>
      <c r="C26">
        <v>1.1E-4</v>
      </c>
      <c r="D26">
        <v>2.7599999999999999E-4</v>
      </c>
      <c r="E26">
        <v>0</v>
      </c>
      <c r="F26">
        <v>1.0000000000000001E-5</v>
      </c>
      <c r="G26">
        <v>2.3059999999999999E-3</v>
      </c>
      <c r="H26">
        <v>1.4E-5</v>
      </c>
      <c r="I26">
        <v>2.6999999999999999E-5</v>
      </c>
      <c r="J26">
        <v>7.9999999999999996E-6</v>
      </c>
      <c r="K26">
        <v>1.36E-4</v>
      </c>
      <c r="L26">
        <v>1.689E-3</v>
      </c>
      <c r="M26">
        <v>0</v>
      </c>
      <c r="N26">
        <v>1.2669999999999999E-3</v>
      </c>
      <c r="O26">
        <v>5.8E-5</v>
      </c>
      <c r="P26">
        <v>5.1999999999999997E-5</v>
      </c>
      <c r="Q26">
        <v>0</v>
      </c>
      <c r="R26">
        <v>7.9100000000000004E-4</v>
      </c>
      <c r="S26">
        <v>1.5100000000000001E-3</v>
      </c>
      <c r="T26">
        <v>9.2199999999999997E-4</v>
      </c>
      <c r="U26">
        <v>6.7000000000000002E-4</v>
      </c>
      <c r="V26">
        <v>2.5000000000000001E-4</v>
      </c>
      <c r="W26">
        <v>5.1500000000000005E-4</v>
      </c>
      <c r="X26">
        <v>8.2100000000000001E-4</v>
      </c>
      <c r="Y26">
        <v>8.9999999999999998E-4</v>
      </c>
      <c r="Z26">
        <v>3.0738000000000001E-2</v>
      </c>
      <c r="AA26">
        <v>1.6874E-2</v>
      </c>
      <c r="AB26">
        <v>8.5389999999999997E-3</v>
      </c>
      <c r="AC26">
        <v>6.6610000000000003E-3</v>
      </c>
      <c r="AD26">
        <v>5.7730000000000004E-3</v>
      </c>
      <c r="AE26">
        <v>1.031E-3</v>
      </c>
      <c r="AF26">
        <v>0</v>
      </c>
      <c r="AG26">
        <v>1.3110000000000001E-3</v>
      </c>
      <c r="AH26">
        <v>2.846E-3</v>
      </c>
      <c r="AI26">
        <v>5.9670000000000001E-3</v>
      </c>
      <c r="AJ26">
        <v>1.189E-3</v>
      </c>
      <c r="AK26">
        <v>3.0820000000000001E-3</v>
      </c>
      <c r="AL26">
        <v>1.186E-3</v>
      </c>
      <c r="AM26">
        <v>2.6400000000000002E-4</v>
      </c>
      <c r="AN26">
        <v>3.3199999999999999E-4</v>
      </c>
      <c r="AO26">
        <v>1.5E-5</v>
      </c>
      <c r="AP26">
        <v>4.1800000000000002E-4</v>
      </c>
      <c r="AQ26">
        <v>2.4800000000000001E-4</v>
      </c>
      <c r="AR26">
        <v>4.8999999999999998E-5</v>
      </c>
      <c r="AS26">
        <v>4.2550000000000001E-3</v>
      </c>
      <c r="AT26">
        <v>6.0099999999999997E-4</v>
      </c>
      <c r="AU26">
        <v>2.6800000000000001E-4</v>
      </c>
      <c r="AV26">
        <v>1.1900000000000001E-4</v>
      </c>
      <c r="AW26">
        <v>3.8999999999999999E-5</v>
      </c>
      <c r="AX26">
        <v>2.23E-4</v>
      </c>
      <c r="AY26">
        <v>3.4390000000000002E-3</v>
      </c>
      <c r="AZ26">
        <v>5.5500000000000005E-4</v>
      </c>
      <c r="BA26">
        <v>2.434E-3</v>
      </c>
      <c r="BB26">
        <v>3.1830000000000001E-3</v>
      </c>
      <c r="BC26">
        <v>2.777E-3</v>
      </c>
    </row>
    <row r="27" spans="1:55">
      <c r="A27" t="s">
        <v>27</v>
      </c>
      <c r="B27">
        <v>0</v>
      </c>
      <c r="C27">
        <v>0</v>
      </c>
      <c r="D27">
        <v>4.08E-4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1.18E-4</v>
      </c>
      <c r="D28">
        <v>1.2899999999999999E-3</v>
      </c>
      <c r="E28">
        <v>4.17E-4</v>
      </c>
      <c r="F28">
        <v>3.0000000000000001E-6</v>
      </c>
      <c r="G28">
        <v>4.1399999999999998E-4</v>
      </c>
      <c r="H28">
        <v>5.0000000000000004E-6</v>
      </c>
      <c r="I28">
        <v>1.3999999999999999E-4</v>
      </c>
      <c r="J28">
        <v>2.32E-4</v>
      </c>
      <c r="K28">
        <v>5.3999999999999998E-5</v>
      </c>
      <c r="L28">
        <v>2.9399999999999999E-4</v>
      </c>
      <c r="M28">
        <v>0</v>
      </c>
      <c r="N28">
        <v>3.1599999999999998E-4</v>
      </c>
      <c r="O28">
        <v>4.5000000000000003E-5</v>
      </c>
      <c r="P28">
        <v>6.6000000000000005E-5</v>
      </c>
      <c r="Q28">
        <v>0</v>
      </c>
      <c r="R28">
        <v>3.0400000000000002E-4</v>
      </c>
      <c r="S28">
        <v>2.32E-4</v>
      </c>
      <c r="T28">
        <v>1.2999999999999999E-4</v>
      </c>
      <c r="U28">
        <v>2.4600000000000002E-4</v>
      </c>
      <c r="V28">
        <v>1.12E-4</v>
      </c>
      <c r="W28">
        <v>2.0900000000000001E-4</v>
      </c>
      <c r="X28">
        <v>1.18E-4</v>
      </c>
      <c r="Y28">
        <v>1.93E-4</v>
      </c>
      <c r="Z28">
        <v>2.9700000000000001E-4</v>
      </c>
      <c r="AA28">
        <v>8.7000000000000001E-5</v>
      </c>
      <c r="AB28">
        <v>1.6969999999999999E-2</v>
      </c>
      <c r="AC28">
        <v>2.24E-4</v>
      </c>
      <c r="AD28">
        <v>3.7399999999999998E-4</v>
      </c>
      <c r="AE28">
        <v>1.0000000000000001E-5</v>
      </c>
      <c r="AF28">
        <v>1.03E-4</v>
      </c>
      <c r="AG28">
        <v>2.2599999999999999E-4</v>
      </c>
      <c r="AH28">
        <v>2.9100000000000003E-4</v>
      </c>
      <c r="AI28">
        <v>8.0599999999999997E-4</v>
      </c>
      <c r="AJ28">
        <v>3.1599999999999998E-4</v>
      </c>
      <c r="AK28">
        <v>9.2999999999999997E-5</v>
      </c>
      <c r="AL28">
        <v>2.2769999999999999E-3</v>
      </c>
      <c r="AM28">
        <v>2.9700000000000001E-4</v>
      </c>
      <c r="AN28">
        <v>1.7409999999999999E-3</v>
      </c>
      <c r="AO28">
        <v>2.8540000000000002E-3</v>
      </c>
      <c r="AP28">
        <v>4.08E-4</v>
      </c>
      <c r="AQ28">
        <v>7.1000000000000005E-5</v>
      </c>
      <c r="AR28">
        <v>1.66E-4</v>
      </c>
      <c r="AS28">
        <v>6.9999999999999994E-5</v>
      </c>
      <c r="AT28">
        <v>1.7699999999999999E-4</v>
      </c>
      <c r="AU28">
        <v>1.36E-4</v>
      </c>
      <c r="AV28">
        <v>2.14E-4</v>
      </c>
      <c r="AW28">
        <v>1E-4</v>
      </c>
      <c r="AX28">
        <v>1.08E-4</v>
      </c>
      <c r="AY28">
        <v>6.9899999999999997E-4</v>
      </c>
      <c r="AZ28">
        <v>1.01E-4</v>
      </c>
      <c r="BA28">
        <v>1.01E-4</v>
      </c>
      <c r="BB28">
        <v>1.08E-4</v>
      </c>
      <c r="BC28">
        <v>8.2999999999999998E-5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5.5000000000000002E-5</v>
      </c>
      <c r="Q29">
        <v>0</v>
      </c>
      <c r="R29">
        <v>5.3999999999999998E-5</v>
      </c>
      <c r="S29">
        <v>2.2900000000000001E-4</v>
      </c>
      <c r="T29">
        <v>3.8000000000000002E-5</v>
      </c>
      <c r="U29">
        <v>1.3999999999999999E-4</v>
      </c>
      <c r="V29">
        <v>3.9999999999999998E-6</v>
      </c>
      <c r="W29">
        <v>1.2999999999999999E-5</v>
      </c>
      <c r="X29">
        <v>9.9999999999999995E-7</v>
      </c>
      <c r="Y29">
        <v>1.9999999999999999E-6</v>
      </c>
      <c r="Z29">
        <v>5.0000000000000004E-6</v>
      </c>
      <c r="AA29">
        <v>3.9999999999999998E-6</v>
      </c>
      <c r="AB29">
        <v>1.2999999999999999E-5</v>
      </c>
      <c r="AC29">
        <v>1.5900000000000001E-3</v>
      </c>
      <c r="AD29">
        <v>3.6400000000000001E-4</v>
      </c>
      <c r="AE29">
        <v>0</v>
      </c>
      <c r="AF29">
        <v>0</v>
      </c>
      <c r="AG29">
        <v>1.9999999999999999E-6</v>
      </c>
      <c r="AH29">
        <v>1.3999999999999999E-4</v>
      </c>
      <c r="AI29">
        <v>1.9999999999999999E-6</v>
      </c>
      <c r="AJ29">
        <v>1.9999999999999999E-6</v>
      </c>
      <c r="AK29">
        <v>3.0000000000000001E-6</v>
      </c>
      <c r="AL29">
        <v>3.9999999999999998E-6</v>
      </c>
      <c r="AM29">
        <v>2.5999999999999998E-5</v>
      </c>
      <c r="AN29">
        <v>1.0000000000000001E-5</v>
      </c>
      <c r="AO29">
        <v>1.5999999999999999E-5</v>
      </c>
      <c r="AP29">
        <v>9.0000000000000002E-6</v>
      </c>
      <c r="AQ29">
        <v>2.0900000000000001E-4</v>
      </c>
      <c r="AR29">
        <v>7.9999999999999996E-6</v>
      </c>
      <c r="AS29">
        <v>9.9999999999999995E-7</v>
      </c>
      <c r="AT29">
        <v>1.6100000000000001E-4</v>
      </c>
      <c r="AU29">
        <v>7.8999999999999996E-5</v>
      </c>
      <c r="AV29">
        <v>6.3999999999999997E-5</v>
      </c>
      <c r="AW29">
        <v>1.37E-4</v>
      </c>
      <c r="AX29">
        <v>6.9999999999999999E-6</v>
      </c>
      <c r="AY29">
        <v>1.27E-4</v>
      </c>
      <c r="AZ29">
        <v>9.9999999999999995E-7</v>
      </c>
      <c r="BA29">
        <v>1.8100000000000001E-4</v>
      </c>
      <c r="BB29">
        <v>1.34E-4</v>
      </c>
      <c r="BC29">
        <v>3.2299999999999999E-4</v>
      </c>
    </row>
    <row r="30" spans="1:55">
      <c r="A30" t="s">
        <v>30</v>
      </c>
      <c r="B30">
        <v>7.6000000000000004E-5</v>
      </c>
      <c r="C30">
        <v>5.8900000000000001E-4</v>
      </c>
      <c r="D30">
        <v>1.176E-3</v>
      </c>
      <c r="E30">
        <v>7.0520000000000001E-3</v>
      </c>
      <c r="F30">
        <v>4.5000000000000003E-5</v>
      </c>
      <c r="G30">
        <v>1.7260000000000001E-3</v>
      </c>
      <c r="H30">
        <v>5.3000000000000001E-5</v>
      </c>
      <c r="I30">
        <v>1.7200000000000001E-4</v>
      </c>
      <c r="J30">
        <v>1.0070000000000001E-3</v>
      </c>
      <c r="K30">
        <v>2.0799999999999999E-4</v>
      </c>
      <c r="L30">
        <v>2.9999999999999997E-4</v>
      </c>
      <c r="M30">
        <v>0</v>
      </c>
      <c r="N30">
        <v>1.07E-4</v>
      </c>
      <c r="O30">
        <v>5.3000000000000001E-5</v>
      </c>
      <c r="P30">
        <v>6.9999999999999994E-5</v>
      </c>
      <c r="Q30">
        <v>0</v>
      </c>
      <c r="R30">
        <v>6.9899999999999997E-4</v>
      </c>
      <c r="S30">
        <v>1.5899999999999999E-4</v>
      </c>
      <c r="T30">
        <v>1.17E-4</v>
      </c>
      <c r="U30">
        <v>1.0399999999999999E-4</v>
      </c>
      <c r="V30">
        <v>3.86E-4</v>
      </c>
      <c r="W30">
        <v>1.11E-4</v>
      </c>
      <c r="X30">
        <v>6.4999999999999994E-5</v>
      </c>
      <c r="Y30">
        <v>1.8699999999999999E-4</v>
      </c>
      <c r="Z30">
        <v>3.9500000000000001E-4</v>
      </c>
      <c r="AA30">
        <v>9.9999999999999995E-7</v>
      </c>
      <c r="AB30">
        <v>5.3999999999999998E-5</v>
      </c>
      <c r="AC30">
        <v>4.75E-4</v>
      </c>
      <c r="AD30">
        <v>6.2570000000000004E-3</v>
      </c>
      <c r="AE30">
        <v>5.3999999999999998E-5</v>
      </c>
      <c r="AF30">
        <v>5.04E-4</v>
      </c>
      <c r="AG30">
        <v>1.2899999999999999E-4</v>
      </c>
      <c r="AH30">
        <v>1.2400000000000001E-4</v>
      </c>
      <c r="AI30">
        <v>3.9599999999999998E-4</v>
      </c>
      <c r="AJ30">
        <v>8.2200000000000003E-4</v>
      </c>
      <c r="AK30">
        <v>7.038E-3</v>
      </c>
      <c r="AL30">
        <v>2.0999999999999999E-5</v>
      </c>
      <c r="AM30">
        <v>3.4520000000000002E-3</v>
      </c>
      <c r="AN30">
        <v>6.3689999999999997E-3</v>
      </c>
      <c r="AO30">
        <v>1.5150000000000001E-3</v>
      </c>
      <c r="AP30">
        <v>1.15E-4</v>
      </c>
      <c r="AQ30">
        <v>1.92E-4</v>
      </c>
      <c r="AR30">
        <v>3.8000000000000002E-5</v>
      </c>
      <c r="AS30">
        <v>1.0460000000000001E-3</v>
      </c>
      <c r="AT30">
        <v>9.3300000000000002E-4</v>
      </c>
      <c r="AU30">
        <v>1.0039999999999999E-3</v>
      </c>
      <c r="AV30">
        <v>4.26E-4</v>
      </c>
      <c r="AW30">
        <v>1.34E-4</v>
      </c>
      <c r="AX30">
        <v>3.0200000000000002E-4</v>
      </c>
      <c r="AY30">
        <v>2.1619999999999999E-3</v>
      </c>
      <c r="AZ30">
        <v>1.3420000000000001E-3</v>
      </c>
      <c r="BA30">
        <v>2.153E-3</v>
      </c>
      <c r="BB30">
        <v>7.6699999999999997E-3</v>
      </c>
      <c r="BC30">
        <v>5.182E-3</v>
      </c>
    </row>
    <row r="31" spans="1:55">
      <c r="A31" t="s">
        <v>31</v>
      </c>
      <c r="B31">
        <v>1.2E-4</v>
      </c>
      <c r="C31">
        <v>5.6099999999999998E-4</v>
      </c>
      <c r="D31">
        <v>7.097E-3</v>
      </c>
      <c r="E31">
        <v>7.7879999999999998E-3</v>
      </c>
      <c r="F31">
        <v>3.0000000000000001E-6</v>
      </c>
      <c r="G31">
        <v>7.5799999999999999E-4</v>
      </c>
      <c r="H31">
        <v>2.9700000000000001E-4</v>
      </c>
      <c r="I31">
        <v>7.8399999999999997E-4</v>
      </c>
      <c r="J31">
        <v>6.7500000000000004E-4</v>
      </c>
      <c r="K31">
        <v>6.6399999999999999E-4</v>
      </c>
      <c r="L31">
        <v>7.6099999999999996E-4</v>
      </c>
      <c r="M31">
        <v>0</v>
      </c>
      <c r="N31">
        <v>2.4000000000000001E-5</v>
      </c>
      <c r="O31">
        <v>3.5199999999999999E-4</v>
      </c>
      <c r="P31">
        <v>9.5100000000000002E-4</v>
      </c>
      <c r="Q31">
        <v>0</v>
      </c>
      <c r="R31">
        <v>9.7890000000000008E-3</v>
      </c>
      <c r="S31">
        <v>8.2730000000000008E-3</v>
      </c>
      <c r="T31">
        <v>2.264E-3</v>
      </c>
      <c r="U31">
        <v>8.1720000000000004E-3</v>
      </c>
      <c r="V31">
        <v>1.794E-3</v>
      </c>
      <c r="W31">
        <v>3.7160000000000001E-3</v>
      </c>
      <c r="X31">
        <v>4.5519999999999996E-3</v>
      </c>
      <c r="Y31">
        <v>4.3839999999999999E-3</v>
      </c>
      <c r="Z31">
        <v>5.9560000000000004E-3</v>
      </c>
      <c r="AA31">
        <v>1.3010000000000001E-3</v>
      </c>
      <c r="AB31">
        <v>2.9580000000000001E-3</v>
      </c>
      <c r="AC31">
        <v>4.5250000000000004E-3</v>
      </c>
      <c r="AD31">
        <v>9.5759999999999994E-3</v>
      </c>
      <c r="AE31">
        <v>0.16664799999999999</v>
      </c>
      <c r="AF31">
        <v>1.9599999999999999E-4</v>
      </c>
      <c r="AG31">
        <v>2.9760000000000002E-2</v>
      </c>
      <c r="AH31">
        <v>8.03E-4</v>
      </c>
      <c r="AI31">
        <v>5.999E-3</v>
      </c>
      <c r="AJ31">
        <v>3.5899999999999999E-3</v>
      </c>
      <c r="AK31">
        <v>4.3718E-2</v>
      </c>
      <c r="AL31">
        <v>6.11E-4</v>
      </c>
      <c r="AM31">
        <v>1.186E-3</v>
      </c>
      <c r="AN31">
        <v>6.3740000000000003E-3</v>
      </c>
      <c r="AO31">
        <v>4.8999999999999998E-4</v>
      </c>
      <c r="AP31">
        <v>6.973E-3</v>
      </c>
      <c r="AQ31">
        <v>4.1949999999999999E-3</v>
      </c>
      <c r="AR31">
        <v>1.1299999999999999E-3</v>
      </c>
      <c r="AS31">
        <v>4.2950000000000002E-3</v>
      </c>
      <c r="AT31">
        <v>1.536E-3</v>
      </c>
      <c r="AU31">
        <v>2.49E-3</v>
      </c>
      <c r="AV31">
        <v>2.4499999999999999E-3</v>
      </c>
      <c r="AW31">
        <v>2.2399999999999998E-3</v>
      </c>
      <c r="AX31">
        <v>1.0629999999999999E-3</v>
      </c>
      <c r="AY31">
        <v>3.7439999999999999E-3</v>
      </c>
      <c r="AZ31">
        <v>9.6019999999999994E-3</v>
      </c>
      <c r="BA31">
        <v>4.9639999999999997E-3</v>
      </c>
      <c r="BB31">
        <v>6.6670000000000002E-3</v>
      </c>
      <c r="BC31">
        <v>8.6569999999999998E-3</v>
      </c>
    </row>
    <row r="32" spans="1:55">
      <c r="A32" t="s">
        <v>32</v>
      </c>
      <c r="B32">
        <v>0</v>
      </c>
      <c r="C32">
        <v>0</v>
      </c>
      <c r="D32">
        <v>1.16E-4</v>
      </c>
      <c r="E32">
        <v>0</v>
      </c>
      <c r="F32">
        <v>0</v>
      </c>
      <c r="G32">
        <v>0</v>
      </c>
      <c r="H32">
        <v>0</v>
      </c>
      <c r="I32">
        <v>0</v>
      </c>
      <c r="J32">
        <v>6.6299999999999996E-4</v>
      </c>
      <c r="K32">
        <v>0</v>
      </c>
      <c r="L32">
        <v>0</v>
      </c>
      <c r="M32">
        <v>0</v>
      </c>
      <c r="N32">
        <v>6.0000000000000002E-6</v>
      </c>
      <c r="O32">
        <v>0</v>
      </c>
      <c r="P32">
        <v>9.6000000000000002E-5</v>
      </c>
      <c r="Q32">
        <v>0</v>
      </c>
      <c r="R32">
        <v>8.8999999999999995E-4</v>
      </c>
      <c r="S32">
        <v>5.9900000000000003E-4</v>
      </c>
      <c r="T32">
        <v>3.3799999999999998E-4</v>
      </c>
      <c r="U32">
        <v>4.2299999999999998E-4</v>
      </c>
      <c r="V32">
        <v>3.3199999999999999E-4</v>
      </c>
      <c r="W32">
        <v>5.2700000000000002E-4</v>
      </c>
      <c r="X32">
        <v>1.0269999999999999E-3</v>
      </c>
      <c r="Y32">
        <v>9.2400000000000002E-4</v>
      </c>
      <c r="Z32">
        <v>7.9900000000000001E-4</v>
      </c>
      <c r="AA32">
        <v>3.1100000000000002E-4</v>
      </c>
      <c r="AB32">
        <v>3.5399999999999999E-4</v>
      </c>
      <c r="AC32">
        <v>8.4199999999999998E-4</v>
      </c>
      <c r="AD32">
        <v>8.9800000000000004E-4</v>
      </c>
      <c r="AE32">
        <v>3.4E-5</v>
      </c>
      <c r="AF32">
        <v>1.35E-4</v>
      </c>
      <c r="AG32">
        <v>2.4000000000000001E-5</v>
      </c>
      <c r="AH32">
        <v>8.0000000000000007E-5</v>
      </c>
      <c r="AI32">
        <v>0</v>
      </c>
      <c r="AJ32">
        <v>7.9999999999999996E-6</v>
      </c>
      <c r="AK32">
        <v>0</v>
      </c>
      <c r="AL32">
        <v>2.4000000000000001E-4</v>
      </c>
      <c r="AM32">
        <v>0</v>
      </c>
      <c r="AN32">
        <v>0</v>
      </c>
      <c r="AO32">
        <v>5.0000000000000004E-6</v>
      </c>
      <c r="AP32">
        <v>0</v>
      </c>
      <c r="AQ32">
        <v>2.2800000000000001E-4</v>
      </c>
      <c r="AR32">
        <v>3.8000000000000002E-5</v>
      </c>
      <c r="AS32">
        <v>0</v>
      </c>
      <c r="AT32">
        <v>0</v>
      </c>
      <c r="AU32">
        <v>0</v>
      </c>
      <c r="AV32">
        <v>0</v>
      </c>
      <c r="AW32">
        <v>0</v>
      </c>
      <c r="AX32">
        <v>0</v>
      </c>
      <c r="AY32">
        <v>9.0000000000000002E-6</v>
      </c>
      <c r="AZ32">
        <v>1.4E-5</v>
      </c>
      <c r="BA32">
        <v>4.8999999999999998E-5</v>
      </c>
      <c r="BB32">
        <v>2.6999999999999999E-5</v>
      </c>
      <c r="BC32">
        <v>5.0000000000000004E-6</v>
      </c>
    </row>
    <row r="33" spans="1:55">
      <c r="A33" t="s">
        <v>33</v>
      </c>
      <c r="B33">
        <v>1.0000000000000001E-5</v>
      </c>
      <c r="C33">
        <v>6.69E-4</v>
      </c>
      <c r="D33">
        <v>1E-3</v>
      </c>
      <c r="E33">
        <v>0</v>
      </c>
      <c r="F33">
        <v>3.9999999999999998E-6</v>
      </c>
      <c r="G33">
        <v>6.9999999999999999E-6</v>
      </c>
      <c r="H33">
        <v>1.3200000000000001E-4</v>
      </c>
      <c r="I33">
        <v>9.9999999999999995E-7</v>
      </c>
      <c r="J33">
        <v>6.8999999999999997E-5</v>
      </c>
      <c r="K33">
        <v>1.85E-4</v>
      </c>
      <c r="L33">
        <v>8.3999999999999995E-5</v>
      </c>
      <c r="M33">
        <v>0</v>
      </c>
      <c r="N33">
        <v>1.2E-5</v>
      </c>
      <c r="O33">
        <v>6.0000000000000002E-6</v>
      </c>
      <c r="P33">
        <v>1.7100000000000001E-4</v>
      </c>
      <c r="Q33">
        <v>0</v>
      </c>
      <c r="R33">
        <v>1.1850000000000001E-3</v>
      </c>
      <c r="S33">
        <v>4.7699999999999999E-4</v>
      </c>
      <c r="T33">
        <v>1.5300000000000001E-4</v>
      </c>
      <c r="U33">
        <v>9.5100000000000002E-4</v>
      </c>
      <c r="V33">
        <v>3.3E-4</v>
      </c>
      <c r="W33">
        <v>3.7300000000000001E-4</v>
      </c>
      <c r="X33">
        <v>8.0999999999999996E-4</v>
      </c>
      <c r="Y33">
        <v>1.0968E-2</v>
      </c>
      <c r="Z33">
        <v>2.4399999999999999E-4</v>
      </c>
      <c r="AA33">
        <v>6.2000000000000003E-5</v>
      </c>
      <c r="AB33">
        <v>5.4799999999999998E-4</v>
      </c>
      <c r="AC33">
        <v>4.0200000000000001E-4</v>
      </c>
      <c r="AD33">
        <v>3.97E-4</v>
      </c>
      <c r="AE33">
        <v>1.9000000000000001E-5</v>
      </c>
      <c r="AF33">
        <v>9.0000000000000002E-6</v>
      </c>
      <c r="AG33">
        <v>3.0838999999999998E-2</v>
      </c>
      <c r="AH33">
        <v>8.2000000000000001E-5</v>
      </c>
      <c r="AI33">
        <v>8.8800000000000001E-4</v>
      </c>
      <c r="AJ33">
        <v>6.1899999999999998E-4</v>
      </c>
      <c r="AK33">
        <v>6.3999999999999997E-5</v>
      </c>
      <c r="AL33">
        <v>1.5999999999999999E-5</v>
      </c>
      <c r="AM33">
        <v>9.4700000000000003E-4</v>
      </c>
      <c r="AN33">
        <v>4.5300000000000001E-4</v>
      </c>
      <c r="AO33">
        <v>6.0000000000000002E-5</v>
      </c>
      <c r="AP33">
        <v>5.9500000000000004E-4</v>
      </c>
      <c r="AQ33">
        <v>7.9100000000000004E-4</v>
      </c>
      <c r="AR33">
        <v>8.3999999999999995E-5</v>
      </c>
      <c r="AS33">
        <v>1.01E-4</v>
      </c>
      <c r="AT33">
        <v>3.4999999999999997E-5</v>
      </c>
      <c r="AU33">
        <v>1.5E-5</v>
      </c>
      <c r="AV33">
        <v>9.2999999999999997E-5</v>
      </c>
      <c r="AW33">
        <v>1.2E-5</v>
      </c>
      <c r="AX33">
        <v>6.7999999999999999E-5</v>
      </c>
      <c r="AY33">
        <v>5.8100000000000003E-4</v>
      </c>
      <c r="AZ33">
        <v>3.9300000000000001E-4</v>
      </c>
      <c r="BA33">
        <v>5.1900000000000004E-4</v>
      </c>
      <c r="BB33">
        <v>3.039E-3</v>
      </c>
      <c r="BC33">
        <v>1.5590000000000001E-3</v>
      </c>
    </row>
    <row r="34" spans="1:55">
      <c r="A34" t="s">
        <v>34</v>
      </c>
      <c r="B34">
        <v>3.2079000000000003E-2</v>
      </c>
      <c r="C34">
        <v>2.2984000000000001E-2</v>
      </c>
      <c r="D34">
        <v>1.291E-3</v>
      </c>
      <c r="E34">
        <v>1.3569999999999999E-3</v>
      </c>
      <c r="F34">
        <v>9.4389999999999995E-3</v>
      </c>
      <c r="G34">
        <v>1.4964E-2</v>
      </c>
      <c r="H34">
        <v>1.8699999999999999E-3</v>
      </c>
      <c r="I34">
        <v>4.4571E-2</v>
      </c>
      <c r="J34">
        <v>4.4470000000000004E-3</v>
      </c>
      <c r="K34">
        <v>1.9158000000000001E-2</v>
      </c>
      <c r="L34">
        <v>4.0909000000000001E-2</v>
      </c>
      <c r="M34">
        <v>0</v>
      </c>
      <c r="N34">
        <v>6.6772999999999999E-2</v>
      </c>
      <c r="O34">
        <v>9.0899999999999998E-4</v>
      </c>
      <c r="P34">
        <v>2.1100000000000001E-4</v>
      </c>
      <c r="Q34">
        <v>1.0000000000000001E-5</v>
      </c>
      <c r="R34">
        <v>1.467E-3</v>
      </c>
      <c r="S34">
        <v>1.6490000000000001E-3</v>
      </c>
      <c r="T34">
        <v>2.8899999999999998E-4</v>
      </c>
      <c r="U34">
        <v>2.3839999999999998E-3</v>
      </c>
      <c r="V34">
        <v>4.3000000000000002E-5</v>
      </c>
      <c r="W34">
        <v>7.3999999999999996E-5</v>
      </c>
      <c r="X34">
        <v>1.9720999999999999E-2</v>
      </c>
      <c r="Y34">
        <v>4.1190000000000003E-3</v>
      </c>
      <c r="Z34">
        <v>2.8400000000000002E-4</v>
      </c>
      <c r="AA34">
        <v>2.4000000000000001E-5</v>
      </c>
      <c r="AB34">
        <v>1.8599999999999999E-4</v>
      </c>
      <c r="AC34">
        <v>1.0250000000000001E-3</v>
      </c>
      <c r="AD34">
        <v>3.3500000000000001E-4</v>
      </c>
      <c r="AE34">
        <v>9.9700000000000006E-4</v>
      </c>
      <c r="AF34">
        <v>8.2349999999999993E-3</v>
      </c>
      <c r="AG34">
        <v>3.0665999999999999E-2</v>
      </c>
      <c r="AH34">
        <v>3.2450000000000001E-3</v>
      </c>
      <c r="AI34">
        <v>1.4276E-2</v>
      </c>
      <c r="AJ34">
        <v>2.9922000000000001E-2</v>
      </c>
      <c r="AK34">
        <v>7.0418999999999995E-2</v>
      </c>
      <c r="AL34">
        <v>2.4399999999999999E-4</v>
      </c>
      <c r="AM34">
        <v>3.0610999999999999E-2</v>
      </c>
      <c r="AN34">
        <v>2.0390999999999999E-2</v>
      </c>
      <c r="AO34">
        <v>1.3860000000000001E-3</v>
      </c>
      <c r="AP34">
        <v>9.4979999999999995E-2</v>
      </c>
      <c r="AQ34">
        <v>7.4029999999999999E-3</v>
      </c>
      <c r="AR34">
        <v>1.127E-3</v>
      </c>
      <c r="AS34">
        <v>1.9068000000000002E-2</v>
      </c>
      <c r="AT34">
        <v>1.1903E-2</v>
      </c>
      <c r="AU34">
        <v>7.3740000000000003E-3</v>
      </c>
      <c r="AV34">
        <v>3.735E-3</v>
      </c>
      <c r="AW34">
        <v>6.6969999999999998E-3</v>
      </c>
      <c r="AX34">
        <v>8.3041000000000004E-2</v>
      </c>
      <c r="AY34">
        <v>6.8129999999999996E-3</v>
      </c>
      <c r="AZ34">
        <v>6.1789999999999998E-2</v>
      </c>
      <c r="BA34">
        <v>8.3110000000000007E-3</v>
      </c>
      <c r="BB34">
        <v>2.9399999999999999E-3</v>
      </c>
      <c r="BC34">
        <v>6.1669999999999997E-3</v>
      </c>
    </row>
    <row r="35" spans="1:55">
      <c r="A35" t="s">
        <v>35</v>
      </c>
      <c r="B35">
        <v>6.9020000000000001E-3</v>
      </c>
      <c r="C35">
        <v>3.2989999999999998E-3</v>
      </c>
      <c r="D35">
        <v>0</v>
      </c>
      <c r="E35">
        <v>0</v>
      </c>
      <c r="F35">
        <v>9.9999999999999995E-7</v>
      </c>
      <c r="G35">
        <v>4.8799999999999998E-3</v>
      </c>
      <c r="H35">
        <v>3.1740000000000002E-3</v>
      </c>
      <c r="I35">
        <v>5.6499999999999996E-3</v>
      </c>
      <c r="J35">
        <v>1.5510000000000001E-3</v>
      </c>
      <c r="K35">
        <v>6.4099999999999997E-4</v>
      </c>
      <c r="L35">
        <v>7.3670000000000003E-3</v>
      </c>
      <c r="M35">
        <v>0</v>
      </c>
      <c r="N35">
        <v>1.2205000000000001E-2</v>
      </c>
      <c r="O35">
        <v>2.03E-4</v>
      </c>
      <c r="P35">
        <v>6.7279999999999996E-3</v>
      </c>
      <c r="Q35">
        <v>2.8219999999999999E-3</v>
      </c>
      <c r="R35">
        <v>1.0614999999999999E-2</v>
      </c>
      <c r="S35">
        <v>8.3929999999999994E-3</v>
      </c>
      <c r="T35">
        <v>1.0416E-2</v>
      </c>
      <c r="U35">
        <v>1.1767E-2</v>
      </c>
      <c r="V35">
        <v>4.4590000000000003E-3</v>
      </c>
      <c r="W35">
        <v>8.5170000000000003E-3</v>
      </c>
      <c r="X35">
        <v>4.1060000000000003E-3</v>
      </c>
      <c r="Y35">
        <v>6.0939999999999996E-3</v>
      </c>
      <c r="Z35">
        <v>1.0711999999999999E-2</v>
      </c>
      <c r="AA35">
        <v>1.1228999999999999E-2</v>
      </c>
      <c r="AB35">
        <v>2.5225999999999998E-2</v>
      </c>
      <c r="AC35">
        <v>1.0952E-2</v>
      </c>
      <c r="AD35">
        <v>1.0196E-2</v>
      </c>
      <c r="AE35">
        <v>2.1810000000000002E-3</v>
      </c>
      <c r="AF35">
        <v>1.023E-3</v>
      </c>
      <c r="AG35">
        <v>3.9779999999999998E-3</v>
      </c>
      <c r="AH35">
        <v>1.3665E-2</v>
      </c>
      <c r="AI35">
        <v>9.4490000000000008E-3</v>
      </c>
      <c r="AJ35">
        <v>7.4780000000000003E-3</v>
      </c>
      <c r="AK35">
        <v>7.7689999999999999E-3</v>
      </c>
      <c r="AL35">
        <v>3.0851E-2</v>
      </c>
      <c r="AM35">
        <v>1.2277E-2</v>
      </c>
      <c r="AN35">
        <v>1.1364000000000001E-2</v>
      </c>
      <c r="AO35">
        <v>9.3740000000000004E-3</v>
      </c>
      <c r="AP35">
        <v>1.2758E-2</v>
      </c>
      <c r="AQ35">
        <v>4.7650000000000001E-3</v>
      </c>
      <c r="AR35">
        <v>7.6020000000000003E-3</v>
      </c>
      <c r="AS35">
        <v>3.3080000000000002E-3</v>
      </c>
      <c r="AT35">
        <v>4.0489999999999996E-3</v>
      </c>
      <c r="AU35">
        <v>7.0619999999999997E-3</v>
      </c>
      <c r="AV35">
        <v>1.4660000000000001E-3</v>
      </c>
      <c r="AW35">
        <v>1.477E-3</v>
      </c>
      <c r="AX35">
        <v>9.8900000000000008E-4</v>
      </c>
      <c r="AY35">
        <v>1.6868999999999999E-2</v>
      </c>
      <c r="AZ35">
        <v>6.3150000000000003E-3</v>
      </c>
      <c r="BA35">
        <v>5.7850000000000002E-3</v>
      </c>
      <c r="BB35">
        <v>7.548E-3</v>
      </c>
      <c r="BC35">
        <v>5.7850000000000002E-3</v>
      </c>
    </row>
    <row r="36" spans="1:55">
      <c r="A36" t="s">
        <v>36</v>
      </c>
      <c r="B36">
        <v>1.0845E-2</v>
      </c>
      <c r="C36">
        <v>1.8901999999999999E-2</v>
      </c>
      <c r="D36">
        <v>2.0163E-2</v>
      </c>
      <c r="E36">
        <v>8.7679999999999998E-3</v>
      </c>
      <c r="F36">
        <v>1.2241999999999999E-2</v>
      </c>
      <c r="G36">
        <v>2.5602E-2</v>
      </c>
      <c r="H36">
        <v>2.1337999999999999E-2</v>
      </c>
      <c r="I36">
        <v>5.5139999999999998E-3</v>
      </c>
      <c r="J36">
        <v>8.659E-3</v>
      </c>
      <c r="K36">
        <v>2.2049999999999999E-3</v>
      </c>
      <c r="L36">
        <v>2.5041999999999998E-2</v>
      </c>
      <c r="M36">
        <v>0</v>
      </c>
      <c r="N36">
        <v>1.5465E-2</v>
      </c>
      <c r="O36">
        <v>1.2700000000000001E-3</v>
      </c>
      <c r="P36">
        <v>4.5109000000000003E-2</v>
      </c>
      <c r="Q36">
        <v>2.0521000000000001E-2</v>
      </c>
      <c r="R36">
        <v>7.1883000000000002E-2</v>
      </c>
      <c r="S36">
        <v>5.5038999999999998E-2</v>
      </c>
      <c r="T36">
        <v>6.8488999999999994E-2</v>
      </c>
      <c r="U36">
        <v>7.7202999999999994E-2</v>
      </c>
      <c r="V36">
        <v>2.98E-2</v>
      </c>
      <c r="W36">
        <v>5.7926999999999999E-2</v>
      </c>
      <c r="X36">
        <v>2.6258E-2</v>
      </c>
      <c r="Y36">
        <v>3.8753999999999997E-2</v>
      </c>
      <c r="Z36">
        <v>7.4057999999999999E-2</v>
      </c>
      <c r="AA36">
        <v>7.7436000000000005E-2</v>
      </c>
      <c r="AB36">
        <v>0.16988200000000001</v>
      </c>
      <c r="AC36">
        <v>6.7339999999999997E-2</v>
      </c>
      <c r="AD36">
        <v>6.9164000000000003E-2</v>
      </c>
      <c r="AE36">
        <v>6.5960000000000003E-3</v>
      </c>
      <c r="AF36">
        <v>4.5069999999999997E-3</v>
      </c>
      <c r="AG36">
        <v>2.1259E-2</v>
      </c>
      <c r="AH36">
        <v>8.7793999999999997E-2</v>
      </c>
      <c r="AI36">
        <v>2.3539999999999998E-2</v>
      </c>
      <c r="AJ36">
        <v>1.7451999999999999E-2</v>
      </c>
      <c r="AK36">
        <v>2.0969999999999999E-2</v>
      </c>
      <c r="AL36">
        <v>4.3915999999999997E-2</v>
      </c>
      <c r="AM36">
        <v>4.3693000000000003E-2</v>
      </c>
      <c r="AN36">
        <v>4.0861000000000001E-2</v>
      </c>
      <c r="AO36">
        <v>5.3341E-2</v>
      </c>
      <c r="AP36">
        <v>1.1655E-2</v>
      </c>
      <c r="AQ36">
        <v>2.9080999999999999E-2</v>
      </c>
      <c r="AR36">
        <v>4.9822999999999999E-2</v>
      </c>
      <c r="AS36">
        <v>1.6423E-2</v>
      </c>
      <c r="AT36">
        <v>5.9059999999999998E-3</v>
      </c>
      <c r="AU36">
        <v>8.7170000000000008E-3</v>
      </c>
      <c r="AV36">
        <v>5.3169999999999997E-3</v>
      </c>
      <c r="AW36">
        <v>5.1999999999999998E-3</v>
      </c>
      <c r="AX36">
        <v>3.8370000000000001E-3</v>
      </c>
      <c r="AY36">
        <v>2.3716000000000001E-2</v>
      </c>
      <c r="AZ36">
        <v>1.0427000000000001E-2</v>
      </c>
      <c r="BA36">
        <v>1.9977999999999999E-2</v>
      </c>
      <c r="BB36">
        <v>3.7581000000000003E-2</v>
      </c>
      <c r="BC36">
        <v>2.3855999999999999E-2</v>
      </c>
    </row>
    <row r="37" spans="1:55">
      <c r="A37" t="s">
        <v>37</v>
      </c>
      <c r="B37">
        <v>5.0000000000000004E-6</v>
      </c>
      <c r="C37">
        <v>2.3800000000000001E-4</v>
      </c>
      <c r="D37">
        <v>0</v>
      </c>
      <c r="E37">
        <v>0</v>
      </c>
      <c r="F37">
        <v>1.4E-5</v>
      </c>
      <c r="G37">
        <v>2.5999999999999998E-5</v>
      </c>
      <c r="H37">
        <v>7.4999999999999993E-5</v>
      </c>
      <c r="I37">
        <v>5.0000000000000004E-6</v>
      </c>
      <c r="J37">
        <v>1.2999999999999999E-5</v>
      </c>
      <c r="K37">
        <v>3.9999999999999998E-6</v>
      </c>
      <c r="L37">
        <v>2.6519999999999998E-3</v>
      </c>
      <c r="M37">
        <v>0</v>
      </c>
      <c r="N37">
        <v>1.3899999999999999E-4</v>
      </c>
      <c r="O37">
        <v>3.0000000000000001E-6</v>
      </c>
      <c r="P37">
        <v>2.0000000000000002E-5</v>
      </c>
      <c r="Q37">
        <v>1.4E-5</v>
      </c>
      <c r="R37">
        <v>6.7000000000000002E-5</v>
      </c>
      <c r="S37">
        <v>6.9999999999999994E-5</v>
      </c>
      <c r="T37">
        <v>4.0000000000000003E-5</v>
      </c>
      <c r="U37">
        <v>3.2699999999999998E-4</v>
      </c>
      <c r="V37">
        <v>1.2E-5</v>
      </c>
      <c r="W37">
        <v>2.6999999999999999E-5</v>
      </c>
      <c r="X37">
        <v>2.0900000000000001E-4</v>
      </c>
      <c r="Y37">
        <v>3.6999999999999998E-5</v>
      </c>
      <c r="Z37">
        <v>4.8000000000000001E-5</v>
      </c>
      <c r="AA37">
        <v>3.3000000000000003E-5</v>
      </c>
      <c r="AB37">
        <v>1.4799999999999999E-4</v>
      </c>
      <c r="AC37">
        <v>1.02E-4</v>
      </c>
      <c r="AD37">
        <v>8.6000000000000003E-5</v>
      </c>
      <c r="AE37">
        <v>1.5999999999999999E-5</v>
      </c>
      <c r="AF37">
        <v>1.0000000000000001E-5</v>
      </c>
      <c r="AG37">
        <v>1.08E-4</v>
      </c>
      <c r="AH37">
        <v>6.9999999999999994E-5</v>
      </c>
      <c r="AI37">
        <v>3.6999999999999998E-5</v>
      </c>
      <c r="AJ37">
        <v>2.9300000000000002E-4</v>
      </c>
      <c r="AK37">
        <v>9.7E-5</v>
      </c>
      <c r="AL37">
        <v>2.5999999999999998E-5</v>
      </c>
      <c r="AM37">
        <v>4.1E-5</v>
      </c>
      <c r="AN37">
        <v>2.6999999999999999E-5</v>
      </c>
      <c r="AO37">
        <v>4.1E-5</v>
      </c>
      <c r="AP37">
        <v>1.1900000000000001E-4</v>
      </c>
      <c r="AQ37">
        <v>2.3E-5</v>
      </c>
      <c r="AR37">
        <v>2.3E-5</v>
      </c>
      <c r="AS37">
        <v>2.5000000000000001E-5</v>
      </c>
      <c r="AT37">
        <v>1.7E-5</v>
      </c>
      <c r="AU37">
        <v>2.9E-5</v>
      </c>
      <c r="AV37">
        <v>2.6800000000000001E-4</v>
      </c>
      <c r="AW37">
        <v>5.3999999999999998E-5</v>
      </c>
      <c r="AX37">
        <v>9.0000000000000002E-6</v>
      </c>
      <c r="AY37">
        <v>1.5460000000000001E-3</v>
      </c>
      <c r="AZ37">
        <v>7.7000000000000001E-5</v>
      </c>
      <c r="BA37">
        <v>6.3E-5</v>
      </c>
      <c r="BB37">
        <v>4.1999999999999998E-5</v>
      </c>
      <c r="BC37">
        <v>1.2300000000000001E-4</v>
      </c>
    </row>
    <row r="38" spans="1:55">
      <c r="A38" t="s">
        <v>38</v>
      </c>
      <c r="B38">
        <v>1.041E-3</v>
      </c>
      <c r="C38">
        <v>4.47E-3</v>
      </c>
      <c r="D38">
        <v>1.3183E-2</v>
      </c>
      <c r="E38">
        <v>1.4276E-2</v>
      </c>
      <c r="F38">
        <v>1.042E-2</v>
      </c>
      <c r="G38">
        <v>4.5869999999999999E-3</v>
      </c>
      <c r="H38">
        <v>1.1620000000000001E-3</v>
      </c>
      <c r="I38">
        <v>7.5000000000000002E-4</v>
      </c>
      <c r="J38">
        <v>1.0920000000000001E-3</v>
      </c>
      <c r="K38">
        <v>3.6999999999999999E-4</v>
      </c>
      <c r="L38">
        <v>5.7809999999999997E-3</v>
      </c>
      <c r="M38">
        <v>0</v>
      </c>
      <c r="N38">
        <v>1.5495999999999999E-2</v>
      </c>
      <c r="O38">
        <v>1.7799999999999999E-4</v>
      </c>
      <c r="P38">
        <v>1.8090000000000001E-3</v>
      </c>
      <c r="Q38">
        <v>1.642E-3</v>
      </c>
      <c r="R38">
        <v>6.3169999999999997E-3</v>
      </c>
      <c r="S38">
        <v>6.7530000000000003E-3</v>
      </c>
      <c r="T38">
        <v>4.6930000000000001E-3</v>
      </c>
      <c r="U38">
        <v>1.9068000000000002E-2</v>
      </c>
      <c r="V38">
        <v>2.1299999999999999E-3</v>
      </c>
      <c r="W38">
        <v>3.6830000000000001E-3</v>
      </c>
      <c r="X38">
        <v>4.15E-3</v>
      </c>
      <c r="Y38">
        <v>4.2779999999999997E-3</v>
      </c>
      <c r="Z38">
        <v>6.4949999999999999E-3</v>
      </c>
      <c r="AA38">
        <v>4.8250000000000003E-3</v>
      </c>
      <c r="AB38">
        <v>1.3254999999999999E-2</v>
      </c>
      <c r="AC38">
        <v>1.2156999999999999E-2</v>
      </c>
      <c r="AD38">
        <v>8.2489999999999994E-3</v>
      </c>
      <c r="AE38">
        <v>6.29E-4</v>
      </c>
      <c r="AF38">
        <v>1.5920000000000001E-3</v>
      </c>
      <c r="AG38">
        <v>3.5119999999999999E-3</v>
      </c>
      <c r="AH38">
        <v>9.5949999999999994E-3</v>
      </c>
      <c r="AI38">
        <v>9.8840000000000004E-3</v>
      </c>
      <c r="AJ38">
        <v>6.9179999999999997E-3</v>
      </c>
      <c r="AK38">
        <v>2.2139999999999998E-3</v>
      </c>
      <c r="AL38">
        <v>5.2919999999999998E-3</v>
      </c>
      <c r="AM38">
        <v>5.1590000000000004E-3</v>
      </c>
      <c r="AN38">
        <v>3.0469999999999998E-3</v>
      </c>
      <c r="AO38">
        <v>3.362E-3</v>
      </c>
      <c r="AP38">
        <v>3.8600000000000001E-3</v>
      </c>
      <c r="AQ38">
        <v>2.2820000000000002E-3</v>
      </c>
      <c r="AR38">
        <v>3.0439999999999998E-3</v>
      </c>
      <c r="AS38">
        <v>2.434E-3</v>
      </c>
      <c r="AT38">
        <v>1.0920000000000001E-3</v>
      </c>
      <c r="AU38">
        <v>1.188E-3</v>
      </c>
      <c r="AV38">
        <v>1.89E-3</v>
      </c>
      <c r="AW38">
        <v>2.8509999999999998E-3</v>
      </c>
      <c r="AX38">
        <v>5.5500000000000005E-4</v>
      </c>
      <c r="AY38">
        <v>8.0359999999999997E-3</v>
      </c>
      <c r="AZ38">
        <v>3.2754999999999999E-2</v>
      </c>
      <c r="BA38">
        <v>1.0815E-2</v>
      </c>
      <c r="BB38">
        <v>1.3207E-2</v>
      </c>
      <c r="BC38">
        <v>4.3439999999999998E-3</v>
      </c>
    </row>
    <row r="39" spans="1:55">
      <c r="A39" t="s">
        <v>39</v>
      </c>
      <c r="B39">
        <v>1.37E-4</v>
      </c>
      <c r="C39">
        <v>6.69E-4</v>
      </c>
      <c r="D39">
        <v>0</v>
      </c>
      <c r="E39">
        <v>0</v>
      </c>
      <c r="F39">
        <v>4.7980000000000002E-3</v>
      </c>
      <c r="G39">
        <v>5.9199999999999997E-4</v>
      </c>
      <c r="H39">
        <v>3.1599999999999998E-4</v>
      </c>
      <c r="I39">
        <v>8.0000000000000007E-5</v>
      </c>
      <c r="J39">
        <v>2.03E-4</v>
      </c>
      <c r="K39">
        <v>5.7600000000000001E-4</v>
      </c>
      <c r="L39">
        <v>3.258E-3</v>
      </c>
      <c r="M39">
        <v>0</v>
      </c>
      <c r="N39">
        <v>2.0799999999999999E-4</v>
      </c>
      <c r="O39">
        <v>2.7099999999999997E-4</v>
      </c>
      <c r="P39">
        <v>5.7499999999999999E-4</v>
      </c>
      <c r="Q39">
        <v>3.4400000000000001E-4</v>
      </c>
      <c r="R39">
        <v>1.083E-3</v>
      </c>
      <c r="S39">
        <v>7.5799999999999999E-4</v>
      </c>
      <c r="T39">
        <v>8.9800000000000004E-4</v>
      </c>
      <c r="U39">
        <v>1.0189999999999999E-3</v>
      </c>
      <c r="V39">
        <v>3.6200000000000002E-4</v>
      </c>
      <c r="W39">
        <v>7.18E-4</v>
      </c>
      <c r="X39">
        <v>3.2299999999999999E-4</v>
      </c>
      <c r="Y39">
        <v>5.4199999999999995E-4</v>
      </c>
      <c r="Z39">
        <v>1.088E-3</v>
      </c>
      <c r="AA39">
        <v>9.859999999999999E-4</v>
      </c>
      <c r="AB39">
        <v>2.4450000000000001E-3</v>
      </c>
      <c r="AC39">
        <v>9.7799999999999992E-4</v>
      </c>
      <c r="AD39">
        <v>9.7799999999999992E-4</v>
      </c>
      <c r="AE39">
        <v>8.2000000000000001E-5</v>
      </c>
      <c r="AF39">
        <v>5.7000000000000003E-5</v>
      </c>
      <c r="AG39">
        <v>2.9700000000000001E-4</v>
      </c>
      <c r="AH39">
        <v>1.2080000000000001E-3</v>
      </c>
      <c r="AI39">
        <v>3.7100000000000002E-4</v>
      </c>
      <c r="AJ39">
        <v>2.5300000000000002E-4</v>
      </c>
      <c r="AK39">
        <v>2.5999999999999998E-4</v>
      </c>
      <c r="AL39">
        <v>5.6300000000000002E-4</v>
      </c>
      <c r="AM39">
        <v>4.0999999999999999E-4</v>
      </c>
      <c r="AN39">
        <v>5.1400000000000003E-4</v>
      </c>
      <c r="AO39">
        <v>6.2100000000000002E-4</v>
      </c>
      <c r="AP39">
        <v>1.5696000000000002E-2</v>
      </c>
      <c r="AQ39">
        <v>4.0000000000000002E-4</v>
      </c>
      <c r="AR39">
        <v>6.4499999999999996E-4</v>
      </c>
      <c r="AS39">
        <v>4.44E-4</v>
      </c>
      <c r="AT39">
        <v>9.2999999999999997E-5</v>
      </c>
      <c r="AU39">
        <v>1.65E-4</v>
      </c>
      <c r="AV39">
        <v>8.7999999999999998E-5</v>
      </c>
      <c r="AW39">
        <v>2.04E-4</v>
      </c>
      <c r="AX39">
        <v>6.0000000000000002E-5</v>
      </c>
      <c r="AY39">
        <v>1.4480000000000001E-3</v>
      </c>
      <c r="AZ39">
        <v>1.83E-4</v>
      </c>
      <c r="BA39">
        <v>2.9300000000000002E-4</v>
      </c>
      <c r="BB39">
        <v>5.5500000000000005E-4</v>
      </c>
      <c r="BC39">
        <v>4.75E-4</v>
      </c>
    </row>
    <row r="40" spans="1:55">
      <c r="A40" t="s">
        <v>40</v>
      </c>
      <c r="B40">
        <v>1.16E-4</v>
      </c>
      <c r="C40">
        <v>1.0660000000000001E-3</v>
      </c>
      <c r="D40">
        <v>1.3100000000000001E-4</v>
      </c>
      <c r="E40">
        <v>7.0500000000000001E-4</v>
      </c>
      <c r="F40">
        <v>6.0700000000000001E-4</v>
      </c>
      <c r="G40">
        <v>2.2100000000000001E-4</v>
      </c>
      <c r="H40">
        <v>9.5000000000000005E-5</v>
      </c>
      <c r="I40">
        <v>1.21E-4</v>
      </c>
      <c r="J40">
        <v>1.6899999999999999E-4</v>
      </c>
      <c r="K40">
        <v>3.8099999999999999E-4</v>
      </c>
      <c r="L40">
        <v>7.76E-4</v>
      </c>
      <c r="M40">
        <v>0</v>
      </c>
      <c r="N40">
        <v>4.8000000000000001E-5</v>
      </c>
      <c r="O40">
        <v>2.31E-4</v>
      </c>
      <c r="P40">
        <v>1.45E-4</v>
      </c>
      <c r="Q40">
        <v>5.7000000000000003E-5</v>
      </c>
      <c r="R40">
        <v>6.5899999999999997E-4</v>
      </c>
      <c r="S40">
        <v>4.0400000000000001E-4</v>
      </c>
      <c r="T40">
        <v>5.2599999999999999E-4</v>
      </c>
      <c r="U40">
        <v>2.3800000000000001E-4</v>
      </c>
      <c r="V40">
        <v>7.1000000000000005E-5</v>
      </c>
      <c r="W40">
        <v>1.4200000000000001E-4</v>
      </c>
      <c r="X40">
        <v>2.2699999999999999E-4</v>
      </c>
      <c r="Y40">
        <v>1.06E-4</v>
      </c>
      <c r="Z40">
        <v>2.42E-4</v>
      </c>
      <c r="AA40">
        <v>1.7699999999999999E-4</v>
      </c>
      <c r="AB40">
        <v>6.6699999999999995E-4</v>
      </c>
      <c r="AC40">
        <v>8.3000000000000001E-4</v>
      </c>
      <c r="AD40">
        <v>5.2599999999999999E-4</v>
      </c>
      <c r="AE40">
        <v>2.9E-5</v>
      </c>
      <c r="AF40">
        <v>3.8000000000000002E-5</v>
      </c>
      <c r="AG40">
        <v>9.7400000000000004E-4</v>
      </c>
      <c r="AH40">
        <v>3.6600000000000001E-4</v>
      </c>
      <c r="AI40">
        <v>1.7200000000000001E-4</v>
      </c>
      <c r="AJ40">
        <v>5.9199999999999997E-4</v>
      </c>
      <c r="AK40">
        <v>2.1900000000000001E-4</v>
      </c>
      <c r="AL40">
        <v>2.1549999999999998E-3</v>
      </c>
      <c r="AM40">
        <v>2.0470000000000002E-3</v>
      </c>
      <c r="AN40">
        <v>7.3099999999999999E-4</v>
      </c>
      <c r="AO40">
        <v>1.194E-3</v>
      </c>
      <c r="AP40">
        <v>2.6980000000000001E-2</v>
      </c>
      <c r="AQ40">
        <v>1.6899999999999999E-4</v>
      </c>
      <c r="AR40">
        <v>2.2499999999999999E-4</v>
      </c>
      <c r="AS40">
        <v>8.7000000000000001E-5</v>
      </c>
      <c r="AT40">
        <v>3.3000000000000003E-5</v>
      </c>
      <c r="AU40">
        <v>4.1E-5</v>
      </c>
      <c r="AV40">
        <v>5.3999999999999998E-5</v>
      </c>
      <c r="AW40">
        <v>1.8200000000000001E-4</v>
      </c>
      <c r="AX40">
        <v>1.5E-5</v>
      </c>
      <c r="AY40">
        <v>2.274E-3</v>
      </c>
      <c r="AZ40">
        <v>4.8999999999999998E-5</v>
      </c>
      <c r="BA40">
        <v>7.6000000000000004E-5</v>
      </c>
      <c r="BB40">
        <v>1.2899999999999999E-4</v>
      </c>
      <c r="BC40">
        <v>2.5300000000000002E-4</v>
      </c>
    </row>
    <row r="41" spans="1:55">
      <c r="A41" t="s">
        <v>41</v>
      </c>
      <c r="B41">
        <v>1.4799999999999999E-4</v>
      </c>
      <c r="C41">
        <v>4.5399999999999998E-4</v>
      </c>
      <c r="D41">
        <v>1.0045E-2</v>
      </c>
      <c r="E41">
        <v>8.4900000000000004E-4</v>
      </c>
      <c r="F41">
        <v>1.1820000000000001E-3</v>
      </c>
      <c r="G41">
        <v>2.42E-4</v>
      </c>
      <c r="H41">
        <v>1.6899999999999999E-4</v>
      </c>
      <c r="I41">
        <v>2.4399999999999999E-4</v>
      </c>
      <c r="J41">
        <v>2.5999999999999998E-4</v>
      </c>
      <c r="K41">
        <v>1.683E-3</v>
      </c>
      <c r="L41">
        <v>6.5950000000000002E-3</v>
      </c>
      <c r="M41">
        <v>0</v>
      </c>
      <c r="N41">
        <v>1.4660000000000001E-3</v>
      </c>
      <c r="O41">
        <v>1.7899999999999999E-4</v>
      </c>
      <c r="P41">
        <v>4.0700000000000003E-4</v>
      </c>
      <c r="Q41">
        <v>2.24E-4</v>
      </c>
      <c r="R41">
        <v>2.4459999999999998E-3</v>
      </c>
      <c r="S41">
        <v>1.013E-3</v>
      </c>
      <c r="T41">
        <v>1.281E-3</v>
      </c>
      <c r="U41">
        <v>9.41E-4</v>
      </c>
      <c r="V41">
        <v>4.7600000000000002E-4</v>
      </c>
      <c r="W41">
        <v>9.4399999999999996E-4</v>
      </c>
      <c r="X41">
        <v>5.6999999999999998E-4</v>
      </c>
      <c r="Y41">
        <v>9.9299999999999996E-4</v>
      </c>
      <c r="Z41">
        <v>1.5169999999999999E-3</v>
      </c>
      <c r="AA41">
        <v>8.5300000000000003E-4</v>
      </c>
      <c r="AB41">
        <v>2.0349999999999999E-3</v>
      </c>
      <c r="AC41">
        <v>1.4109999999999999E-3</v>
      </c>
      <c r="AD41">
        <v>1.606E-3</v>
      </c>
      <c r="AE41">
        <v>4.7100000000000001E-4</v>
      </c>
      <c r="AF41">
        <v>1.56E-4</v>
      </c>
      <c r="AG41">
        <v>1.2570000000000001E-3</v>
      </c>
      <c r="AH41">
        <v>1.5120000000000001E-3</v>
      </c>
      <c r="AI41">
        <v>1.2539999999999999E-3</v>
      </c>
      <c r="AJ41">
        <v>4.1510000000000002E-3</v>
      </c>
      <c r="AK41">
        <v>6.3199999999999997E-4</v>
      </c>
      <c r="AL41">
        <v>1.1640000000000001E-3</v>
      </c>
      <c r="AM41">
        <v>3.4139999999999999E-3</v>
      </c>
      <c r="AN41">
        <v>1.3110000000000001E-3</v>
      </c>
      <c r="AO41">
        <v>1.366E-2</v>
      </c>
      <c r="AP41">
        <v>2.5439E-2</v>
      </c>
      <c r="AQ41">
        <v>7.0399999999999998E-4</v>
      </c>
      <c r="AR41">
        <v>3.3700000000000001E-4</v>
      </c>
      <c r="AS41">
        <v>1.7359999999999999E-3</v>
      </c>
      <c r="AT41">
        <v>2.6159999999999998E-3</v>
      </c>
      <c r="AU41">
        <v>4.8299999999999998E-4</v>
      </c>
      <c r="AV41">
        <v>2.0799999999999998E-3</v>
      </c>
      <c r="AW41">
        <v>1.8710000000000001E-3</v>
      </c>
      <c r="AX41">
        <v>1.147E-3</v>
      </c>
      <c r="AY41">
        <v>1.0883E-2</v>
      </c>
      <c r="AZ41">
        <v>4.8506000000000001E-2</v>
      </c>
      <c r="BA41">
        <v>8.3599999999999994E-3</v>
      </c>
      <c r="BB41">
        <v>4.9969999999999997E-3</v>
      </c>
      <c r="BC41">
        <v>2.464E-3</v>
      </c>
    </row>
    <row r="42" spans="1:55">
      <c r="A42" t="s">
        <v>42</v>
      </c>
      <c r="B42">
        <v>8.1000000000000004E-5</v>
      </c>
      <c r="C42">
        <v>8.34E-4</v>
      </c>
      <c r="D42">
        <v>1.2800000000000001E-3</v>
      </c>
      <c r="E42">
        <v>1.168E-3</v>
      </c>
      <c r="F42">
        <v>6.4419999999999998E-3</v>
      </c>
      <c r="G42">
        <v>2.2499999999999999E-4</v>
      </c>
      <c r="H42">
        <v>1.0399999999999999E-4</v>
      </c>
      <c r="I42">
        <v>1.5799999999999999E-4</v>
      </c>
      <c r="J42">
        <v>2.12E-4</v>
      </c>
      <c r="K42">
        <v>7.2000000000000002E-5</v>
      </c>
      <c r="L42">
        <v>6.5499999999999998E-4</v>
      </c>
      <c r="M42">
        <v>0</v>
      </c>
      <c r="N42">
        <v>2.5700000000000001E-4</v>
      </c>
      <c r="O42">
        <v>2.0000000000000002E-5</v>
      </c>
      <c r="P42">
        <v>2.1499999999999999E-4</v>
      </c>
      <c r="Q42">
        <v>1.5799999999999999E-4</v>
      </c>
      <c r="R42">
        <v>7.8799999999999996E-4</v>
      </c>
      <c r="S42">
        <v>6.5200000000000002E-4</v>
      </c>
      <c r="T42">
        <v>3.3500000000000001E-4</v>
      </c>
      <c r="U42">
        <v>5.5500000000000005E-4</v>
      </c>
      <c r="V42">
        <v>2.7900000000000001E-4</v>
      </c>
      <c r="W42">
        <v>4.66E-4</v>
      </c>
      <c r="X42">
        <v>3.1300000000000002E-4</v>
      </c>
      <c r="Y42">
        <v>5.1599999999999997E-4</v>
      </c>
      <c r="Z42">
        <v>8.3299999999999997E-4</v>
      </c>
      <c r="AA42">
        <v>4.1599999999999997E-4</v>
      </c>
      <c r="AB42">
        <v>1.8940000000000001E-3</v>
      </c>
      <c r="AC42">
        <v>1.0480000000000001E-3</v>
      </c>
      <c r="AD42">
        <v>1.075E-3</v>
      </c>
      <c r="AE42">
        <v>5.5000000000000002E-5</v>
      </c>
      <c r="AF42">
        <v>3.4999999999999997E-5</v>
      </c>
      <c r="AG42">
        <v>2.9500000000000001E-4</v>
      </c>
      <c r="AH42">
        <v>1.078E-3</v>
      </c>
      <c r="AI42">
        <v>1.2869999999999999E-3</v>
      </c>
      <c r="AJ42">
        <v>1.7420000000000001E-3</v>
      </c>
      <c r="AK42">
        <v>3.7200000000000002E-3</v>
      </c>
      <c r="AL42">
        <v>2.4450000000000001E-3</v>
      </c>
      <c r="AM42">
        <v>4.1667999999999997E-2</v>
      </c>
      <c r="AN42">
        <v>1.3604E-2</v>
      </c>
      <c r="AO42">
        <v>2.2966E-2</v>
      </c>
      <c r="AP42">
        <v>1.4132E-2</v>
      </c>
      <c r="AQ42">
        <v>1.8200000000000001E-4</v>
      </c>
      <c r="AR42">
        <v>2.4399999999999999E-4</v>
      </c>
      <c r="AS42">
        <v>4.0700000000000003E-4</v>
      </c>
      <c r="AT42">
        <v>7.2999999999999999E-5</v>
      </c>
      <c r="AU42">
        <v>8.2000000000000001E-5</v>
      </c>
      <c r="AV42">
        <v>8.1599999999999999E-4</v>
      </c>
      <c r="AW42">
        <v>2.6280000000000001E-3</v>
      </c>
      <c r="AX42">
        <v>8.6000000000000003E-5</v>
      </c>
      <c r="AY42">
        <v>1.2199999999999999E-3</v>
      </c>
      <c r="AZ42">
        <v>2.1800000000000001E-4</v>
      </c>
      <c r="BA42">
        <v>2.0100000000000001E-4</v>
      </c>
      <c r="BB42">
        <v>2.5599999999999999E-4</v>
      </c>
      <c r="BC42">
        <v>3.0499999999999999E-4</v>
      </c>
    </row>
    <row r="43" spans="1:55">
      <c r="A43" t="s">
        <v>43</v>
      </c>
      <c r="B43">
        <v>3.0000000000000001E-6</v>
      </c>
      <c r="C43">
        <v>1.3999999999999999E-4</v>
      </c>
      <c r="D43">
        <v>9.9310000000000006E-3</v>
      </c>
      <c r="E43">
        <v>9.9360000000000004E-3</v>
      </c>
      <c r="F43">
        <v>9.9860000000000001E-3</v>
      </c>
      <c r="G43">
        <v>1.0200000000000001E-3</v>
      </c>
      <c r="H43">
        <v>9.9999999999999995E-7</v>
      </c>
      <c r="I43">
        <v>1.5100000000000001E-4</v>
      </c>
      <c r="J43">
        <v>3.6699999999999998E-4</v>
      </c>
      <c r="K43">
        <v>1.34E-4</v>
      </c>
      <c r="L43">
        <v>8.1800000000000004E-4</v>
      </c>
      <c r="M43">
        <v>0</v>
      </c>
      <c r="N43">
        <v>0</v>
      </c>
      <c r="O43">
        <v>1.1E-5</v>
      </c>
      <c r="P43">
        <v>1.5200000000000001E-4</v>
      </c>
      <c r="Q43">
        <v>0</v>
      </c>
      <c r="R43">
        <v>5.5929999999999999E-3</v>
      </c>
      <c r="S43">
        <v>4.8000000000000001E-4</v>
      </c>
      <c r="T43">
        <v>2.41E-4</v>
      </c>
      <c r="U43">
        <v>3.59E-4</v>
      </c>
      <c r="V43">
        <v>3.6299999999999999E-4</v>
      </c>
      <c r="W43">
        <v>2.3699999999999999E-4</v>
      </c>
      <c r="X43">
        <v>1.5200000000000001E-4</v>
      </c>
      <c r="Y43">
        <v>6.2399999999999999E-4</v>
      </c>
      <c r="Z43">
        <v>4.8799999999999999E-4</v>
      </c>
      <c r="AA43">
        <v>3.0899999999999998E-4</v>
      </c>
      <c r="AB43">
        <v>6.11E-3</v>
      </c>
      <c r="AC43">
        <v>4.1999999999999998E-5</v>
      </c>
      <c r="AD43">
        <v>2.12E-4</v>
      </c>
      <c r="AE43">
        <v>1.5999999999999999E-5</v>
      </c>
      <c r="AF43">
        <v>6.7000000000000002E-5</v>
      </c>
      <c r="AG43">
        <v>2.7799999999999998E-4</v>
      </c>
      <c r="AH43">
        <v>3.1E-4</v>
      </c>
      <c r="AI43">
        <v>4.7419999999999997E-3</v>
      </c>
      <c r="AJ43">
        <v>1.8309999999999999E-3</v>
      </c>
      <c r="AK43">
        <v>2.6900000000000001E-3</v>
      </c>
      <c r="AL43">
        <v>1.1280000000000001E-3</v>
      </c>
      <c r="AM43">
        <v>4.457E-3</v>
      </c>
      <c r="AN43">
        <v>9.3600000000000003E-3</v>
      </c>
      <c r="AO43">
        <v>2.8609999999999998E-3</v>
      </c>
      <c r="AP43">
        <v>5.1539999999999997E-3</v>
      </c>
      <c r="AQ43">
        <v>7.6999999999999996E-4</v>
      </c>
      <c r="AR43">
        <v>6.0000000000000002E-6</v>
      </c>
      <c r="AS43">
        <v>3.8170000000000001E-3</v>
      </c>
      <c r="AT43">
        <v>1.6739999999999999E-3</v>
      </c>
      <c r="AU43">
        <v>3.4511E-2</v>
      </c>
      <c r="AV43">
        <v>1.6050999999999999E-2</v>
      </c>
      <c r="AW43">
        <v>8.2897999999999999E-2</v>
      </c>
      <c r="AX43">
        <v>6.9499999999999998E-4</v>
      </c>
      <c r="AY43">
        <v>9.4190000000000003E-3</v>
      </c>
      <c r="AZ43">
        <v>1.6899999999999999E-4</v>
      </c>
      <c r="BA43">
        <v>2.4800000000000001E-4</v>
      </c>
      <c r="BB43">
        <v>1.1529999999999999E-3</v>
      </c>
      <c r="BC43">
        <v>4.0200000000000001E-4</v>
      </c>
    </row>
    <row r="44" spans="1:55">
      <c r="A44" t="s">
        <v>44</v>
      </c>
      <c r="B44">
        <v>4.1599999999999997E-4</v>
      </c>
      <c r="C44">
        <v>7.4200000000000004E-4</v>
      </c>
      <c r="D44">
        <v>9.4219999999999998E-3</v>
      </c>
      <c r="E44">
        <v>4.1510000000000002E-3</v>
      </c>
      <c r="F44">
        <v>1.2120000000000001E-2</v>
      </c>
      <c r="G44">
        <v>3.1199999999999999E-4</v>
      </c>
      <c r="H44">
        <v>1.15E-4</v>
      </c>
      <c r="I44">
        <v>1.2300000000000001E-4</v>
      </c>
      <c r="J44">
        <v>7.4200000000000004E-4</v>
      </c>
      <c r="K44">
        <v>5.4199999999999995E-4</v>
      </c>
      <c r="L44">
        <v>4.44E-4</v>
      </c>
      <c r="M44">
        <v>0</v>
      </c>
      <c r="N44">
        <v>2.379E-3</v>
      </c>
      <c r="O44">
        <v>2.4000000000000001E-5</v>
      </c>
      <c r="P44">
        <v>2.6899999999999998E-4</v>
      </c>
      <c r="Q44">
        <v>1.1E-4</v>
      </c>
      <c r="R44">
        <v>7.45E-4</v>
      </c>
      <c r="S44">
        <v>1.057E-3</v>
      </c>
      <c r="T44">
        <v>2.287E-3</v>
      </c>
      <c r="U44">
        <v>1.549E-3</v>
      </c>
      <c r="V44">
        <v>4.2999999999999999E-4</v>
      </c>
      <c r="W44">
        <v>1.042E-3</v>
      </c>
      <c r="X44">
        <v>1.4549999999999999E-3</v>
      </c>
      <c r="Y44">
        <v>1.3979999999999999E-3</v>
      </c>
      <c r="Z44">
        <v>6.6100000000000002E-4</v>
      </c>
      <c r="AA44">
        <v>5.9400000000000002E-4</v>
      </c>
      <c r="AB44">
        <v>2.3270000000000001E-3</v>
      </c>
      <c r="AC44">
        <v>1.31E-3</v>
      </c>
      <c r="AD44">
        <v>6.0829999999999999E-3</v>
      </c>
      <c r="AE44">
        <v>3.5500000000000001E-4</v>
      </c>
      <c r="AF44">
        <v>1.16E-4</v>
      </c>
      <c r="AG44">
        <v>4.0099999999999999E-4</v>
      </c>
      <c r="AH44">
        <v>6.1710000000000003E-3</v>
      </c>
      <c r="AI44">
        <v>2.2539999999999999E-3</v>
      </c>
      <c r="AJ44">
        <v>7.1279999999999998E-3</v>
      </c>
      <c r="AK44">
        <v>1.008E-3</v>
      </c>
      <c r="AL44">
        <v>6.2200000000000005E-4</v>
      </c>
      <c r="AM44">
        <v>3.1359999999999999E-3</v>
      </c>
      <c r="AN44">
        <v>4.4190000000000002E-3</v>
      </c>
      <c r="AO44">
        <v>2.1080999999999999E-2</v>
      </c>
      <c r="AP44">
        <v>1.6930000000000001E-3</v>
      </c>
      <c r="AQ44">
        <v>1.057E-3</v>
      </c>
      <c r="AR44">
        <v>4.0099999999999999E-4</v>
      </c>
      <c r="AS44">
        <v>1.16E-3</v>
      </c>
      <c r="AT44">
        <v>7.6900000000000004E-4</v>
      </c>
      <c r="AU44">
        <v>4.55E-4</v>
      </c>
      <c r="AV44">
        <v>1.815E-3</v>
      </c>
      <c r="AW44">
        <v>2.1670000000000001E-3</v>
      </c>
      <c r="AX44">
        <v>2.4699999999999999E-4</v>
      </c>
      <c r="AY44">
        <v>3.4320000000000002E-3</v>
      </c>
      <c r="AZ44">
        <v>9.1380000000000003E-3</v>
      </c>
      <c r="BA44">
        <v>8.4400000000000002E-4</v>
      </c>
      <c r="BB44">
        <v>2.5270000000000002E-3</v>
      </c>
      <c r="BC44">
        <v>2.627E-3</v>
      </c>
    </row>
    <row r="45" spans="1:55">
      <c r="A45" t="s">
        <v>45</v>
      </c>
      <c r="B45">
        <v>1.4899999999999999E-4</v>
      </c>
      <c r="C45">
        <v>5.1400000000000003E-4</v>
      </c>
      <c r="D45">
        <v>1.2035000000000001E-2</v>
      </c>
      <c r="E45">
        <v>8.5330000000000007E-3</v>
      </c>
      <c r="F45">
        <v>4.3600000000000003E-4</v>
      </c>
      <c r="G45">
        <v>1.92E-3</v>
      </c>
      <c r="H45">
        <v>2.8600000000000001E-4</v>
      </c>
      <c r="I45">
        <v>2.0349999999999999E-3</v>
      </c>
      <c r="J45">
        <v>3.3599999999999998E-4</v>
      </c>
      <c r="K45">
        <v>1.0679999999999999E-3</v>
      </c>
      <c r="L45">
        <v>2.8270000000000001E-3</v>
      </c>
      <c r="M45">
        <v>0</v>
      </c>
      <c r="N45">
        <v>3.7239999999999999E-3</v>
      </c>
      <c r="O45">
        <v>1.3190000000000001E-3</v>
      </c>
      <c r="P45">
        <v>5.6820000000000004E-3</v>
      </c>
      <c r="Q45">
        <v>2.72E-4</v>
      </c>
      <c r="R45">
        <v>2.5441999999999999E-2</v>
      </c>
      <c r="S45">
        <v>3.7803999999999997E-2</v>
      </c>
      <c r="T45">
        <v>9.0980000000000002E-3</v>
      </c>
      <c r="U45">
        <v>1.6747999999999999E-2</v>
      </c>
      <c r="V45">
        <v>1.175E-2</v>
      </c>
      <c r="W45">
        <v>6.2599999999999999E-3</v>
      </c>
      <c r="X45">
        <v>5.3330000000000001E-3</v>
      </c>
      <c r="Y45">
        <v>3.542E-3</v>
      </c>
      <c r="Z45">
        <v>8.5280000000000009E-3</v>
      </c>
      <c r="AA45">
        <v>4.0930000000000003E-3</v>
      </c>
      <c r="AB45">
        <v>1.6584999999999999E-2</v>
      </c>
      <c r="AC45">
        <v>4.8395000000000001E-2</v>
      </c>
      <c r="AD45">
        <v>2.4718E-2</v>
      </c>
      <c r="AE45">
        <v>2.911E-3</v>
      </c>
      <c r="AF45">
        <v>7.7999999999999999E-4</v>
      </c>
      <c r="AG45">
        <v>3.8560000000000001E-3</v>
      </c>
      <c r="AH45">
        <v>8.5850000000000006E-3</v>
      </c>
      <c r="AI45">
        <v>1.5532000000000001E-2</v>
      </c>
      <c r="AJ45">
        <v>2.0847000000000001E-2</v>
      </c>
      <c r="AK45">
        <v>5.561E-3</v>
      </c>
      <c r="AL45">
        <v>4.2310000000000004E-3</v>
      </c>
      <c r="AM45">
        <v>1.6621E-2</v>
      </c>
      <c r="AN45">
        <v>4.1230999999999997E-2</v>
      </c>
      <c r="AO45">
        <v>2.1454000000000001E-2</v>
      </c>
      <c r="AP45">
        <v>3.5478999999999997E-2</v>
      </c>
      <c r="AQ45">
        <v>9.3609999999999995E-3</v>
      </c>
      <c r="AR45">
        <v>3.7959999999999999E-3</v>
      </c>
      <c r="AS45">
        <v>0.129138</v>
      </c>
      <c r="AT45">
        <v>2.0652E-2</v>
      </c>
      <c r="AU45">
        <v>5.0909000000000003E-2</v>
      </c>
      <c r="AV45">
        <v>1.8617999999999999E-2</v>
      </c>
      <c r="AW45">
        <v>2.6891999999999999E-2</v>
      </c>
      <c r="AX45">
        <v>1.1139E-2</v>
      </c>
      <c r="AY45">
        <v>6.5989000000000006E-2</v>
      </c>
      <c r="AZ45">
        <v>3.1934999999999998E-2</v>
      </c>
      <c r="BA45">
        <v>3.9232999999999997E-2</v>
      </c>
      <c r="BB45">
        <v>1.384E-2</v>
      </c>
      <c r="BC45">
        <v>1.3101E-2</v>
      </c>
    </row>
    <row r="46" spans="1:55">
      <c r="A46" t="s">
        <v>46</v>
      </c>
      <c r="B46">
        <v>1.2620000000000001E-3</v>
      </c>
      <c r="C46">
        <v>2.9610000000000001E-3</v>
      </c>
      <c r="D46">
        <v>4.1949999999999999E-3</v>
      </c>
      <c r="E46">
        <v>7.9000000000000001E-4</v>
      </c>
      <c r="F46">
        <v>9.0200000000000002E-3</v>
      </c>
      <c r="G46">
        <v>1.3925999999999999E-2</v>
      </c>
      <c r="H46">
        <v>9.2699999999999998E-4</v>
      </c>
      <c r="I46">
        <v>1.678E-3</v>
      </c>
      <c r="J46">
        <v>2.9499999999999999E-3</v>
      </c>
      <c r="K46">
        <v>2.359E-3</v>
      </c>
      <c r="L46">
        <v>9.6900000000000007E-3</v>
      </c>
      <c r="M46">
        <v>0</v>
      </c>
      <c r="N46">
        <v>9.7190000000000002E-3</v>
      </c>
      <c r="O46">
        <v>1.8799999999999999E-4</v>
      </c>
      <c r="P46">
        <v>2.7820000000000002E-3</v>
      </c>
      <c r="Q46">
        <v>5.0000000000000004E-6</v>
      </c>
      <c r="R46">
        <v>1.1946999999999999E-2</v>
      </c>
      <c r="S46">
        <v>6.7799999999999996E-3</v>
      </c>
      <c r="T46">
        <v>3.8349999999999999E-3</v>
      </c>
      <c r="U46">
        <v>1.6542000000000001E-2</v>
      </c>
      <c r="V46">
        <v>3.862E-3</v>
      </c>
      <c r="W46">
        <v>6.8490000000000001E-3</v>
      </c>
      <c r="X46">
        <v>2.947E-3</v>
      </c>
      <c r="Y46">
        <v>4.4799999999999996E-3</v>
      </c>
      <c r="Z46">
        <v>2.663E-3</v>
      </c>
      <c r="AA46">
        <v>3.8800000000000002E-3</v>
      </c>
      <c r="AB46">
        <v>4.254E-3</v>
      </c>
      <c r="AC46">
        <v>6.117E-3</v>
      </c>
      <c r="AD46">
        <v>2.0268999999999999E-2</v>
      </c>
      <c r="AE46">
        <v>8.6370000000000006E-3</v>
      </c>
      <c r="AF46">
        <v>2.5730000000000002E-3</v>
      </c>
      <c r="AG46">
        <v>1.346E-3</v>
      </c>
      <c r="AH46">
        <v>3.8140000000000001E-3</v>
      </c>
      <c r="AI46">
        <v>5.3499999999999997E-3</v>
      </c>
      <c r="AJ46">
        <v>1.9730999999999999E-2</v>
      </c>
      <c r="AK46">
        <v>4.8859999999999997E-3</v>
      </c>
      <c r="AL46">
        <v>3.2940000000000001E-3</v>
      </c>
      <c r="AM46">
        <v>1.5377999999999999E-2</v>
      </c>
      <c r="AN46">
        <v>4.607E-3</v>
      </c>
      <c r="AO46">
        <v>1.9300000000000001E-3</v>
      </c>
      <c r="AP46">
        <v>3.5040000000000002E-3</v>
      </c>
      <c r="AQ46">
        <v>6.1809999999999999E-3</v>
      </c>
      <c r="AR46">
        <v>7.7899999999999996E-4</v>
      </c>
      <c r="AS46">
        <v>5.6249999999999998E-3</v>
      </c>
      <c r="AT46">
        <v>6.5399999999999998E-3</v>
      </c>
      <c r="AU46">
        <v>1.6153000000000001E-2</v>
      </c>
      <c r="AV46">
        <v>8.3249000000000004E-2</v>
      </c>
      <c r="AW46">
        <v>3.3971000000000001E-2</v>
      </c>
      <c r="AX46">
        <v>1.2371E-2</v>
      </c>
      <c r="AY46">
        <v>1.7898000000000001E-2</v>
      </c>
      <c r="AZ46">
        <v>9.8799999999999995E-4</v>
      </c>
      <c r="BA46">
        <v>2.1050000000000001E-3</v>
      </c>
      <c r="BB46">
        <v>2.6250000000000002E-3</v>
      </c>
      <c r="BC46">
        <v>5.2709999999999996E-3</v>
      </c>
    </row>
    <row r="47" spans="1:55">
      <c r="A47" t="s">
        <v>47</v>
      </c>
      <c r="B47">
        <v>2.34E-4</v>
      </c>
      <c r="C47">
        <v>5.9500000000000004E-4</v>
      </c>
      <c r="D47">
        <v>2.7399999999999999E-4</v>
      </c>
      <c r="E47">
        <v>1.17E-4</v>
      </c>
      <c r="F47">
        <v>5.7600000000000001E-4</v>
      </c>
      <c r="G47">
        <v>0</v>
      </c>
      <c r="H47">
        <v>0</v>
      </c>
      <c r="I47">
        <v>4.7600000000000002E-4</v>
      </c>
      <c r="J47">
        <v>6.3599999999999996E-4</v>
      </c>
      <c r="K47">
        <v>2.9689999999999999E-3</v>
      </c>
      <c r="L47">
        <v>1.4009999999999999E-3</v>
      </c>
      <c r="M47">
        <v>0</v>
      </c>
      <c r="N47">
        <v>1.356E-3</v>
      </c>
      <c r="O47">
        <v>1.83E-4</v>
      </c>
      <c r="P47">
        <v>1.22E-4</v>
      </c>
      <c r="Q47">
        <v>0</v>
      </c>
      <c r="R47">
        <v>0</v>
      </c>
      <c r="S47">
        <v>2.444E-3</v>
      </c>
      <c r="T47">
        <v>1.6050000000000001E-3</v>
      </c>
      <c r="U47">
        <v>6.5300000000000004E-4</v>
      </c>
      <c r="V47">
        <v>7.5900000000000002E-4</v>
      </c>
      <c r="W47">
        <v>3.3799999999999998E-4</v>
      </c>
      <c r="X47">
        <v>5.0000000000000004E-6</v>
      </c>
      <c r="Y47">
        <v>2.5000000000000001E-4</v>
      </c>
      <c r="Z47">
        <v>1.1E-5</v>
      </c>
      <c r="AA47">
        <v>2.5000000000000001E-4</v>
      </c>
      <c r="AB47">
        <v>2.7330000000000002E-3</v>
      </c>
      <c r="AC47">
        <v>1.5999999999999999E-5</v>
      </c>
      <c r="AD47">
        <v>9.7499999999999996E-4</v>
      </c>
      <c r="AE47">
        <v>4.3000000000000002E-5</v>
      </c>
      <c r="AF47">
        <v>7.7999999999999999E-5</v>
      </c>
      <c r="AG47">
        <v>3.0000000000000001E-6</v>
      </c>
      <c r="AH47">
        <v>1.173E-3</v>
      </c>
      <c r="AI47">
        <v>5.6239999999999997E-3</v>
      </c>
      <c r="AJ47">
        <v>2.3040000000000001E-3</v>
      </c>
      <c r="AK47">
        <v>2.0000000000000001E-4</v>
      </c>
      <c r="AL47">
        <v>2.23E-4</v>
      </c>
      <c r="AM47">
        <v>8.2430000000000003E-3</v>
      </c>
      <c r="AN47">
        <v>1.3239000000000001E-2</v>
      </c>
      <c r="AO47">
        <v>4.4349999999999997E-3</v>
      </c>
      <c r="AP47">
        <v>8.1510000000000003E-3</v>
      </c>
      <c r="AQ47">
        <v>8.8999999999999995E-4</v>
      </c>
      <c r="AR47">
        <v>4.9600000000000002E-4</v>
      </c>
      <c r="AS47">
        <v>1.843E-3</v>
      </c>
      <c r="AT47">
        <v>6.4700000000000001E-3</v>
      </c>
      <c r="AU47">
        <v>1.0877E-2</v>
      </c>
      <c r="AV47">
        <v>1.1998E-2</v>
      </c>
      <c r="AW47">
        <v>2.6138000000000002E-2</v>
      </c>
      <c r="AX47">
        <v>1.691E-3</v>
      </c>
      <c r="AY47">
        <v>4.6439999999999997E-3</v>
      </c>
      <c r="AZ47">
        <v>1.9419999999999999E-3</v>
      </c>
      <c r="BA47">
        <v>5.2300000000000003E-4</v>
      </c>
      <c r="BB47">
        <v>2.408E-3</v>
      </c>
      <c r="BC47">
        <v>4.4799999999999999E-4</v>
      </c>
    </row>
    <row r="48" spans="1:55">
      <c r="A48" t="s">
        <v>48</v>
      </c>
      <c r="B48">
        <v>1.2489999999999999E-3</v>
      </c>
      <c r="C48">
        <v>5.1240000000000001E-3</v>
      </c>
      <c r="D48">
        <v>5.6499999999999996E-4</v>
      </c>
      <c r="E48">
        <v>5.1999999999999997E-5</v>
      </c>
      <c r="F48">
        <v>1.3749999999999999E-3</v>
      </c>
      <c r="G48">
        <v>5.0799999999999999E-4</v>
      </c>
      <c r="H48">
        <v>1.03E-4</v>
      </c>
      <c r="I48">
        <v>5.8100000000000003E-4</v>
      </c>
      <c r="J48">
        <v>3.2600000000000001E-4</v>
      </c>
      <c r="K48">
        <v>3.5399999999999999E-4</v>
      </c>
      <c r="L48">
        <v>1.1249999999999999E-3</v>
      </c>
      <c r="M48">
        <v>0</v>
      </c>
      <c r="N48">
        <v>8.8999999999999995E-5</v>
      </c>
      <c r="O48">
        <v>6.0000000000000002E-6</v>
      </c>
      <c r="P48">
        <v>2.2000000000000001E-4</v>
      </c>
      <c r="Q48">
        <v>0</v>
      </c>
      <c r="R48">
        <v>3.7439999999999999E-3</v>
      </c>
      <c r="S48">
        <v>5.2300000000000003E-3</v>
      </c>
      <c r="T48">
        <v>1.0020000000000001E-3</v>
      </c>
      <c r="U48">
        <v>3.9890000000000004E-3</v>
      </c>
      <c r="V48">
        <v>1.0430000000000001E-3</v>
      </c>
      <c r="W48">
        <v>8.5499999999999997E-4</v>
      </c>
      <c r="X48">
        <v>2.5700000000000001E-4</v>
      </c>
      <c r="Y48">
        <v>3.5399999999999999E-4</v>
      </c>
      <c r="Z48">
        <v>1.4480000000000001E-3</v>
      </c>
      <c r="AA48">
        <v>5.9999999999999995E-4</v>
      </c>
      <c r="AB48">
        <v>2.1879999999999998E-3</v>
      </c>
      <c r="AC48">
        <v>6.0000000000000002E-6</v>
      </c>
      <c r="AD48">
        <v>3.1050000000000001E-3</v>
      </c>
      <c r="AE48">
        <v>3.9240000000000004E-3</v>
      </c>
      <c r="AF48">
        <v>1.9999999999999999E-6</v>
      </c>
      <c r="AG48">
        <v>4.1399999999999998E-4</v>
      </c>
      <c r="AH48">
        <v>4.66E-4</v>
      </c>
      <c r="AI48">
        <v>7.5059999999999997E-3</v>
      </c>
      <c r="AJ48">
        <v>5.2100000000000002E-3</v>
      </c>
      <c r="AK48">
        <v>3.0000000000000001E-6</v>
      </c>
      <c r="AL48">
        <v>1.351E-3</v>
      </c>
      <c r="AM48">
        <v>2.3080000000000002E-3</v>
      </c>
      <c r="AN48">
        <v>7.9999999999999996E-6</v>
      </c>
      <c r="AO48">
        <v>7.5699999999999997E-4</v>
      </c>
      <c r="AP48">
        <v>2.2769999999999999E-3</v>
      </c>
      <c r="AQ48">
        <v>1.42E-3</v>
      </c>
      <c r="AR48">
        <v>5.71E-4</v>
      </c>
      <c r="AS48">
        <v>1.9070000000000001E-3</v>
      </c>
      <c r="AT48">
        <v>5.2700000000000002E-4</v>
      </c>
      <c r="AU48">
        <v>3.6713999999999997E-2</v>
      </c>
      <c r="AV48">
        <v>6.2184000000000003E-2</v>
      </c>
      <c r="AW48">
        <v>2.3415999999999999E-2</v>
      </c>
      <c r="AX48">
        <v>3.5590000000000001E-3</v>
      </c>
      <c r="AY48">
        <v>1.0227E-2</v>
      </c>
      <c r="AZ48">
        <v>1.2800000000000001E-3</v>
      </c>
      <c r="BA48">
        <v>1.707E-3</v>
      </c>
      <c r="BB48">
        <v>2.8649999999999999E-3</v>
      </c>
      <c r="BC48">
        <v>2.4750000000000002E-3</v>
      </c>
    </row>
    <row r="49" spans="1:55">
      <c r="A49" t="s">
        <v>49</v>
      </c>
      <c r="B49">
        <v>3.9999999999999998E-6</v>
      </c>
      <c r="C49">
        <v>9.9999999999999995E-7</v>
      </c>
      <c r="D49">
        <v>1.3100000000000001E-4</v>
      </c>
      <c r="E49">
        <v>2.52E-4</v>
      </c>
      <c r="F49">
        <v>4.1999999999999998E-5</v>
      </c>
      <c r="G49">
        <v>3.9999999999999998E-6</v>
      </c>
      <c r="H49">
        <v>0</v>
      </c>
      <c r="I49">
        <v>9.9999999999999995E-7</v>
      </c>
      <c r="J49">
        <v>9.9999999999999995E-7</v>
      </c>
      <c r="K49">
        <v>9.9999999999999995E-7</v>
      </c>
      <c r="L49">
        <v>3.0000000000000001E-6</v>
      </c>
      <c r="M49">
        <v>0</v>
      </c>
      <c r="N49">
        <v>0</v>
      </c>
      <c r="O49">
        <v>0</v>
      </c>
      <c r="P49">
        <v>9.9999999999999995E-7</v>
      </c>
      <c r="Q49">
        <v>0</v>
      </c>
      <c r="R49">
        <v>2.1999999999999999E-5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2.4000000000000001E-5</v>
      </c>
      <c r="AC49">
        <v>0</v>
      </c>
      <c r="AD49">
        <v>9.9999999999999995E-7</v>
      </c>
      <c r="AE49">
        <v>0</v>
      </c>
      <c r="AF49">
        <v>0</v>
      </c>
      <c r="AG49">
        <v>9.9999999999999995E-7</v>
      </c>
      <c r="AH49">
        <v>9.9999999999999995E-7</v>
      </c>
      <c r="AI49">
        <v>1.9000000000000001E-5</v>
      </c>
      <c r="AJ49">
        <v>6.9999999999999999E-6</v>
      </c>
      <c r="AK49">
        <v>1.1E-5</v>
      </c>
      <c r="AL49">
        <v>5.0000000000000004E-6</v>
      </c>
      <c r="AM49">
        <v>1.8E-5</v>
      </c>
      <c r="AN49">
        <v>3.8000000000000002E-5</v>
      </c>
      <c r="AO49">
        <v>1.1E-5</v>
      </c>
      <c r="AP49">
        <v>2.0999999999999999E-5</v>
      </c>
      <c r="AQ49">
        <v>3.0000000000000001E-6</v>
      </c>
      <c r="AR49">
        <v>0</v>
      </c>
      <c r="AS49">
        <v>1.5E-5</v>
      </c>
      <c r="AT49">
        <v>6.9999999999999999E-6</v>
      </c>
      <c r="AU49">
        <v>1.3799999999999999E-4</v>
      </c>
      <c r="AV49">
        <v>6.3999999999999997E-5</v>
      </c>
      <c r="AW49">
        <v>3.3199999999999999E-4</v>
      </c>
      <c r="AX49">
        <v>3.0000000000000001E-6</v>
      </c>
      <c r="AY49">
        <v>3.8000000000000002E-5</v>
      </c>
      <c r="AZ49">
        <v>9.9999999999999995E-7</v>
      </c>
      <c r="BA49">
        <v>9.9999999999999995E-7</v>
      </c>
      <c r="BB49">
        <v>5.0000000000000004E-6</v>
      </c>
      <c r="BC49">
        <v>1.9999999999999999E-6</v>
      </c>
    </row>
    <row r="50" spans="1:55">
      <c r="A50" t="s">
        <v>50</v>
      </c>
      <c r="B50">
        <v>0</v>
      </c>
      <c r="C50">
        <v>0</v>
      </c>
      <c r="D50">
        <v>0</v>
      </c>
      <c r="E50">
        <v>0</v>
      </c>
      <c r="F50">
        <v>0</v>
      </c>
      <c r="G50">
        <v>0</v>
      </c>
      <c r="H50">
        <v>0</v>
      </c>
      <c r="I50">
        <v>0</v>
      </c>
      <c r="J50">
        <v>0</v>
      </c>
      <c r="K50">
        <v>4.5199999999999998E-4</v>
      </c>
      <c r="L50">
        <v>5.3299999999999997E-3</v>
      </c>
      <c r="M50">
        <v>0</v>
      </c>
      <c r="N50">
        <v>1.3649999999999999E-3</v>
      </c>
      <c r="O50">
        <v>2.0799999999999999E-4</v>
      </c>
      <c r="P50">
        <v>3.5599999999999998E-4</v>
      </c>
      <c r="Q50">
        <v>0</v>
      </c>
      <c r="R50">
        <v>2.088E-3</v>
      </c>
      <c r="S50">
        <v>3.8920000000000001E-3</v>
      </c>
      <c r="T50">
        <v>9.6199999999999996E-4</v>
      </c>
      <c r="U50">
        <v>2.3519999999999999E-3</v>
      </c>
      <c r="V50">
        <v>7.3300000000000004E-4</v>
      </c>
      <c r="W50">
        <v>1.825E-3</v>
      </c>
      <c r="X50">
        <v>1.206E-3</v>
      </c>
      <c r="Y50">
        <v>1.3240000000000001E-3</v>
      </c>
      <c r="Z50">
        <v>2.5089999999999999E-3</v>
      </c>
      <c r="AA50">
        <v>0</v>
      </c>
      <c r="AB50">
        <v>2.8300000000000001E-3</v>
      </c>
      <c r="AC50">
        <v>5.0109999999999998E-3</v>
      </c>
      <c r="AD50">
        <v>1.9430000000000001E-3</v>
      </c>
      <c r="AE50">
        <v>0</v>
      </c>
      <c r="AF50">
        <v>0</v>
      </c>
      <c r="AG50">
        <v>3.8300000000000001E-3</v>
      </c>
      <c r="AH50">
        <v>1.284E-3</v>
      </c>
      <c r="AI50">
        <v>1.7037E-2</v>
      </c>
      <c r="AJ50">
        <v>1.8943999999999999E-2</v>
      </c>
      <c r="AK50">
        <v>1.1396999999999999E-2</v>
      </c>
      <c r="AL50">
        <v>1.774E-3</v>
      </c>
      <c r="AM50">
        <v>2.418E-3</v>
      </c>
      <c r="AN50">
        <v>6.4070000000000004E-3</v>
      </c>
      <c r="AO50">
        <v>2.6540000000000001E-3</v>
      </c>
      <c r="AP50">
        <v>4.751E-3</v>
      </c>
      <c r="AQ50">
        <v>1.575E-3</v>
      </c>
      <c r="AR50">
        <v>8.4000000000000003E-4</v>
      </c>
      <c r="AS50">
        <v>6.6870000000000002E-3</v>
      </c>
      <c r="AT50">
        <v>5.2550000000000001E-3</v>
      </c>
      <c r="AU50">
        <v>7.5079999999999999E-3</v>
      </c>
      <c r="AV50">
        <v>4.0119999999999999E-3</v>
      </c>
      <c r="AW50">
        <v>7.0980000000000001E-3</v>
      </c>
      <c r="AX50">
        <v>1.817E-3</v>
      </c>
      <c r="AY50">
        <v>1.0106E-2</v>
      </c>
      <c r="AZ50">
        <v>2.006E-3</v>
      </c>
      <c r="BA50">
        <v>9.6159999999999995E-3</v>
      </c>
      <c r="BB50">
        <v>4.7949999999999998E-3</v>
      </c>
      <c r="BC50">
        <v>1.1228999999999999E-2</v>
      </c>
    </row>
    <row r="51" spans="1:55">
      <c r="A51" t="s">
        <v>51</v>
      </c>
      <c r="B51">
        <v>2.9599999999999998E-4</v>
      </c>
      <c r="C51">
        <v>4.37E-4</v>
      </c>
      <c r="D51">
        <v>7.3740000000000003E-3</v>
      </c>
      <c r="E51">
        <v>1.137E-3</v>
      </c>
      <c r="F51">
        <v>4.3000000000000002E-5</v>
      </c>
      <c r="G51">
        <v>2.4710000000000001E-3</v>
      </c>
      <c r="H51">
        <v>6.3999999999999997E-5</v>
      </c>
      <c r="I51">
        <v>7.1299999999999998E-4</v>
      </c>
      <c r="J51">
        <v>2.24E-4</v>
      </c>
      <c r="K51">
        <v>1.011E-3</v>
      </c>
      <c r="L51">
        <v>7.5000000000000002E-4</v>
      </c>
      <c r="M51">
        <v>0</v>
      </c>
      <c r="N51">
        <v>5.0699999999999996E-4</v>
      </c>
      <c r="O51">
        <v>1.75E-4</v>
      </c>
      <c r="P51">
        <v>1.06E-4</v>
      </c>
      <c r="Q51">
        <v>5.0000000000000004E-6</v>
      </c>
      <c r="R51">
        <v>6.3100000000000005E-4</v>
      </c>
      <c r="S51">
        <v>8.5499999999999997E-4</v>
      </c>
      <c r="T51">
        <v>4.2299999999999998E-4</v>
      </c>
      <c r="U51">
        <v>7.0299999999999996E-4</v>
      </c>
      <c r="V51">
        <v>1.9900000000000001E-4</v>
      </c>
      <c r="W51">
        <v>2.7999999999999998E-4</v>
      </c>
      <c r="X51">
        <v>5.2499999999999997E-4</v>
      </c>
      <c r="Y51">
        <v>2.3599999999999999E-4</v>
      </c>
      <c r="Z51">
        <v>4.8099999999999998E-4</v>
      </c>
      <c r="AA51">
        <v>1.8100000000000001E-4</v>
      </c>
      <c r="AB51">
        <v>1.253E-3</v>
      </c>
      <c r="AC51">
        <v>9.0700000000000004E-4</v>
      </c>
      <c r="AD51">
        <v>4.75E-4</v>
      </c>
      <c r="AE51">
        <v>2.026E-3</v>
      </c>
      <c r="AF51">
        <v>3.1700000000000001E-4</v>
      </c>
      <c r="AG51">
        <v>6.78E-4</v>
      </c>
      <c r="AH51">
        <v>6.8199999999999999E-4</v>
      </c>
      <c r="AI51">
        <v>1.6180000000000001E-3</v>
      </c>
      <c r="AJ51">
        <v>9.8799999999999995E-4</v>
      </c>
      <c r="AK51">
        <v>1.2769999999999999E-3</v>
      </c>
      <c r="AL51">
        <v>1.7229999999999999E-3</v>
      </c>
      <c r="AM51">
        <v>3.2230000000000002E-3</v>
      </c>
      <c r="AN51">
        <v>2.0079999999999998E-3</v>
      </c>
      <c r="AO51">
        <v>3.6640000000000002E-3</v>
      </c>
      <c r="AP51">
        <v>2.1619999999999999E-3</v>
      </c>
      <c r="AQ51">
        <v>5.5699999999999999E-4</v>
      </c>
      <c r="AR51">
        <v>1.6799999999999999E-4</v>
      </c>
      <c r="AS51">
        <v>1.121E-3</v>
      </c>
      <c r="AT51">
        <v>3.6340000000000001E-3</v>
      </c>
      <c r="AU51">
        <v>3.1410000000000001E-3</v>
      </c>
      <c r="AV51">
        <v>1.9980000000000002E-3</v>
      </c>
      <c r="AW51">
        <v>1.7520000000000001E-3</v>
      </c>
      <c r="AX51">
        <v>9.3700000000000001E-4</v>
      </c>
      <c r="AY51">
        <v>2.617E-3</v>
      </c>
      <c r="AZ51">
        <v>2.8549999999999999E-3</v>
      </c>
      <c r="BA51">
        <v>1.719E-3</v>
      </c>
      <c r="BB51">
        <v>3.2899999999999997E-4</v>
      </c>
      <c r="BC51">
        <v>5.3899999999999998E-4</v>
      </c>
    </row>
    <row r="52" spans="1:55">
      <c r="A52" t="s">
        <v>52</v>
      </c>
      <c r="B52">
        <v>0</v>
      </c>
      <c r="C52">
        <v>0</v>
      </c>
      <c r="D52">
        <v>0</v>
      </c>
      <c r="E52">
        <v>0</v>
      </c>
      <c r="F52">
        <v>5.7499999999999999E-4</v>
      </c>
      <c r="G52">
        <v>0</v>
      </c>
      <c r="H52">
        <v>0</v>
      </c>
      <c r="I52">
        <v>0</v>
      </c>
      <c r="J52">
        <v>0</v>
      </c>
      <c r="K52">
        <v>2.7469999999999999E-3</v>
      </c>
      <c r="L52">
        <v>4.8679999999999999E-3</v>
      </c>
      <c r="M52">
        <v>0</v>
      </c>
      <c r="N52">
        <v>0</v>
      </c>
      <c r="O52">
        <v>4.4799999999999999E-4</v>
      </c>
      <c r="P52">
        <v>2.7700000000000001E-4</v>
      </c>
      <c r="Q52">
        <v>0</v>
      </c>
      <c r="R52">
        <v>2.954E-3</v>
      </c>
      <c r="S52">
        <v>0</v>
      </c>
      <c r="T52">
        <v>0</v>
      </c>
      <c r="U52">
        <v>3.7859999999999999E-3</v>
      </c>
      <c r="V52">
        <v>1.4220000000000001E-3</v>
      </c>
      <c r="W52">
        <v>2.7100000000000002E-3</v>
      </c>
      <c r="X52">
        <v>0</v>
      </c>
      <c r="Y52">
        <v>0</v>
      </c>
      <c r="Z52">
        <v>0</v>
      </c>
      <c r="AA52">
        <v>0</v>
      </c>
      <c r="AB52">
        <v>6.5420000000000001E-3</v>
      </c>
      <c r="AC52">
        <v>0</v>
      </c>
      <c r="AD52">
        <v>0</v>
      </c>
      <c r="AE52">
        <v>1.088E-3</v>
      </c>
      <c r="AF52">
        <v>3.0000000000000001E-6</v>
      </c>
      <c r="AG52">
        <v>2.1683999999999998E-2</v>
      </c>
      <c r="AH52">
        <v>4.4079999999999996E-3</v>
      </c>
      <c r="AI52">
        <v>1.17E-4</v>
      </c>
      <c r="AJ52">
        <v>1.03E-4</v>
      </c>
      <c r="AK52">
        <v>0.189361</v>
      </c>
      <c r="AL52">
        <v>1.5139999999999999E-3</v>
      </c>
      <c r="AM52">
        <v>5.071E-3</v>
      </c>
      <c r="AN52">
        <v>1.9480000000000001E-3</v>
      </c>
      <c r="AO52">
        <v>2.0339999999999998E-3</v>
      </c>
      <c r="AP52">
        <v>1.2E-4</v>
      </c>
      <c r="AQ52">
        <v>1.833E-3</v>
      </c>
      <c r="AR52">
        <v>2.4759999999999999E-3</v>
      </c>
      <c r="AS52">
        <v>2.4985E-2</v>
      </c>
      <c r="AT52">
        <v>2.5490000000000001E-3</v>
      </c>
      <c r="AU52">
        <v>5.4970000000000001E-3</v>
      </c>
      <c r="AV52">
        <v>3.529E-3</v>
      </c>
      <c r="AW52">
        <v>8.7399999999999999E-4</v>
      </c>
      <c r="AX52">
        <v>8.829E-3</v>
      </c>
      <c r="AY52">
        <v>7.1980000000000004E-3</v>
      </c>
      <c r="AZ52">
        <v>3.2539999999999999E-3</v>
      </c>
      <c r="BA52">
        <v>1.802E-3</v>
      </c>
      <c r="BB52">
        <v>2.1480000000000002E-3</v>
      </c>
      <c r="BC52">
        <v>8.2000000000000001E-5</v>
      </c>
    </row>
    <row r="53" spans="1:55">
      <c r="A53" t="s">
        <v>53</v>
      </c>
      <c r="B53">
        <v>6.0000000000000002E-6</v>
      </c>
      <c r="C53">
        <v>1.0000000000000001E-5</v>
      </c>
      <c r="D53">
        <v>0</v>
      </c>
      <c r="E53">
        <v>0</v>
      </c>
      <c r="F53">
        <v>9.9999999999999995E-7</v>
      </c>
      <c r="G53">
        <v>1.7E-5</v>
      </c>
      <c r="H53">
        <v>1.1E-5</v>
      </c>
      <c r="I53">
        <v>3.9999999999999998E-6</v>
      </c>
      <c r="J53">
        <v>5.0000000000000004E-6</v>
      </c>
      <c r="K53">
        <v>1.1E-5</v>
      </c>
      <c r="L53">
        <v>1.2E-4</v>
      </c>
      <c r="M53">
        <v>0</v>
      </c>
      <c r="N53">
        <v>9.0000000000000002E-6</v>
      </c>
      <c r="O53">
        <v>6.0000000000000002E-6</v>
      </c>
      <c r="P53">
        <v>2.8E-5</v>
      </c>
      <c r="Q53">
        <v>1.0000000000000001E-5</v>
      </c>
      <c r="R53">
        <v>1.35E-4</v>
      </c>
      <c r="S53">
        <v>7.6000000000000004E-5</v>
      </c>
      <c r="T53">
        <v>3.8999999999999999E-5</v>
      </c>
      <c r="U53">
        <v>1.92E-4</v>
      </c>
      <c r="V53">
        <v>7.3999999999999996E-5</v>
      </c>
      <c r="W53">
        <v>5.1999999999999997E-5</v>
      </c>
      <c r="X53">
        <v>1.02E-4</v>
      </c>
      <c r="Y53">
        <v>8.1000000000000004E-5</v>
      </c>
      <c r="Z53">
        <v>5.7000000000000003E-5</v>
      </c>
      <c r="AA53">
        <v>6.6000000000000005E-5</v>
      </c>
      <c r="AB53">
        <v>1.16E-4</v>
      </c>
      <c r="AC53">
        <v>3.6000000000000001E-5</v>
      </c>
      <c r="AD53">
        <v>4.5000000000000003E-5</v>
      </c>
      <c r="AE53">
        <v>5.3999999999999998E-5</v>
      </c>
      <c r="AF53">
        <v>9.0000000000000002E-6</v>
      </c>
      <c r="AG53">
        <v>8.2000000000000001E-5</v>
      </c>
      <c r="AH53">
        <v>1.84E-4</v>
      </c>
      <c r="AI53">
        <v>4.6E-5</v>
      </c>
      <c r="AJ53">
        <v>2.7E-4</v>
      </c>
      <c r="AK53">
        <v>8.1800000000000004E-4</v>
      </c>
      <c r="AL53">
        <v>9.7999999999999997E-5</v>
      </c>
      <c r="AM53">
        <v>2.5999999999999998E-5</v>
      </c>
      <c r="AN53">
        <v>1E-4</v>
      </c>
      <c r="AO53">
        <v>1.7200000000000001E-4</v>
      </c>
      <c r="AP53">
        <v>2.5900000000000001E-4</v>
      </c>
      <c r="AQ53">
        <v>2.43E-4</v>
      </c>
      <c r="AR53">
        <v>2.5999999999999998E-5</v>
      </c>
      <c r="AS53">
        <v>2.7799999999999998E-4</v>
      </c>
      <c r="AT53">
        <v>6.2199999999999998E-3</v>
      </c>
      <c r="AU53">
        <v>1.052E-3</v>
      </c>
      <c r="AV53">
        <v>4.8099999999999998E-4</v>
      </c>
      <c r="AW53">
        <v>4.73E-4</v>
      </c>
      <c r="AX53">
        <v>3.9999999999999998E-6</v>
      </c>
      <c r="AY53">
        <v>1.95E-4</v>
      </c>
      <c r="AZ53">
        <v>3.9599999999999998E-4</v>
      </c>
      <c r="BA53">
        <v>2.2720000000000001E-3</v>
      </c>
      <c r="BB53">
        <v>5.8900000000000001E-4</v>
      </c>
      <c r="BC53">
        <v>9.2000000000000003E-4</v>
      </c>
    </row>
    <row r="54" spans="1:55">
      <c r="A54" t="s">
        <v>54</v>
      </c>
      <c r="B54">
        <v>7.2999999999999996E-4</v>
      </c>
      <c r="C54">
        <v>8.6899999999999998E-4</v>
      </c>
      <c r="D54">
        <v>1.2769999999999999E-3</v>
      </c>
      <c r="E54">
        <v>1.2719999999999999E-3</v>
      </c>
      <c r="F54">
        <v>5.5999999999999999E-5</v>
      </c>
      <c r="G54">
        <v>2.8899999999999998E-4</v>
      </c>
      <c r="H54">
        <v>5.5999999999999999E-5</v>
      </c>
      <c r="I54">
        <v>3.9999999999999998E-6</v>
      </c>
      <c r="J54">
        <v>2.1999999999999999E-5</v>
      </c>
      <c r="K54">
        <v>1.22E-4</v>
      </c>
      <c r="L54">
        <v>1.2300000000000001E-4</v>
      </c>
      <c r="M54">
        <v>0</v>
      </c>
      <c r="N54">
        <v>9.5100000000000002E-4</v>
      </c>
      <c r="O54">
        <v>9.0000000000000002E-6</v>
      </c>
      <c r="P54">
        <v>5.7000000000000003E-5</v>
      </c>
      <c r="Q54">
        <v>0</v>
      </c>
      <c r="R54">
        <v>1.799E-3</v>
      </c>
      <c r="S54">
        <v>1.1659999999999999E-3</v>
      </c>
      <c r="T54">
        <v>5.7399999999999997E-4</v>
      </c>
      <c r="U54">
        <v>1.949E-3</v>
      </c>
      <c r="V54">
        <v>2.594E-3</v>
      </c>
      <c r="W54">
        <v>3.124E-3</v>
      </c>
      <c r="X54">
        <v>5.71E-4</v>
      </c>
      <c r="Y54">
        <v>1.3420000000000001E-3</v>
      </c>
      <c r="Z54">
        <v>7.0500000000000001E-4</v>
      </c>
      <c r="AA54">
        <v>6.0000000000000002E-5</v>
      </c>
      <c r="AB54">
        <v>4.2099999999999999E-4</v>
      </c>
      <c r="AC54">
        <v>7.2900000000000005E-4</v>
      </c>
      <c r="AD54">
        <v>8.3500000000000002E-4</v>
      </c>
      <c r="AE54">
        <v>2.6999999999999999E-5</v>
      </c>
      <c r="AF54">
        <v>1.9999999999999999E-6</v>
      </c>
      <c r="AG54">
        <v>1.4109999999999999E-3</v>
      </c>
      <c r="AH54">
        <v>2.7799999999999998E-4</v>
      </c>
      <c r="AI54">
        <v>4.4700000000000002E-4</v>
      </c>
      <c r="AJ54">
        <v>3.1300000000000002E-4</v>
      </c>
      <c r="AK54">
        <v>1.9699999999999999E-4</v>
      </c>
      <c r="AL54">
        <v>3.4999999999999997E-5</v>
      </c>
      <c r="AM54">
        <v>5.13E-4</v>
      </c>
      <c r="AN54">
        <v>1.023E-3</v>
      </c>
      <c r="AO54">
        <v>1.2899999999999999E-4</v>
      </c>
      <c r="AP54">
        <v>6.8800000000000003E-4</v>
      </c>
      <c r="AQ54">
        <v>1.02E-4</v>
      </c>
      <c r="AR54">
        <v>1.2999999999999999E-5</v>
      </c>
      <c r="AS54">
        <v>3.4999999999999997E-5</v>
      </c>
      <c r="AT54">
        <v>6.3199999999999997E-4</v>
      </c>
      <c r="AU54">
        <v>1.578E-3</v>
      </c>
      <c r="AV54">
        <v>1.0399999999999999E-4</v>
      </c>
      <c r="AW54">
        <v>4.7600000000000002E-4</v>
      </c>
      <c r="AX54">
        <v>5.7000000000000003E-5</v>
      </c>
      <c r="AY54">
        <v>4.2900000000000002E-4</v>
      </c>
      <c r="AZ54">
        <v>9.2E-5</v>
      </c>
      <c r="BA54">
        <v>7.2800000000000002E-4</v>
      </c>
      <c r="BB54">
        <v>5.084E-3</v>
      </c>
      <c r="BC54">
        <v>2.3579999999999999E-3</v>
      </c>
    </row>
    <row r="55" spans="1:55">
      <c r="A55" t="s">
        <v>55</v>
      </c>
      <c r="B55">
        <v>2.147E-3</v>
      </c>
      <c r="C55">
        <v>5.2570000000000004E-3</v>
      </c>
      <c r="D55">
        <v>2.7599999999999999E-4</v>
      </c>
      <c r="E55">
        <v>2.7300000000000002E-4</v>
      </c>
      <c r="F55">
        <v>4.35E-4</v>
      </c>
      <c r="G55">
        <v>5.5098000000000001E-2</v>
      </c>
      <c r="H55">
        <v>3.4099999999999999E-4</v>
      </c>
      <c r="I55">
        <v>5.8E-4</v>
      </c>
      <c r="J55">
        <v>2.13E-4</v>
      </c>
      <c r="K55">
        <v>3.2600000000000001E-4</v>
      </c>
      <c r="L55">
        <v>4.75E-4</v>
      </c>
      <c r="M55">
        <v>0</v>
      </c>
      <c r="N55">
        <v>1.37E-4</v>
      </c>
      <c r="O55">
        <v>1.4999999999999999E-4</v>
      </c>
      <c r="P55">
        <v>2.9239999999999999E-3</v>
      </c>
      <c r="Q55">
        <v>4.3000000000000002E-5</v>
      </c>
      <c r="R55">
        <v>2.0500000000000002E-3</v>
      </c>
      <c r="S55">
        <v>1.0070000000000001E-3</v>
      </c>
      <c r="T55">
        <v>3.6600000000000001E-4</v>
      </c>
      <c r="U55">
        <v>1.7780000000000001E-3</v>
      </c>
      <c r="V55">
        <v>2.9420000000000002E-3</v>
      </c>
      <c r="W55">
        <v>2.5720000000000001E-3</v>
      </c>
      <c r="X55">
        <v>1.2639999999999999E-3</v>
      </c>
      <c r="Y55">
        <v>1.5838000000000001E-2</v>
      </c>
      <c r="Z55">
        <v>5.4100000000000003E-4</v>
      </c>
      <c r="AA55">
        <v>2.2800000000000001E-4</v>
      </c>
      <c r="AB55">
        <v>1.23E-3</v>
      </c>
      <c r="AC55">
        <v>8.1899999999999996E-4</v>
      </c>
      <c r="AD55">
        <v>8.1300000000000003E-4</v>
      </c>
      <c r="AE55">
        <v>1.0900000000000001E-4</v>
      </c>
      <c r="AF55">
        <v>4.6999999999999997E-5</v>
      </c>
      <c r="AG55">
        <v>4.4352000000000003E-2</v>
      </c>
      <c r="AH55">
        <v>1.121E-3</v>
      </c>
      <c r="AI55">
        <v>3.9529999999999999E-3</v>
      </c>
      <c r="AJ55">
        <v>2.036E-3</v>
      </c>
      <c r="AK55">
        <v>7.6599999999999997E-4</v>
      </c>
      <c r="AL55">
        <v>1.292E-3</v>
      </c>
      <c r="AM55">
        <v>5.2599999999999999E-3</v>
      </c>
      <c r="AN55">
        <v>1.939E-3</v>
      </c>
      <c r="AO55">
        <v>2.7430000000000002E-3</v>
      </c>
      <c r="AP55">
        <v>2.3830000000000001E-3</v>
      </c>
      <c r="AQ55">
        <v>4.7850000000000002E-3</v>
      </c>
      <c r="AR55">
        <v>5.4749999999999998E-3</v>
      </c>
      <c r="AS55">
        <v>9.5100000000000002E-4</v>
      </c>
      <c r="AT55">
        <v>4.2099999999999999E-4</v>
      </c>
      <c r="AU55">
        <v>3.6900000000000002E-4</v>
      </c>
      <c r="AV55">
        <v>3.6699999999999998E-4</v>
      </c>
      <c r="AW55">
        <v>8.2299999999999995E-4</v>
      </c>
      <c r="AX55">
        <v>3.5500000000000001E-4</v>
      </c>
      <c r="AY55">
        <v>3.6319999999999998E-3</v>
      </c>
      <c r="AZ55">
        <v>4.5180000000000003E-3</v>
      </c>
      <c r="BA55">
        <v>4.6379999999999998E-3</v>
      </c>
      <c r="BB55">
        <v>7.835E-3</v>
      </c>
      <c r="BC55">
        <v>2.7644999999999999E-2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55"/>
  <sheetViews>
    <sheetView topLeftCell="A25"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1.0615079999999999</v>
      </c>
      <c r="C2">
        <v>7.2000000000000005E-4</v>
      </c>
      <c r="D2">
        <v>3.9319999999999997E-3</v>
      </c>
      <c r="E2">
        <v>5.8929999999999998E-3</v>
      </c>
      <c r="F2">
        <v>6.8890000000000002E-3</v>
      </c>
      <c r="G2">
        <v>5.1799999999999997E-3</v>
      </c>
      <c r="H2">
        <v>2.7701E-2</v>
      </c>
      <c r="I2">
        <v>8.6000000000000003E-5</v>
      </c>
      <c r="J2">
        <v>5.3179999999999998E-3</v>
      </c>
      <c r="K2">
        <v>2.3800000000000001E-4</v>
      </c>
      <c r="L2">
        <v>6.5200000000000002E-4</v>
      </c>
      <c r="M2">
        <v>0</v>
      </c>
      <c r="N2">
        <v>3.77E-4</v>
      </c>
      <c r="O2">
        <v>1.15E-4</v>
      </c>
      <c r="P2">
        <v>0.123627</v>
      </c>
      <c r="Q2">
        <v>3.3000000000000003E-5</v>
      </c>
      <c r="R2">
        <v>2.751E-3</v>
      </c>
      <c r="S2">
        <v>1.3224E-2</v>
      </c>
      <c r="T2">
        <v>1.042E-3</v>
      </c>
      <c r="U2">
        <v>9.6199999999999996E-4</v>
      </c>
      <c r="V2">
        <v>3.6900000000000001E-3</v>
      </c>
      <c r="W2">
        <v>1.7060000000000001E-3</v>
      </c>
      <c r="X2">
        <v>1.248E-3</v>
      </c>
      <c r="Y2">
        <v>8.6899999999999998E-4</v>
      </c>
      <c r="Z2">
        <v>5.6800000000000004E-4</v>
      </c>
      <c r="AA2">
        <v>2.5099999999999998E-4</v>
      </c>
      <c r="AB2">
        <v>9.6500000000000004E-4</v>
      </c>
      <c r="AC2">
        <v>1.0020000000000001E-3</v>
      </c>
      <c r="AD2">
        <v>1.14E-3</v>
      </c>
      <c r="AE2">
        <v>4.1199999999999999E-4</v>
      </c>
      <c r="AF2">
        <v>3.0299999999999999E-4</v>
      </c>
      <c r="AG2">
        <v>1.9740000000000001E-3</v>
      </c>
      <c r="AH2">
        <v>6.87E-4</v>
      </c>
      <c r="AI2">
        <v>5.8100000000000003E-4</v>
      </c>
      <c r="AJ2">
        <v>7.9299999999999998E-4</v>
      </c>
      <c r="AK2">
        <v>2.0560000000000001E-3</v>
      </c>
      <c r="AL2">
        <v>2.6200000000000003E-4</v>
      </c>
      <c r="AM2">
        <v>9.469E-3</v>
      </c>
      <c r="AN2">
        <v>3.0869999999999999E-3</v>
      </c>
      <c r="AO2">
        <v>4.0980000000000001E-3</v>
      </c>
      <c r="AP2">
        <v>1.2769999999999999E-3</v>
      </c>
      <c r="AQ2">
        <v>2.5170999999999999E-2</v>
      </c>
      <c r="AR2">
        <v>4.4894999999999997E-2</v>
      </c>
      <c r="AS2">
        <v>6.1399999999999996E-4</v>
      </c>
      <c r="AT2">
        <v>6.5499999999999998E-4</v>
      </c>
      <c r="AU2">
        <v>2.1949999999999999E-3</v>
      </c>
      <c r="AV2">
        <v>8.9300000000000002E-4</v>
      </c>
      <c r="AW2">
        <v>2.9250000000000001E-3</v>
      </c>
      <c r="AX2">
        <v>2.9700000000000001E-4</v>
      </c>
      <c r="AY2">
        <v>1.173E-3</v>
      </c>
      <c r="AZ2">
        <v>7.0159999999999997E-3</v>
      </c>
      <c r="BA2">
        <v>5.2649999999999997E-3</v>
      </c>
      <c r="BB2">
        <v>1.4529E-2</v>
      </c>
      <c r="BC2">
        <v>9.9260000000000008E-3</v>
      </c>
    </row>
    <row r="3" spans="1:55">
      <c r="A3" t="s">
        <v>3</v>
      </c>
      <c r="B3">
        <v>1.1E-4</v>
      </c>
      <c r="C3">
        <v>1.0110520000000001</v>
      </c>
      <c r="D3">
        <v>6.5799999999999995E-4</v>
      </c>
      <c r="E3">
        <v>6.6699999999999995E-4</v>
      </c>
      <c r="F3">
        <v>9.4499999999999998E-4</v>
      </c>
      <c r="G3">
        <v>4.44E-4</v>
      </c>
      <c r="H3">
        <v>2.0140000000000002E-3</v>
      </c>
      <c r="I3">
        <v>3.1000000000000001E-5</v>
      </c>
      <c r="J3">
        <v>3.1599999999999998E-4</v>
      </c>
      <c r="K3">
        <v>5.1E-5</v>
      </c>
      <c r="L3">
        <v>1.44E-4</v>
      </c>
      <c r="M3">
        <v>0</v>
      </c>
      <c r="N3">
        <v>1.3999999999999999E-4</v>
      </c>
      <c r="O3">
        <v>1.9000000000000001E-5</v>
      </c>
      <c r="P3">
        <v>8.9339999999999992E-3</v>
      </c>
      <c r="Q3">
        <v>1.0000000000000001E-5</v>
      </c>
      <c r="R3">
        <v>4.1100000000000002E-4</v>
      </c>
      <c r="S3">
        <v>1.0809999999999999E-3</v>
      </c>
      <c r="T3">
        <v>1.8599999999999999E-4</v>
      </c>
      <c r="U3">
        <v>2.04E-4</v>
      </c>
      <c r="V3">
        <v>8.4699999999999999E-4</v>
      </c>
      <c r="W3">
        <v>3.4400000000000001E-4</v>
      </c>
      <c r="X3">
        <v>1.5899999999999999E-4</v>
      </c>
      <c r="Y3">
        <v>1.8000000000000001E-4</v>
      </c>
      <c r="Z3">
        <v>1.27E-4</v>
      </c>
      <c r="AA3">
        <v>5.8999999999999998E-5</v>
      </c>
      <c r="AB3">
        <v>2.4000000000000001E-4</v>
      </c>
      <c r="AC3">
        <v>2.2699999999999999E-4</v>
      </c>
      <c r="AD3">
        <v>2.8299999999999999E-4</v>
      </c>
      <c r="AE3">
        <v>9.2999999999999997E-5</v>
      </c>
      <c r="AF3">
        <v>4.1999999999999998E-5</v>
      </c>
      <c r="AG3">
        <v>2.8400000000000002E-4</v>
      </c>
      <c r="AH3">
        <v>4.0700000000000003E-4</v>
      </c>
      <c r="AI3">
        <v>1.65E-4</v>
      </c>
      <c r="AJ3">
        <v>2.5599999999999999E-4</v>
      </c>
      <c r="AK3">
        <v>1.304E-3</v>
      </c>
      <c r="AL3">
        <v>7.2999999999999999E-5</v>
      </c>
      <c r="AM3">
        <v>1.513E-3</v>
      </c>
      <c r="AN3">
        <v>4.5800000000000002E-4</v>
      </c>
      <c r="AO3">
        <v>2.421E-3</v>
      </c>
      <c r="AP3">
        <v>3.0699999999999998E-4</v>
      </c>
      <c r="AQ3">
        <v>9.8809999999999992E-3</v>
      </c>
      <c r="AR3">
        <v>2.0778999999999999E-2</v>
      </c>
      <c r="AS3">
        <v>1.4100000000000001E-4</v>
      </c>
      <c r="AT3">
        <v>1.2899999999999999E-4</v>
      </c>
      <c r="AU3">
        <v>5.2599999999999999E-4</v>
      </c>
      <c r="AV3">
        <v>2.9100000000000003E-4</v>
      </c>
      <c r="AW3">
        <v>1.026E-3</v>
      </c>
      <c r="AX3">
        <v>7.3999999999999996E-5</v>
      </c>
      <c r="AY3">
        <v>3.0400000000000002E-4</v>
      </c>
      <c r="AZ3">
        <v>7.0699999999999995E-4</v>
      </c>
      <c r="BA3">
        <v>5.5400000000000002E-4</v>
      </c>
      <c r="BB3">
        <v>8.3680000000000004E-3</v>
      </c>
      <c r="BC3">
        <v>1.0610000000000001E-3</v>
      </c>
    </row>
    <row r="4" spans="1:55">
      <c r="A4" t="s">
        <v>4</v>
      </c>
      <c r="B4">
        <v>4.9700000000000005E-4</v>
      </c>
      <c r="C4">
        <v>7.8799999999999996E-4</v>
      </c>
      <c r="D4">
        <v>1.0983799999999999</v>
      </c>
      <c r="E4">
        <v>2.6499999999999999E-4</v>
      </c>
      <c r="F4">
        <v>3.6740000000000002E-3</v>
      </c>
      <c r="G4">
        <v>3.186E-3</v>
      </c>
      <c r="H4">
        <v>3.1500000000000001E-4</v>
      </c>
      <c r="I4">
        <v>3.9300000000000001E-4</v>
      </c>
      <c r="J4">
        <v>1.65E-4</v>
      </c>
      <c r="K4">
        <v>2.3699999999999999E-4</v>
      </c>
      <c r="L4">
        <v>9.3099999999999997E-4</v>
      </c>
      <c r="M4">
        <v>0</v>
      </c>
      <c r="N4">
        <v>7.8899999999999999E-4</v>
      </c>
      <c r="O4">
        <v>8.7000000000000001E-5</v>
      </c>
      <c r="P4">
        <v>6.3000000000000003E-4</v>
      </c>
      <c r="Q4">
        <v>1.22E-4</v>
      </c>
      <c r="R4">
        <v>2.2529999999999998E-3</v>
      </c>
      <c r="S4">
        <v>4.8440000000000002E-3</v>
      </c>
      <c r="T4">
        <v>1.39E-3</v>
      </c>
      <c r="U4">
        <v>1.4250000000000001E-3</v>
      </c>
      <c r="V4">
        <v>1.023E-3</v>
      </c>
      <c r="W4">
        <v>0.30249500000000001</v>
      </c>
      <c r="X4">
        <v>7.6300000000000001E-4</v>
      </c>
      <c r="Y4">
        <v>5.3499999999999999E-4</v>
      </c>
      <c r="Z4">
        <v>3.1809999999999998E-3</v>
      </c>
      <c r="AA4">
        <v>7.8799999999999996E-4</v>
      </c>
      <c r="AB4">
        <v>6.8209999999999998E-3</v>
      </c>
      <c r="AC4">
        <v>8.8780000000000005E-3</v>
      </c>
      <c r="AD4">
        <v>5.032E-3</v>
      </c>
      <c r="AE4">
        <v>6.0499999999999996E-4</v>
      </c>
      <c r="AF4">
        <v>2.05E-4</v>
      </c>
      <c r="AG4">
        <v>8.0599999999999997E-4</v>
      </c>
      <c r="AH4">
        <v>6.051E-3</v>
      </c>
      <c r="AI4">
        <v>2.8050000000000002E-3</v>
      </c>
      <c r="AJ4">
        <v>3.7230000000000002E-3</v>
      </c>
      <c r="AK4">
        <v>1.328E-3</v>
      </c>
      <c r="AL4">
        <v>4.3080000000000002E-3</v>
      </c>
      <c r="AM4">
        <v>3.0769999999999999E-3</v>
      </c>
      <c r="AN4">
        <v>2.3440000000000002E-3</v>
      </c>
      <c r="AO4">
        <v>3.9769999999999996E-3</v>
      </c>
      <c r="AP4">
        <v>2.6450000000000002E-3</v>
      </c>
      <c r="AQ4">
        <v>5.0900000000000001E-4</v>
      </c>
      <c r="AR4">
        <v>8.0500000000000005E-4</v>
      </c>
      <c r="AS4">
        <v>5.71E-4</v>
      </c>
      <c r="AT4">
        <v>9.9599999999999992E-4</v>
      </c>
      <c r="AU4">
        <v>1.0510000000000001E-3</v>
      </c>
      <c r="AV4">
        <v>1.307E-3</v>
      </c>
      <c r="AW4">
        <v>1.191E-3</v>
      </c>
      <c r="AX4">
        <v>1.0059999999999999E-3</v>
      </c>
      <c r="AY4">
        <v>1.6949999999999999E-3</v>
      </c>
      <c r="AZ4">
        <v>1.2080000000000001E-3</v>
      </c>
      <c r="BA4">
        <v>1.2830000000000001E-3</v>
      </c>
      <c r="BB4">
        <v>1.3110000000000001E-3</v>
      </c>
      <c r="BC4">
        <v>1.3619999999999999E-3</v>
      </c>
    </row>
    <row r="5" spans="1:55">
      <c r="A5" t="s">
        <v>5</v>
      </c>
      <c r="B5">
        <v>7.6199999999999998E-4</v>
      </c>
      <c r="C5">
        <v>8.43E-4</v>
      </c>
      <c r="D5">
        <v>4.9020000000000001E-3</v>
      </c>
      <c r="E5">
        <v>1.1029249999999999</v>
      </c>
      <c r="F5">
        <v>8.7030000000000007E-3</v>
      </c>
      <c r="G5">
        <v>6.2139999999999999E-3</v>
      </c>
      <c r="H5">
        <v>3.5938999999999999E-2</v>
      </c>
      <c r="I5">
        <v>9.7999999999999997E-5</v>
      </c>
      <c r="J5">
        <v>5.2110000000000004E-3</v>
      </c>
      <c r="K5">
        <v>2.7999999999999998E-4</v>
      </c>
      <c r="L5">
        <v>7.8100000000000001E-4</v>
      </c>
      <c r="M5">
        <v>0</v>
      </c>
      <c r="N5">
        <v>4.3100000000000001E-4</v>
      </c>
      <c r="O5">
        <v>1.3799999999999999E-4</v>
      </c>
      <c r="P5">
        <v>0.16042899999999999</v>
      </c>
      <c r="Q5">
        <v>4.1E-5</v>
      </c>
      <c r="R5">
        <v>3.4280000000000001E-3</v>
      </c>
      <c r="S5">
        <v>1.7076999999999998E-2</v>
      </c>
      <c r="T5">
        <v>1.291E-3</v>
      </c>
      <c r="U5">
        <v>1.152E-3</v>
      </c>
      <c r="V5">
        <v>4.3759999999999997E-3</v>
      </c>
      <c r="W5">
        <v>2.0730000000000002E-3</v>
      </c>
      <c r="X5">
        <v>7.6199999999999998E-4</v>
      </c>
      <c r="Y5">
        <v>9.4799999999999995E-4</v>
      </c>
      <c r="Z5">
        <v>6.9099999999999999E-4</v>
      </c>
      <c r="AA5">
        <v>3.1100000000000002E-4</v>
      </c>
      <c r="AB5">
        <v>1.1509999999999999E-3</v>
      </c>
      <c r="AC5">
        <v>1.2310000000000001E-3</v>
      </c>
      <c r="AD5">
        <v>1.348E-3</v>
      </c>
      <c r="AE5">
        <v>4.8899999999999996E-4</v>
      </c>
      <c r="AF5">
        <v>3.8000000000000002E-4</v>
      </c>
      <c r="AG5">
        <v>2.0890000000000001E-3</v>
      </c>
      <c r="AH5">
        <v>7.67E-4</v>
      </c>
      <c r="AI5">
        <v>6.6399999999999999E-4</v>
      </c>
      <c r="AJ5">
        <v>1.0399999999999999E-3</v>
      </c>
      <c r="AK5">
        <v>1.8619999999999999E-3</v>
      </c>
      <c r="AL5">
        <v>2.99E-4</v>
      </c>
      <c r="AM5">
        <v>1.2145E-2</v>
      </c>
      <c r="AN5">
        <v>3.8670000000000002E-3</v>
      </c>
      <c r="AO5">
        <v>5.0150000000000004E-3</v>
      </c>
      <c r="AP5">
        <v>1.56E-3</v>
      </c>
      <c r="AQ5">
        <v>2.911E-2</v>
      </c>
      <c r="AR5">
        <v>4.8003999999999998E-2</v>
      </c>
      <c r="AS5">
        <v>6.4000000000000005E-4</v>
      </c>
      <c r="AT5">
        <v>8.0800000000000002E-4</v>
      </c>
      <c r="AU5">
        <v>2.6580000000000002E-3</v>
      </c>
      <c r="AV5">
        <v>1.0349999999999999E-3</v>
      </c>
      <c r="AW5">
        <v>3.4199999999999999E-3</v>
      </c>
      <c r="AX5">
        <v>3.2400000000000001E-4</v>
      </c>
      <c r="AY5">
        <v>1.361E-3</v>
      </c>
      <c r="AZ5">
        <v>5.3090000000000004E-3</v>
      </c>
      <c r="BA5">
        <v>6.3699999999999998E-3</v>
      </c>
      <c r="BB5">
        <v>1.7374000000000001E-2</v>
      </c>
      <c r="BC5">
        <v>5.6820000000000004E-3</v>
      </c>
    </row>
    <row r="6" spans="1:55">
      <c r="A6" t="s">
        <v>6</v>
      </c>
      <c r="B6">
        <v>2.2659999999999998E-3</v>
      </c>
      <c r="C6">
        <v>3.2929999999999999E-3</v>
      </c>
      <c r="D6">
        <v>4.3379999999999998E-3</v>
      </c>
      <c r="E6">
        <v>1.702E-3</v>
      </c>
      <c r="F6">
        <v>1.07029</v>
      </c>
      <c r="G6">
        <v>1.464E-3</v>
      </c>
      <c r="H6">
        <v>8.4099999999999995E-4</v>
      </c>
      <c r="I6">
        <v>6.4999999999999994E-5</v>
      </c>
      <c r="J6">
        <v>1.8000000000000001E-4</v>
      </c>
      <c r="K6">
        <v>7.3999999999999996E-5</v>
      </c>
      <c r="L6">
        <v>8.4400000000000002E-4</v>
      </c>
      <c r="M6">
        <v>0</v>
      </c>
      <c r="N6">
        <v>1.604E-3</v>
      </c>
      <c r="O6">
        <v>4.3000000000000002E-5</v>
      </c>
      <c r="P6">
        <v>2.758E-3</v>
      </c>
      <c r="Q6">
        <v>1.2E-5</v>
      </c>
      <c r="R6">
        <v>6.9109999999999996E-3</v>
      </c>
      <c r="S6">
        <v>1.2200000000000001E-2</v>
      </c>
      <c r="T6">
        <v>2.2690000000000002E-3</v>
      </c>
      <c r="U6">
        <v>2.8370000000000001E-3</v>
      </c>
      <c r="V6">
        <v>4.0330999999999999E-2</v>
      </c>
      <c r="W6">
        <v>5.104E-3</v>
      </c>
      <c r="X6">
        <v>2.2230000000000001E-3</v>
      </c>
      <c r="Y6">
        <v>3.4060000000000002E-3</v>
      </c>
      <c r="Z6">
        <v>2.3519999999999999E-3</v>
      </c>
      <c r="AA6">
        <v>3.7399999999999998E-4</v>
      </c>
      <c r="AB6">
        <v>9.6199999999999996E-4</v>
      </c>
      <c r="AC6">
        <v>8.0000000000000002E-3</v>
      </c>
      <c r="AD6">
        <v>6.3020000000000003E-3</v>
      </c>
      <c r="AE6">
        <v>3.86E-4</v>
      </c>
      <c r="AF6">
        <v>8.3999999999999995E-5</v>
      </c>
      <c r="AG6">
        <v>5.5259999999999997E-3</v>
      </c>
      <c r="AH6">
        <v>7.5000000000000002E-4</v>
      </c>
      <c r="AI6">
        <v>3.9399999999999998E-4</v>
      </c>
      <c r="AJ6">
        <v>4.08E-4</v>
      </c>
      <c r="AK6">
        <v>4.4799999999999999E-4</v>
      </c>
      <c r="AL6">
        <v>2.13E-4</v>
      </c>
      <c r="AM6">
        <v>6.0800000000000003E-4</v>
      </c>
      <c r="AN6">
        <v>5.6400000000000005E-4</v>
      </c>
      <c r="AO6">
        <v>4.0099999999999999E-4</v>
      </c>
      <c r="AP6">
        <v>2.7999999999999998E-4</v>
      </c>
      <c r="AQ6">
        <v>8.2100000000000001E-4</v>
      </c>
      <c r="AR6">
        <v>6.8469999999999998E-3</v>
      </c>
      <c r="AS6">
        <v>2.8299999999999999E-4</v>
      </c>
      <c r="AT6">
        <v>1.7000000000000001E-4</v>
      </c>
      <c r="AU6">
        <v>3.7800000000000003E-4</v>
      </c>
      <c r="AV6">
        <v>2.0100000000000001E-4</v>
      </c>
      <c r="AW6">
        <v>2.2100000000000001E-4</v>
      </c>
      <c r="AX6">
        <v>1.6899999999999999E-4</v>
      </c>
      <c r="AY6">
        <v>5.9500000000000004E-4</v>
      </c>
      <c r="AZ6">
        <v>5.6999999999999998E-4</v>
      </c>
      <c r="BA6">
        <v>1.103E-3</v>
      </c>
      <c r="BB6">
        <v>6.4869999999999997E-3</v>
      </c>
      <c r="BC6">
        <v>2.186E-3</v>
      </c>
    </row>
    <row r="7" spans="1:55">
      <c r="A7" t="s">
        <v>7</v>
      </c>
      <c r="B7">
        <v>1.9170000000000001E-3</v>
      </c>
      <c r="C7">
        <v>9.3410000000000003E-3</v>
      </c>
      <c r="D7">
        <v>1.6770000000000001E-3</v>
      </c>
      <c r="E7">
        <v>2.3449999999999999E-3</v>
      </c>
      <c r="F7">
        <v>3.323E-3</v>
      </c>
      <c r="G7">
        <v>1.0121929999999999</v>
      </c>
      <c r="H7">
        <v>1.1871E-2</v>
      </c>
      <c r="I7">
        <v>1.35E-4</v>
      </c>
      <c r="J7">
        <v>1.2769999999999999E-3</v>
      </c>
      <c r="K7">
        <v>1.08E-4</v>
      </c>
      <c r="L7">
        <v>2.81E-4</v>
      </c>
      <c r="M7">
        <v>0</v>
      </c>
      <c r="N7">
        <v>2.03E-4</v>
      </c>
      <c r="O7">
        <v>4.6E-5</v>
      </c>
      <c r="P7">
        <v>3.7928999999999997E-2</v>
      </c>
      <c r="Q7">
        <v>1.8E-5</v>
      </c>
      <c r="R7">
        <v>7.6769999999999998E-3</v>
      </c>
      <c r="S7">
        <v>1.1473000000000001E-2</v>
      </c>
      <c r="T7">
        <v>4.3300000000000001E-4</v>
      </c>
      <c r="U7">
        <v>4.1800000000000002E-4</v>
      </c>
      <c r="V7">
        <v>1.193E-3</v>
      </c>
      <c r="W7">
        <v>7.3200000000000001E-4</v>
      </c>
      <c r="X7">
        <v>2.8699999999999998E-4</v>
      </c>
      <c r="Y7">
        <v>3.9800000000000002E-4</v>
      </c>
      <c r="Z7">
        <v>2.3900000000000001E-4</v>
      </c>
      <c r="AA7">
        <v>1.21E-4</v>
      </c>
      <c r="AB7">
        <v>5.2499999999999997E-4</v>
      </c>
      <c r="AC7">
        <v>4.08E-4</v>
      </c>
      <c r="AD7">
        <v>5.3700000000000004E-4</v>
      </c>
      <c r="AE7">
        <v>1.84E-4</v>
      </c>
      <c r="AF7">
        <v>1.12E-4</v>
      </c>
      <c r="AG7">
        <v>8.3100000000000003E-4</v>
      </c>
      <c r="AH7">
        <v>4.0900000000000002E-4</v>
      </c>
      <c r="AI7">
        <v>3.5500000000000001E-4</v>
      </c>
      <c r="AJ7">
        <v>4.7699999999999999E-4</v>
      </c>
      <c r="AK7">
        <v>9.8299999999999993E-4</v>
      </c>
      <c r="AL7">
        <v>1.5300000000000001E-4</v>
      </c>
      <c r="AM7">
        <v>3.143E-3</v>
      </c>
      <c r="AN7">
        <v>1.2769999999999999E-3</v>
      </c>
      <c r="AO7">
        <v>1.8710000000000001E-3</v>
      </c>
      <c r="AP7">
        <v>5.9999999999999995E-4</v>
      </c>
      <c r="AQ7">
        <v>2.2322000000000002E-2</v>
      </c>
      <c r="AR7">
        <v>3.4373000000000001E-2</v>
      </c>
      <c r="AS7">
        <v>3.4699999999999998E-4</v>
      </c>
      <c r="AT7">
        <v>2.7599999999999999E-4</v>
      </c>
      <c r="AU7">
        <v>1.3079999999999999E-3</v>
      </c>
      <c r="AV7">
        <v>6.4199999999999999E-4</v>
      </c>
      <c r="AW7">
        <v>2.3289999999999999E-3</v>
      </c>
      <c r="AX7">
        <v>1.45E-4</v>
      </c>
      <c r="AY7">
        <v>6.6299999999999996E-4</v>
      </c>
      <c r="AZ7">
        <v>3.3700000000000002E-3</v>
      </c>
      <c r="BA7">
        <v>2.2799999999999999E-3</v>
      </c>
      <c r="BB7">
        <v>9.5390000000000006E-3</v>
      </c>
      <c r="BC7">
        <v>6.4640000000000001E-3</v>
      </c>
    </row>
    <row r="8" spans="1:55">
      <c r="A8" t="s">
        <v>8</v>
      </c>
      <c r="B8">
        <v>1.1662E-2</v>
      </c>
      <c r="C8">
        <v>8.0249999999999991E-3</v>
      </c>
      <c r="D8">
        <v>9.6000000000000002E-4</v>
      </c>
      <c r="E8">
        <v>4.8848999999999997E-2</v>
      </c>
      <c r="F8">
        <v>0.17244000000000001</v>
      </c>
      <c r="G8">
        <v>5.6700000000000001E-4</v>
      </c>
      <c r="H8">
        <v>1.0020249999999999</v>
      </c>
      <c r="I8">
        <v>1.5999999999999999E-5</v>
      </c>
      <c r="J8">
        <v>3.1700000000000001E-4</v>
      </c>
      <c r="K8">
        <v>2.8E-5</v>
      </c>
      <c r="L8">
        <v>1.8000000000000001E-4</v>
      </c>
      <c r="M8">
        <v>0</v>
      </c>
      <c r="N8">
        <v>2.8200000000000002E-4</v>
      </c>
      <c r="O8">
        <v>1.5E-5</v>
      </c>
      <c r="P8">
        <v>8.8769999999999995E-3</v>
      </c>
      <c r="Q8">
        <v>3.9999999999999998E-6</v>
      </c>
      <c r="R8">
        <v>1.2949999999999999E-3</v>
      </c>
      <c r="S8">
        <v>2.8600000000000001E-3</v>
      </c>
      <c r="T8">
        <v>4.3399999999999998E-4</v>
      </c>
      <c r="U8">
        <v>5.1999999999999995E-4</v>
      </c>
      <c r="V8">
        <v>6.7190000000000001E-3</v>
      </c>
      <c r="W8">
        <v>9.3300000000000002E-4</v>
      </c>
      <c r="X8">
        <v>4.06E-4</v>
      </c>
      <c r="Y8">
        <v>5.9999999999999995E-4</v>
      </c>
      <c r="Z8">
        <v>4.1599999999999997E-4</v>
      </c>
      <c r="AA8">
        <v>7.7000000000000001E-5</v>
      </c>
      <c r="AB8">
        <v>2.1900000000000001E-4</v>
      </c>
      <c r="AC8">
        <v>1.3519999999999999E-3</v>
      </c>
      <c r="AD8">
        <v>1.0859999999999999E-3</v>
      </c>
      <c r="AE8">
        <v>9.0000000000000006E-5</v>
      </c>
      <c r="AF8">
        <v>3.4E-5</v>
      </c>
      <c r="AG8">
        <v>1.0089999999999999E-3</v>
      </c>
      <c r="AH8">
        <v>1.66E-4</v>
      </c>
      <c r="AI8">
        <v>1E-4</v>
      </c>
      <c r="AJ8">
        <v>1.22E-4</v>
      </c>
      <c r="AK8">
        <v>2.3900000000000001E-4</v>
      </c>
      <c r="AL8">
        <v>5.1E-5</v>
      </c>
      <c r="AM8">
        <v>7.45E-4</v>
      </c>
      <c r="AN8">
        <v>2.9799999999999998E-4</v>
      </c>
      <c r="AO8">
        <v>3.4699999999999998E-4</v>
      </c>
      <c r="AP8">
        <v>1.2999999999999999E-4</v>
      </c>
      <c r="AQ8">
        <v>1.753E-3</v>
      </c>
      <c r="AR8">
        <v>3.8419999999999999E-3</v>
      </c>
      <c r="AS8">
        <v>8.8999999999999995E-5</v>
      </c>
      <c r="AT8">
        <v>7.2000000000000002E-5</v>
      </c>
      <c r="AU8">
        <v>2.0699999999999999E-4</v>
      </c>
      <c r="AV8">
        <v>9.1000000000000003E-5</v>
      </c>
      <c r="AW8">
        <v>2.2499999999999999E-4</v>
      </c>
      <c r="AX8">
        <v>4.8000000000000001E-5</v>
      </c>
      <c r="AY8">
        <v>1.73E-4</v>
      </c>
      <c r="AZ8">
        <v>6.7400000000000001E-4</v>
      </c>
      <c r="BA8">
        <v>5.1800000000000001E-4</v>
      </c>
      <c r="BB8">
        <v>2.0230000000000001E-3</v>
      </c>
      <c r="BC8">
        <v>7.1500000000000003E-4</v>
      </c>
    </row>
    <row r="9" spans="1:55">
      <c r="A9" t="s">
        <v>9</v>
      </c>
      <c r="B9">
        <v>8.6799999999999996E-4</v>
      </c>
      <c r="C9">
        <v>8.7699999999999996E-4</v>
      </c>
      <c r="D9">
        <v>1.389E-3</v>
      </c>
      <c r="E9">
        <v>1.15E-3</v>
      </c>
      <c r="F9">
        <v>7.9299999999999998E-4</v>
      </c>
      <c r="G9">
        <v>1.2570000000000001E-3</v>
      </c>
      <c r="H9">
        <v>3.4099999999999999E-4</v>
      </c>
      <c r="I9">
        <v>1.013674</v>
      </c>
      <c r="J9">
        <v>2.0599999999999999E-4</v>
      </c>
      <c r="K9">
        <v>5.6999999999999998E-4</v>
      </c>
      <c r="L9">
        <v>1.9650000000000002E-3</v>
      </c>
      <c r="M9">
        <v>0</v>
      </c>
      <c r="N9">
        <v>1.688E-3</v>
      </c>
      <c r="O9">
        <v>2.12E-4</v>
      </c>
      <c r="P9">
        <v>1.0740000000000001E-3</v>
      </c>
      <c r="Q9">
        <v>4.3000000000000002E-5</v>
      </c>
      <c r="R9">
        <v>5.0330000000000001E-3</v>
      </c>
      <c r="S9">
        <v>1.681E-3</v>
      </c>
      <c r="T9">
        <v>0.227244</v>
      </c>
      <c r="U9">
        <v>3.6419E-2</v>
      </c>
      <c r="V9">
        <v>2.1429999999999999E-3</v>
      </c>
      <c r="W9">
        <v>1.1150000000000001E-3</v>
      </c>
      <c r="X9">
        <v>1.3079999999999999E-3</v>
      </c>
      <c r="Y9">
        <v>5.1099999999999995E-4</v>
      </c>
      <c r="Z9">
        <v>5.2800000000000004E-4</v>
      </c>
      <c r="AA9">
        <v>1.9799999999999999E-4</v>
      </c>
      <c r="AB9">
        <v>7.6199999999999998E-4</v>
      </c>
      <c r="AC9">
        <v>9.8189999999999996E-3</v>
      </c>
      <c r="AD9">
        <v>5.2220000000000001E-3</v>
      </c>
      <c r="AE9">
        <v>8.3299999999999997E-4</v>
      </c>
      <c r="AF9">
        <v>4.1300000000000001E-4</v>
      </c>
      <c r="AG9">
        <v>1.09E-3</v>
      </c>
      <c r="AH9">
        <v>1.9841000000000001E-2</v>
      </c>
      <c r="AI9">
        <v>9.4600000000000001E-4</v>
      </c>
      <c r="AJ9">
        <v>1.286E-3</v>
      </c>
      <c r="AK9">
        <v>2.049E-3</v>
      </c>
      <c r="AL9">
        <v>2.4800000000000001E-4</v>
      </c>
      <c r="AM9">
        <v>1.1199999999999999E-3</v>
      </c>
      <c r="AN9">
        <v>8.5499999999999997E-4</v>
      </c>
      <c r="AO9">
        <v>3.9300000000000001E-4</v>
      </c>
      <c r="AP9">
        <v>2.1670000000000001E-3</v>
      </c>
      <c r="AQ9">
        <v>7.1299999999999998E-4</v>
      </c>
      <c r="AR9">
        <v>7.1900000000000002E-4</v>
      </c>
      <c r="AS9">
        <v>1.32E-3</v>
      </c>
      <c r="AT9">
        <v>4.8299999999999998E-4</v>
      </c>
      <c r="AU9">
        <v>7.8600000000000002E-4</v>
      </c>
      <c r="AV9">
        <v>4.2900000000000002E-4</v>
      </c>
      <c r="AW9">
        <v>5.1900000000000004E-4</v>
      </c>
      <c r="AX9">
        <v>1.797E-3</v>
      </c>
      <c r="AY9">
        <v>7.6900000000000004E-4</v>
      </c>
      <c r="AZ9">
        <v>1.75E-3</v>
      </c>
      <c r="BA9">
        <v>1.0790000000000001E-3</v>
      </c>
      <c r="BB9">
        <v>7.0299999999999996E-4</v>
      </c>
      <c r="BC9">
        <v>7.1100000000000004E-4</v>
      </c>
    </row>
    <row r="10" spans="1:55">
      <c r="A10" t="s">
        <v>10</v>
      </c>
      <c r="B10">
        <v>3.0299999999999999E-4</v>
      </c>
      <c r="C10">
        <v>4.0099999999999999E-4</v>
      </c>
      <c r="D10">
        <v>2.0739999999999999E-3</v>
      </c>
      <c r="E10">
        <v>2.4949999999999998E-3</v>
      </c>
      <c r="F10">
        <v>3.3760000000000001E-3</v>
      </c>
      <c r="G10">
        <v>2.4599999999999999E-3</v>
      </c>
      <c r="H10">
        <v>9.3419999999999996E-3</v>
      </c>
      <c r="I10">
        <v>7.3999999999999996E-5</v>
      </c>
      <c r="J10">
        <v>1.0169079999999999</v>
      </c>
      <c r="K10">
        <v>1.45E-4</v>
      </c>
      <c r="L10">
        <v>3.6099999999999999E-4</v>
      </c>
      <c r="M10">
        <v>0</v>
      </c>
      <c r="N10">
        <v>3.2400000000000001E-4</v>
      </c>
      <c r="O10">
        <v>5.8999999999999998E-5</v>
      </c>
      <c r="P10">
        <v>4.1568000000000001E-2</v>
      </c>
      <c r="Q10">
        <v>2.9E-5</v>
      </c>
      <c r="R10">
        <v>1.1980000000000001E-3</v>
      </c>
      <c r="S10">
        <v>4.6169999999999996E-3</v>
      </c>
      <c r="T10">
        <v>5.5800000000000001E-4</v>
      </c>
      <c r="U10">
        <v>5.5800000000000001E-4</v>
      </c>
      <c r="V10">
        <v>1.4430000000000001E-3</v>
      </c>
      <c r="W10">
        <v>9.3499999999999996E-4</v>
      </c>
      <c r="X10">
        <v>4.0900000000000002E-4</v>
      </c>
      <c r="Y10">
        <v>6.3199999999999997E-4</v>
      </c>
      <c r="Z10">
        <v>3.2000000000000003E-4</v>
      </c>
      <c r="AA10">
        <v>1.76E-4</v>
      </c>
      <c r="AB10">
        <v>6.9399999999999996E-4</v>
      </c>
      <c r="AC10">
        <v>5.3799999999999996E-4</v>
      </c>
      <c r="AD10">
        <v>3.7399999999999998E-3</v>
      </c>
      <c r="AE10">
        <v>2.4499999999999999E-4</v>
      </c>
      <c r="AF10">
        <v>1.3999999999999999E-4</v>
      </c>
      <c r="AG10">
        <v>1.271E-3</v>
      </c>
      <c r="AH10">
        <v>6.7299999999999999E-4</v>
      </c>
      <c r="AI10">
        <v>4.9700000000000005E-4</v>
      </c>
      <c r="AJ10">
        <v>7.7399999999999995E-4</v>
      </c>
      <c r="AK10">
        <v>8.8900000000000003E-4</v>
      </c>
      <c r="AL10">
        <v>2.1900000000000001E-4</v>
      </c>
      <c r="AM10">
        <v>3.6110000000000001E-3</v>
      </c>
      <c r="AN10">
        <v>1.58E-3</v>
      </c>
      <c r="AO10">
        <v>2.748E-3</v>
      </c>
      <c r="AP10">
        <v>7.7499999999999997E-4</v>
      </c>
      <c r="AQ10">
        <v>2.3486E-2</v>
      </c>
      <c r="AR10">
        <v>6.5362000000000003E-2</v>
      </c>
      <c r="AS10">
        <v>4.0299999999999998E-4</v>
      </c>
      <c r="AT10">
        <v>3.39E-4</v>
      </c>
      <c r="AU10">
        <v>1.415E-3</v>
      </c>
      <c r="AV10">
        <v>7.5000000000000002E-4</v>
      </c>
      <c r="AW10">
        <v>2.5370000000000002E-3</v>
      </c>
      <c r="AX10">
        <v>1.8000000000000001E-4</v>
      </c>
      <c r="AY10">
        <v>8.6499999999999999E-4</v>
      </c>
      <c r="AZ10">
        <v>2.3709999999999998E-3</v>
      </c>
      <c r="BA10">
        <v>3.6210000000000001E-3</v>
      </c>
      <c r="BB10">
        <v>8.4360000000000008E-3</v>
      </c>
      <c r="BC10">
        <v>1.4943E-2</v>
      </c>
    </row>
    <row r="11" spans="1:55">
      <c r="A11" t="s">
        <v>11</v>
      </c>
      <c r="B11">
        <v>1.3011999999999999E-2</v>
      </c>
      <c r="C11">
        <v>1.9386E-2</v>
      </c>
      <c r="D11">
        <v>2.8407000000000002E-2</v>
      </c>
      <c r="E11">
        <v>1.5174E-2</v>
      </c>
      <c r="F11">
        <v>7.9070000000000008E-3</v>
      </c>
      <c r="G11">
        <v>2.777E-2</v>
      </c>
      <c r="H11">
        <v>4.1989999999999996E-3</v>
      </c>
      <c r="I11">
        <v>5.2430000000000003E-3</v>
      </c>
      <c r="J11">
        <v>5.4809999999999998E-3</v>
      </c>
      <c r="K11">
        <v>1.1195930000000001</v>
      </c>
      <c r="L11">
        <v>1.9213000000000001E-2</v>
      </c>
      <c r="M11">
        <v>0</v>
      </c>
      <c r="N11">
        <v>1.8985999999999999E-2</v>
      </c>
      <c r="O11">
        <v>0.234707</v>
      </c>
      <c r="P11">
        <v>9.3849999999999992E-3</v>
      </c>
      <c r="Q11">
        <v>5.8900000000000001E-4</v>
      </c>
      <c r="R11">
        <v>4.938E-2</v>
      </c>
      <c r="S11">
        <v>3.5465000000000003E-2</v>
      </c>
      <c r="T11">
        <v>1.8848E-2</v>
      </c>
      <c r="U11">
        <v>3.1136E-2</v>
      </c>
      <c r="V11">
        <v>0.20746700000000001</v>
      </c>
      <c r="W11">
        <v>6.8507999999999999E-2</v>
      </c>
      <c r="X11">
        <v>4.3568000000000003E-2</v>
      </c>
      <c r="Y11">
        <v>0.11289299999999999</v>
      </c>
      <c r="Z11">
        <v>3.2286000000000002E-2</v>
      </c>
      <c r="AA11">
        <v>4.9410000000000001E-3</v>
      </c>
      <c r="AB11">
        <v>1.5176E-2</v>
      </c>
      <c r="AC11">
        <v>2.4264999999999998E-2</v>
      </c>
      <c r="AD11">
        <v>2.9543E-2</v>
      </c>
      <c r="AE11">
        <v>0.59811599999999998</v>
      </c>
      <c r="AF11">
        <v>0.214947</v>
      </c>
      <c r="AG11">
        <v>4.9555000000000002E-2</v>
      </c>
      <c r="AH11">
        <v>1.9111E-2</v>
      </c>
      <c r="AI11">
        <v>1.4220999999999999E-2</v>
      </c>
      <c r="AJ11">
        <v>1.9393000000000001E-2</v>
      </c>
      <c r="AK11">
        <v>5.4743E-2</v>
      </c>
      <c r="AL11">
        <v>6.0567999999999997E-2</v>
      </c>
      <c r="AM11">
        <v>6.4846000000000001E-2</v>
      </c>
      <c r="AN11">
        <v>5.1995E-2</v>
      </c>
      <c r="AO11">
        <v>5.5749E-2</v>
      </c>
      <c r="AP11">
        <v>1.5398E-2</v>
      </c>
      <c r="AQ11">
        <v>7.8510000000000003E-3</v>
      </c>
      <c r="AR11">
        <v>7.2769999999999996E-3</v>
      </c>
      <c r="AS11">
        <v>7.4200000000000004E-3</v>
      </c>
      <c r="AT11">
        <v>3.8040000000000001E-3</v>
      </c>
      <c r="AU11">
        <v>5.7780000000000001E-3</v>
      </c>
      <c r="AV11">
        <v>4.372E-3</v>
      </c>
      <c r="AW11">
        <v>4.6210000000000001E-3</v>
      </c>
      <c r="AX11">
        <v>4.3810000000000003E-3</v>
      </c>
      <c r="AY11">
        <v>1.5668999999999999E-2</v>
      </c>
      <c r="AZ11">
        <v>1.5509E-2</v>
      </c>
      <c r="BA11">
        <v>1.2119E-2</v>
      </c>
      <c r="BB11">
        <v>3.5503E-2</v>
      </c>
      <c r="BC11">
        <v>2.1807E-2</v>
      </c>
    </row>
    <row r="12" spans="1:55">
      <c r="A12" t="s">
        <v>12</v>
      </c>
      <c r="B12">
        <v>6.5799999999999995E-4</v>
      </c>
      <c r="C12">
        <v>9.2100000000000005E-4</v>
      </c>
      <c r="D12">
        <v>2.6909999999999998E-3</v>
      </c>
      <c r="E12">
        <v>2.7859999999999998E-3</v>
      </c>
      <c r="F12">
        <v>5.4600000000000004E-4</v>
      </c>
      <c r="G12">
        <v>2.7759999999999998E-3</v>
      </c>
      <c r="H12">
        <v>5.2800000000000004E-4</v>
      </c>
      <c r="I12">
        <v>9.8400000000000007E-4</v>
      </c>
      <c r="J12">
        <v>6.1899999999999998E-4</v>
      </c>
      <c r="K12">
        <v>9.6100000000000005E-4</v>
      </c>
      <c r="L12">
        <v>1.1583559999999999</v>
      </c>
      <c r="M12">
        <v>0</v>
      </c>
      <c r="N12">
        <v>1.3519999999999999E-3</v>
      </c>
      <c r="O12">
        <v>9.7909999999999994E-3</v>
      </c>
      <c r="P12">
        <v>1.325E-3</v>
      </c>
      <c r="Q12">
        <v>8.1000000000000004E-5</v>
      </c>
      <c r="R12">
        <v>4.4190000000000002E-3</v>
      </c>
      <c r="S12">
        <v>3.689E-3</v>
      </c>
      <c r="T12">
        <v>2.3270000000000001E-3</v>
      </c>
      <c r="U12">
        <v>4.3049999999999998E-3</v>
      </c>
      <c r="V12">
        <v>2.8960000000000001E-3</v>
      </c>
      <c r="W12">
        <v>2.99E-3</v>
      </c>
      <c r="X12">
        <v>0.30116999999999999</v>
      </c>
      <c r="Y12">
        <v>3.2752999999999997E-2</v>
      </c>
      <c r="Z12">
        <v>3.2863999999999997E-2</v>
      </c>
      <c r="AA12">
        <v>1.268E-3</v>
      </c>
      <c r="AB12">
        <v>2.9450000000000001E-3</v>
      </c>
      <c r="AC12">
        <v>4.0899999999999999E-3</v>
      </c>
      <c r="AD12">
        <v>7.3099999999999997E-3</v>
      </c>
      <c r="AE12">
        <v>0.26478099999999999</v>
      </c>
      <c r="AF12">
        <v>5.9295E-2</v>
      </c>
      <c r="AG12">
        <v>9.7169999999999999E-3</v>
      </c>
      <c r="AH12">
        <v>6.8630000000000002E-3</v>
      </c>
      <c r="AI12">
        <v>3.1340000000000001E-3</v>
      </c>
      <c r="AJ12">
        <v>2.869E-3</v>
      </c>
      <c r="AK12">
        <v>1.8834E-2</v>
      </c>
      <c r="AL12">
        <v>4.2139999999999999E-3</v>
      </c>
      <c r="AM12">
        <v>5.228E-3</v>
      </c>
      <c r="AN12">
        <v>5.0670000000000003E-3</v>
      </c>
      <c r="AO12">
        <v>4.1640000000000002E-3</v>
      </c>
      <c r="AP12">
        <v>4.0800000000000003E-3</v>
      </c>
      <c r="AQ12">
        <v>1.9319999999999999E-3</v>
      </c>
      <c r="AR12">
        <v>1.1620000000000001E-3</v>
      </c>
      <c r="AS12">
        <v>2.9369999999999999E-3</v>
      </c>
      <c r="AT12">
        <v>1.9550000000000001E-3</v>
      </c>
      <c r="AU12">
        <v>2.2799999999999999E-3</v>
      </c>
      <c r="AV12">
        <v>1.884E-3</v>
      </c>
      <c r="AW12">
        <v>1.7279999999999999E-3</v>
      </c>
      <c r="AX12">
        <v>2.5140000000000002E-3</v>
      </c>
      <c r="AY12">
        <v>3.3709999999999999E-3</v>
      </c>
      <c r="AZ12">
        <v>4.8300000000000001E-3</v>
      </c>
      <c r="BA12">
        <v>4.0379999999999999E-3</v>
      </c>
      <c r="BB12">
        <v>3.833E-3</v>
      </c>
      <c r="BC12">
        <v>4.7819999999999998E-3</v>
      </c>
    </row>
    <row r="13" spans="1:55">
      <c r="A13" t="s">
        <v>13</v>
      </c>
      <c r="B13">
        <v>0</v>
      </c>
      <c r="C13">
        <v>0</v>
      </c>
      <c r="D13">
        <v>0</v>
      </c>
      <c r="E13">
        <v>0</v>
      </c>
      <c r="F13">
        <v>0</v>
      </c>
      <c r="G13">
        <v>0</v>
      </c>
      <c r="H13">
        <v>0</v>
      </c>
      <c r="I13">
        <v>0</v>
      </c>
      <c r="J13">
        <v>0</v>
      </c>
      <c r="K13">
        <v>0</v>
      </c>
      <c r="L13">
        <v>0</v>
      </c>
      <c r="M13">
        <v>1</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3.8539999999999998E-3</v>
      </c>
      <c r="C14">
        <v>4.163E-3</v>
      </c>
      <c r="D14">
        <v>4.1070000000000004E-3</v>
      </c>
      <c r="E14">
        <v>1.967E-3</v>
      </c>
      <c r="F14">
        <v>1.7730000000000001E-3</v>
      </c>
      <c r="G14">
        <v>2.862E-3</v>
      </c>
      <c r="H14">
        <v>9.7499999999999996E-4</v>
      </c>
      <c r="I14">
        <v>2.7130000000000001E-3</v>
      </c>
      <c r="J14">
        <v>5.62E-4</v>
      </c>
      <c r="K14">
        <v>1.1854E-2</v>
      </c>
      <c r="L14">
        <v>0.11795600000000001</v>
      </c>
      <c r="M14">
        <v>0</v>
      </c>
      <c r="N14">
        <v>1.020807</v>
      </c>
      <c r="O14">
        <v>3.5959999999999998E-3</v>
      </c>
      <c r="P14">
        <v>2.686E-3</v>
      </c>
      <c r="Q14">
        <v>7.1000000000000005E-5</v>
      </c>
      <c r="R14">
        <v>6.7380000000000001E-3</v>
      </c>
      <c r="S14">
        <v>5.182E-3</v>
      </c>
      <c r="T14">
        <v>3.1440000000000001E-3</v>
      </c>
      <c r="U14">
        <v>3.5720000000000001E-3</v>
      </c>
      <c r="V14">
        <v>3.3569000000000002E-2</v>
      </c>
      <c r="W14">
        <v>5.7080000000000004E-3</v>
      </c>
      <c r="X14">
        <v>0.10321</v>
      </c>
      <c r="Y14">
        <v>8.2349999999999993E-3</v>
      </c>
      <c r="Z14">
        <v>6.9290000000000003E-3</v>
      </c>
      <c r="AA14">
        <v>6.6399999999999999E-4</v>
      </c>
      <c r="AB14">
        <v>1.977E-3</v>
      </c>
      <c r="AC14">
        <v>6.5339999999999999E-3</v>
      </c>
      <c r="AD14">
        <v>1.3219E-2</v>
      </c>
      <c r="AE14">
        <v>3.5157000000000001E-2</v>
      </c>
      <c r="AF14">
        <v>8.8070000000000006E-3</v>
      </c>
      <c r="AG14">
        <v>7.7400000000000004E-3</v>
      </c>
      <c r="AH14">
        <v>5.3657000000000003E-2</v>
      </c>
      <c r="AI14">
        <v>1.841E-3</v>
      </c>
      <c r="AJ14">
        <v>2.7430000000000002E-3</v>
      </c>
      <c r="AK14">
        <v>8.5369999999999994E-3</v>
      </c>
      <c r="AL14">
        <v>1.6900000000000001E-3</v>
      </c>
      <c r="AM14">
        <v>4.1520000000000003E-3</v>
      </c>
      <c r="AN14">
        <v>3.107E-3</v>
      </c>
      <c r="AO14">
        <v>1.8649999999999999E-3</v>
      </c>
      <c r="AP14">
        <v>6.2170000000000003E-3</v>
      </c>
      <c r="AQ14">
        <v>1.508E-3</v>
      </c>
      <c r="AR14">
        <v>1.379E-3</v>
      </c>
      <c r="AS14">
        <v>2.0730000000000002E-3</v>
      </c>
      <c r="AT14">
        <v>1.263E-3</v>
      </c>
      <c r="AU14">
        <v>1.3339999999999999E-3</v>
      </c>
      <c r="AV14">
        <v>8.8900000000000003E-4</v>
      </c>
      <c r="AW14">
        <v>1.0219999999999999E-3</v>
      </c>
      <c r="AX14">
        <v>5.2110000000000004E-3</v>
      </c>
      <c r="AY14">
        <v>1.851E-3</v>
      </c>
      <c r="AZ14">
        <v>4.6410000000000002E-3</v>
      </c>
      <c r="BA14">
        <v>2.4520000000000002E-3</v>
      </c>
      <c r="BB14">
        <v>5.5979999999999997E-3</v>
      </c>
      <c r="BC14">
        <v>3.1909999999999998E-3</v>
      </c>
    </row>
    <row r="15" spans="1:55">
      <c r="A15" t="s">
        <v>15</v>
      </c>
      <c r="B15">
        <v>5.4780000000000002E-3</v>
      </c>
      <c r="C15">
        <v>9.0670000000000004E-3</v>
      </c>
      <c r="D15">
        <v>1.0666999999999999E-2</v>
      </c>
      <c r="E15">
        <v>7.175E-3</v>
      </c>
      <c r="F15">
        <v>9.1199999999999996E-3</v>
      </c>
      <c r="G15">
        <v>7.9924999999999996E-2</v>
      </c>
      <c r="H15">
        <v>5.646E-3</v>
      </c>
      <c r="I15">
        <v>1.7389000000000002E-2</v>
      </c>
      <c r="J15">
        <v>1.7580999999999999E-2</v>
      </c>
      <c r="K15">
        <v>5.4089999999999997E-3</v>
      </c>
      <c r="L15">
        <v>4.7947999999999998E-2</v>
      </c>
      <c r="M15">
        <v>0</v>
      </c>
      <c r="N15">
        <v>4.4345000000000002E-2</v>
      </c>
      <c r="O15">
        <v>1.0056719999999999</v>
      </c>
      <c r="P15">
        <v>1.2459E-2</v>
      </c>
      <c r="Q15">
        <v>1.8749999999999999E-3</v>
      </c>
      <c r="R15">
        <v>3.3333000000000002E-2</v>
      </c>
      <c r="S15">
        <v>2.7476E-2</v>
      </c>
      <c r="T15">
        <v>2.2807000000000001E-2</v>
      </c>
      <c r="U15">
        <v>4.2397999999999998E-2</v>
      </c>
      <c r="V15">
        <v>2.0508999999999999E-2</v>
      </c>
      <c r="W15">
        <v>1.5462E-2</v>
      </c>
      <c r="X15">
        <v>3.4846000000000002E-2</v>
      </c>
      <c r="Y15">
        <v>2.1173000000000001E-2</v>
      </c>
      <c r="Z15">
        <v>1.5432E-2</v>
      </c>
      <c r="AA15">
        <v>8.1189999999999995E-3</v>
      </c>
      <c r="AB15">
        <v>2.7102999999999999E-2</v>
      </c>
      <c r="AC15">
        <v>1.9068000000000002E-2</v>
      </c>
      <c r="AD15">
        <v>2.2556E-2</v>
      </c>
      <c r="AE15">
        <v>1.9369999999999998E-2</v>
      </c>
      <c r="AF15">
        <v>2.9461999999999999E-2</v>
      </c>
      <c r="AG15">
        <v>1.4112E-2</v>
      </c>
      <c r="AH15">
        <v>5.4165999999999999E-2</v>
      </c>
      <c r="AI15">
        <v>3.2228E-2</v>
      </c>
      <c r="AJ15">
        <v>6.0060000000000002E-2</v>
      </c>
      <c r="AK15">
        <v>0.102925</v>
      </c>
      <c r="AL15">
        <v>0.24689800000000001</v>
      </c>
      <c r="AM15">
        <v>0.255911</v>
      </c>
      <c r="AN15">
        <v>0.18911500000000001</v>
      </c>
      <c r="AO15">
        <v>0.224214</v>
      </c>
      <c r="AP15">
        <v>3.5799999999999998E-2</v>
      </c>
      <c r="AQ15">
        <v>9.8689999999999993E-3</v>
      </c>
      <c r="AR15">
        <v>1.3605000000000001E-2</v>
      </c>
      <c r="AS15">
        <v>8.149E-3</v>
      </c>
      <c r="AT15">
        <v>3.516E-3</v>
      </c>
      <c r="AU15">
        <v>4.4460000000000003E-3</v>
      </c>
      <c r="AV15">
        <v>3.2030000000000001E-3</v>
      </c>
      <c r="AW15">
        <v>5.3769999999999998E-3</v>
      </c>
      <c r="AX15">
        <v>9.1170000000000001E-3</v>
      </c>
      <c r="AY15">
        <v>3.8268999999999997E-2</v>
      </c>
      <c r="AZ15">
        <v>2.6561000000000001E-2</v>
      </c>
      <c r="BA15">
        <v>1.2102E-2</v>
      </c>
      <c r="BB15">
        <v>1.8846000000000002E-2</v>
      </c>
      <c r="BC15">
        <v>2.5531999999999999E-2</v>
      </c>
    </row>
    <row r="16" spans="1:55">
      <c r="A16" t="s">
        <v>16</v>
      </c>
      <c r="B16">
        <v>5.8570000000000002E-3</v>
      </c>
      <c r="C16">
        <v>6.4790000000000004E-3</v>
      </c>
      <c r="D16">
        <v>3.7796000000000003E-2</v>
      </c>
      <c r="E16">
        <v>5.8042000000000003E-2</v>
      </c>
      <c r="F16">
        <v>6.7132999999999998E-2</v>
      </c>
      <c r="G16">
        <v>4.7919000000000003E-2</v>
      </c>
      <c r="H16">
        <v>0.27732600000000002</v>
      </c>
      <c r="I16">
        <v>7.4600000000000003E-4</v>
      </c>
      <c r="J16">
        <v>4.0204999999999998E-2</v>
      </c>
      <c r="K16">
        <v>2.1510000000000001E-3</v>
      </c>
      <c r="L16">
        <v>5.9810000000000002E-3</v>
      </c>
      <c r="M16">
        <v>0</v>
      </c>
      <c r="N16">
        <v>3.297E-3</v>
      </c>
      <c r="O16">
        <v>1.059E-3</v>
      </c>
      <c r="P16">
        <v>1.238086</v>
      </c>
      <c r="Q16">
        <v>2.9E-4</v>
      </c>
      <c r="R16">
        <v>2.6356000000000001E-2</v>
      </c>
      <c r="S16">
        <v>0.131718</v>
      </c>
      <c r="T16">
        <v>9.8750000000000001E-3</v>
      </c>
      <c r="U16">
        <v>8.7720000000000003E-3</v>
      </c>
      <c r="V16">
        <v>3.3723000000000003E-2</v>
      </c>
      <c r="W16">
        <v>1.5917000000000001E-2</v>
      </c>
      <c r="X16">
        <v>5.829E-3</v>
      </c>
      <c r="Y16">
        <v>7.2639999999999996E-3</v>
      </c>
      <c r="Z16">
        <v>5.2399999999999999E-3</v>
      </c>
      <c r="AA16">
        <v>2.3119999999999998E-3</v>
      </c>
      <c r="AB16">
        <v>8.6789999999999992E-3</v>
      </c>
      <c r="AC16">
        <v>9.4129999999999995E-3</v>
      </c>
      <c r="AD16">
        <v>1.0312999999999999E-2</v>
      </c>
      <c r="AE16">
        <v>3.7469999999999999E-3</v>
      </c>
      <c r="AF16">
        <v>2.9220000000000001E-3</v>
      </c>
      <c r="AG16">
        <v>1.6084999999999999E-2</v>
      </c>
      <c r="AH16">
        <v>5.8060000000000004E-3</v>
      </c>
      <c r="AI16">
        <v>5.0899999999999999E-3</v>
      </c>
      <c r="AJ16">
        <v>6.9629999999999996E-3</v>
      </c>
      <c r="AK16">
        <v>1.4328E-2</v>
      </c>
      <c r="AL16">
        <v>2.245E-3</v>
      </c>
      <c r="AM16">
        <v>9.3665999999999999E-2</v>
      </c>
      <c r="AN16">
        <v>2.9780000000000001E-2</v>
      </c>
      <c r="AO16">
        <v>3.8628999999999997E-2</v>
      </c>
      <c r="AP16">
        <v>1.2003E-2</v>
      </c>
      <c r="AQ16">
        <v>0.22461</v>
      </c>
      <c r="AR16">
        <v>0.37040200000000001</v>
      </c>
      <c r="AS16">
        <v>4.908E-3</v>
      </c>
      <c r="AT16">
        <v>6.221E-3</v>
      </c>
      <c r="AU16">
        <v>2.0494999999999999E-2</v>
      </c>
      <c r="AV16">
        <v>7.9729999999999992E-3</v>
      </c>
      <c r="AW16">
        <v>2.6381999999999999E-2</v>
      </c>
      <c r="AX16">
        <v>2.4870000000000001E-3</v>
      </c>
      <c r="AY16">
        <v>1.047E-2</v>
      </c>
      <c r="AZ16">
        <v>4.0945000000000002E-2</v>
      </c>
      <c r="BA16">
        <v>4.9127999999999998E-2</v>
      </c>
      <c r="BB16">
        <v>0.13402500000000001</v>
      </c>
      <c r="BC16">
        <v>4.3811000000000003E-2</v>
      </c>
    </row>
    <row r="17" spans="1:55">
      <c r="A17" t="s">
        <v>17</v>
      </c>
      <c r="B17">
        <v>0</v>
      </c>
      <c r="C17">
        <v>0</v>
      </c>
      <c r="D17">
        <v>0</v>
      </c>
      <c r="E17">
        <v>0</v>
      </c>
      <c r="F17">
        <v>1.9999999999999999E-6</v>
      </c>
      <c r="G17">
        <v>9.9999999999999995E-7</v>
      </c>
      <c r="H17">
        <v>0</v>
      </c>
      <c r="I17">
        <v>0</v>
      </c>
      <c r="J17">
        <v>7.9999999999999996E-6</v>
      </c>
      <c r="K17">
        <v>0</v>
      </c>
      <c r="L17">
        <v>1.9999999999999999E-6</v>
      </c>
      <c r="M17">
        <v>0</v>
      </c>
      <c r="N17">
        <v>0</v>
      </c>
      <c r="O17">
        <v>0</v>
      </c>
      <c r="P17">
        <v>0</v>
      </c>
      <c r="Q17">
        <v>1.000902</v>
      </c>
      <c r="R17">
        <v>0</v>
      </c>
      <c r="S17">
        <v>0</v>
      </c>
      <c r="T17">
        <v>0</v>
      </c>
      <c r="U17">
        <v>0</v>
      </c>
      <c r="V17">
        <v>0</v>
      </c>
      <c r="W17">
        <v>0</v>
      </c>
      <c r="X17">
        <v>9.9999999999999995E-7</v>
      </c>
      <c r="Y17">
        <v>0</v>
      </c>
      <c r="Z17">
        <v>0</v>
      </c>
      <c r="AA17">
        <v>0</v>
      </c>
      <c r="AB17">
        <v>9.9999999999999995E-7</v>
      </c>
      <c r="AC17">
        <v>0</v>
      </c>
      <c r="AD17">
        <v>0</v>
      </c>
      <c r="AE17">
        <v>1.9999999999999999E-6</v>
      </c>
      <c r="AF17">
        <v>0</v>
      </c>
      <c r="AG17">
        <v>0</v>
      </c>
      <c r="AH17">
        <v>0</v>
      </c>
      <c r="AI17">
        <v>9.9999999999999995E-7</v>
      </c>
      <c r="AJ17">
        <v>9.9999999999999995E-7</v>
      </c>
      <c r="AK17">
        <v>9.9999999999999995E-7</v>
      </c>
      <c r="AL17">
        <v>9.9999999999999995E-7</v>
      </c>
      <c r="AM17">
        <v>9.9999999999999995E-7</v>
      </c>
      <c r="AN17">
        <v>9.9999999999999995E-7</v>
      </c>
      <c r="AO17">
        <v>9.9999999999999995E-7</v>
      </c>
      <c r="AP17">
        <v>9.9999999999999995E-7</v>
      </c>
      <c r="AQ17">
        <v>0</v>
      </c>
      <c r="AR17">
        <v>9.9999999999999995E-7</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1.3300000000000001E-4</v>
      </c>
      <c r="C18">
        <v>6.1399999999999996E-4</v>
      </c>
      <c r="D18">
        <v>9.0849999999999993E-3</v>
      </c>
      <c r="E18">
        <v>2.14E-4</v>
      </c>
      <c r="F18">
        <v>1.17E-4</v>
      </c>
      <c r="G18">
        <v>3.1700000000000001E-4</v>
      </c>
      <c r="H18">
        <v>3.4E-5</v>
      </c>
      <c r="I18">
        <v>3.8999999999999999E-5</v>
      </c>
      <c r="J18">
        <v>2.9E-5</v>
      </c>
      <c r="K18">
        <v>1.8E-5</v>
      </c>
      <c r="L18">
        <v>8.0000000000000007E-5</v>
      </c>
      <c r="M18">
        <v>0</v>
      </c>
      <c r="N18">
        <v>3.1999999999999999E-5</v>
      </c>
      <c r="O18">
        <v>6.0000000000000002E-6</v>
      </c>
      <c r="P18">
        <v>1.05E-4</v>
      </c>
      <c r="Q18">
        <v>6.9999999999999999E-6</v>
      </c>
      <c r="R18">
        <v>1.033876</v>
      </c>
      <c r="S18">
        <v>2.1879999999999998E-3</v>
      </c>
      <c r="T18">
        <v>1.56E-4</v>
      </c>
      <c r="U18">
        <v>1.7000000000000001E-4</v>
      </c>
      <c r="V18">
        <v>1.1400000000000001E-4</v>
      </c>
      <c r="W18">
        <v>2.7520000000000001E-3</v>
      </c>
      <c r="X18">
        <v>6.2000000000000003E-5</v>
      </c>
      <c r="Y18">
        <v>5.8999999999999998E-5</v>
      </c>
      <c r="Z18">
        <v>1.46E-4</v>
      </c>
      <c r="AA18">
        <v>3.4E-5</v>
      </c>
      <c r="AB18">
        <v>1.47E-4</v>
      </c>
      <c r="AC18">
        <v>2.5360000000000001E-3</v>
      </c>
      <c r="AD18">
        <v>3.8400000000000001E-4</v>
      </c>
      <c r="AE18">
        <v>3.6000000000000001E-5</v>
      </c>
      <c r="AF18">
        <v>1.5E-5</v>
      </c>
      <c r="AG18">
        <v>1.3300000000000001E-4</v>
      </c>
      <c r="AH18">
        <v>1.75E-4</v>
      </c>
      <c r="AI18">
        <v>3.1199999999999999E-4</v>
      </c>
      <c r="AJ18">
        <v>2.5500000000000002E-4</v>
      </c>
      <c r="AK18">
        <v>7.3999999999999996E-5</v>
      </c>
      <c r="AL18">
        <v>6.7000000000000002E-5</v>
      </c>
      <c r="AM18">
        <v>1E-4</v>
      </c>
      <c r="AN18">
        <v>5.7000000000000003E-5</v>
      </c>
      <c r="AO18">
        <v>7.2000000000000002E-5</v>
      </c>
      <c r="AP18">
        <v>1.46E-4</v>
      </c>
      <c r="AQ18">
        <v>2.5999999999999998E-4</v>
      </c>
      <c r="AR18">
        <v>9.1000000000000003E-5</v>
      </c>
      <c r="AS18">
        <v>4.0000000000000003E-5</v>
      </c>
      <c r="AT18">
        <v>1.17E-4</v>
      </c>
      <c r="AU18">
        <v>6.0999999999999999E-5</v>
      </c>
      <c r="AV18">
        <v>4.6E-5</v>
      </c>
      <c r="AW18">
        <v>5.8E-5</v>
      </c>
      <c r="AX18">
        <v>5.3000000000000001E-5</v>
      </c>
      <c r="AY18">
        <v>1.2300000000000001E-4</v>
      </c>
      <c r="AZ18">
        <v>1.9100000000000001E-4</v>
      </c>
      <c r="BA18">
        <v>3.0800000000000001E-4</v>
      </c>
      <c r="BB18">
        <v>1.173E-3</v>
      </c>
      <c r="BC18">
        <v>1.524E-3</v>
      </c>
    </row>
    <row r="19" spans="1:55">
      <c r="A19" t="s">
        <v>19</v>
      </c>
      <c r="B19">
        <v>0</v>
      </c>
      <c r="C19">
        <v>0</v>
      </c>
      <c r="D19">
        <v>0</v>
      </c>
      <c r="E19">
        <v>0</v>
      </c>
      <c r="F19">
        <v>0</v>
      </c>
      <c r="G19">
        <v>0</v>
      </c>
      <c r="H19">
        <v>0</v>
      </c>
      <c r="I19">
        <v>0</v>
      </c>
      <c r="J19">
        <v>0</v>
      </c>
      <c r="K19">
        <v>0</v>
      </c>
      <c r="L19">
        <v>0</v>
      </c>
      <c r="M19">
        <v>0</v>
      </c>
      <c r="N19">
        <v>0</v>
      </c>
      <c r="O19">
        <v>0</v>
      </c>
      <c r="P19">
        <v>0</v>
      </c>
      <c r="Q19">
        <v>0</v>
      </c>
      <c r="R19">
        <v>0</v>
      </c>
      <c r="S19">
        <v>1</v>
      </c>
      <c r="T19">
        <v>0</v>
      </c>
      <c r="U19">
        <v>0</v>
      </c>
      <c r="V19">
        <v>0</v>
      </c>
      <c r="W19">
        <v>0</v>
      </c>
      <c r="X19">
        <v>0</v>
      </c>
      <c r="Y19">
        <v>0</v>
      </c>
      <c r="Z19">
        <v>0</v>
      </c>
      <c r="AA19">
        <v>0</v>
      </c>
      <c r="AB19">
        <v>0</v>
      </c>
      <c r="AC19">
        <v>6.0000000000000002E-5</v>
      </c>
      <c r="AD19">
        <v>0</v>
      </c>
      <c r="AE19">
        <v>0</v>
      </c>
      <c r="AF19">
        <v>0</v>
      </c>
      <c r="AG19">
        <v>3.0000000000000001E-5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1.06E-4</v>
      </c>
      <c r="C20">
        <v>1.44E-4</v>
      </c>
      <c r="D20">
        <v>4.2750000000000002E-3</v>
      </c>
      <c r="E20">
        <v>4.5000000000000003E-5</v>
      </c>
      <c r="F20">
        <v>1.03E-4</v>
      </c>
      <c r="G20">
        <v>3.1199999999999999E-4</v>
      </c>
      <c r="H20">
        <v>7.1000000000000005E-5</v>
      </c>
      <c r="I20">
        <v>1.2300000000000001E-4</v>
      </c>
      <c r="J20">
        <v>3.6000000000000001E-5</v>
      </c>
      <c r="K20">
        <v>6.8999999999999997E-5</v>
      </c>
      <c r="L20">
        <v>2.6699999999999998E-4</v>
      </c>
      <c r="M20">
        <v>0</v>
      </c>
      <c r="N20">
        <v>2.0000000000000001E-4</v>
      </c>
      <c r="O20">
        <v>2.4000000000000001E-5</v>
      </c>
      <c r="P20">
        <v>1.3300000000000001E-4</v>
      </c>
      <c r="Q20">
        <v>3.3000000000000003E-5</v>
      </c>
      <c r="R20">
        <v>1.7200000000000001E-4</v>
      </c>
      <c r="S20">
        <v>1.6699999999999999E-4</v>
      </c>
      <c r="T20">
        <v>1.003099</v>
      </c>
      <c r="U20">
        <v>2.0100000000000001E-4</v>
      </c>
      <c r="V20">
        <v>1.15E-4</v>
      </c>
      <c r="W20">
        <v>1.2899999999999999E-3</v>
      </c>
      <c r="X20">
        <v>1.8900000000000001E-4</v>
      </c>
      <c r="Y20">
        <v>1.07E-4</v>
      </c>
      <c r="Z20">
        <v>1.7799999999999999E-4</v>
      </c>
      <c r="AA20">
        <v>1.3100000000000001E-4</v>
      </c>
      <c r="AB20">
        <v>3.9300000000000001E-4</v>
      </c>
      <c r="AC20">
        <v>4.2110000000000003E-3</v>
      </c>
      <c r="AD20">
        <v>2.9499999999999999E-3</v>
      </c>
      <c r="AE20">
        <v>1.45E-4</v>
      </c>
      <c r="AF20">
        <v>5.8999999999999998E-5</v>
      </c>
      <c r="AG20">
        <v>1.44E-4</v>
      </c>
      <c r="AH20">
        <v>2.0140000000000002E-3</v>
      </c>
      <c r="AI20">
        <v>1.21E-4</v>
      </c>
      <c r="AJ20">
        <v>2.4800000000000001E-4</v>
      </c>
      <c r="AK20">
        <v>2.7300000000000002E-4</v>
      </c>
      <c r="AL20">
        <v>1.2999999999999999E-4</v>
      </c>
      <c r="AM20">
        <v>2.2100000000000001E-4</v>
      </c>
      <c r="AN20">
        <v>1.8200000000000001E-4</v>
      </c>
      <c r="AO20">
        <v>1.75E-4</v>
      </c>
      <c r="AP20">
        <v>2.7300000000000002E-4</v>
      </c>
      <c r="AQ20">
        <v>1.08E-4</v>
      </c>
      <c r="AR20">
        <v>1.46E-4</v>
      </c>
      <c r="AS20">
        <v>1.2400000000000001E-4</v>
      </c>
      <c r="AT20">
        <v>8.7000000000000001E-5</v>
      </c>
      <c r="AU20">
        <v>9.0000000000000006E-5</v>
      </c>
      <c r="AV20">
        <v>6.3999999999999997E-5</v>
      </c>
      <c r="AW20">
        <v>6.7000000000000002E-5</v>
      </c>
      <c r="AX20">
        <v>1.95E-4</v>
      </c>
      <c r="AY20">
        <v>1.1900000000000001E-4</v>
      </c>
      <c r="AZ20">
        <v>2.1100000000000001E-4</v>
      </c>
      <c r="BA20">
        <v>1.02E-4</v>
      </c>
      <c r="BB20">
        <v>1.34E-4</v>
      </c>
      <c r="BC20">
        <v>1.8900000000000001E-4</v>
      </c>
    </row>
    <row r="21" spans="1:55">
      <c r="A21" t="s">
        <v>21</v>
      </c>
      <c r="B21">
        <v>1.1130000000000001E-3</v>
      </c>
      <c r="C21">
        <v>3.3530000000000001E-3</v>
      </c>
      <c r="D21">
        <v>2.382E-3</v>
      </c>
      <c r="E21">
        <v>9.68E-4</v>
      </c>
      <c r="F21">
        <v>1.093E-3</v>
      </c>
      <c r="G21">
        <v>6.607E-3</v>
      </c>
      <c r="H21">
        <v>1.3439999999999999E-3</v>
      </c>
      <c r="I21">
        <v>8.12E-4</v>
      </c>
      <c r="J21">
        <v>4.8999999999999998E-4</v>
      </c>
      <c r="K21">
        <v>2.6819999999999999E-3</v>
      </c>
      <c r="L21">
        <v>1.0501E-2</v>
      </c>
      <c r="M21">
        <v>0</v>
      </c>
      <c r="N21">
        <v>1.7930000000000001E-3</v>
      </c>
      <c r="O21">
        <v>7.7999999999999999E-4</v>
      </c>
      <c r="P21">
        <v>2.921E-3</v>
      </c>
      <c r="Q21">
        <v>5.7899999999999998E-4</v>
      </c>
      <c r="R21">
        <v>6.319E-3</v>
      </c>
      <c r="S21">
        <v>7.5100000000000002E-3</v>
      </c>
      <c r="T21">
        <v>3.3210000000000002E-3</v>
      </c>
      <c r="U21">
        <v>1.227994</v>
      </c>
      <c r="V21">
        <v>3.1949999999999999E-3</v>
      </c>
      <c r="W21">
        <v>4.731E-3</v>
      </c>
      <c r="X21">
        <v>5.6620000000000004E-3</v>
      </c>
      <c r="Y21">
        <v>3.0219999999999999E-3</v>
      </c>
      <c r="Z21">
        <v>6.2240000000000004E-3</v>
      </c>
      <c r="AA21">
        <v>2.5929999999999998E-3</v>
      </c>
      <c r="AB21">
        <v>6.9259999999999999E-3</v>
      </c>
      <c r="AC21">
        <v>9.5919999999999998E-3</v>
      </c>
      <c r="AD21">
        <v>5.2989999999999999E-3</v>
      </c>
      <c r="AE21">
        <v>4.4759999999999999E-3</v>
      </c>
      <c r="AF21">
        <v>1.537E-3</v>
      </c>
      <c r="AG21">
        <v>2.4710000000000001E-3</v>
      </c>
      <c r="AH21">
        <v>6.2480000000000001E-3</v>
      </c>
      <c r="AI21">
        <v>1.0536999999999999E-2</v>
      </c>
      <c r="AJ21">
        <v>1.6947E-2</v>
      </c>
      <c r="AK21">
        <v>6.0200000000000002E-3</v>
      </c>
      <c r="AL21">
        <v>2.4910000000000002E-3</v>
      </c>
      <c r="AM21">
        <v>4.0280000000000003E-3</v>
      </c>
      <c r="AN21">
        <v>5.7489999999999998E-3</v>
      </c>
      <c r="AO21">
        <v>3.3670000000000002E-3</v>
      </c>
      <c r="AP21">
        <v>4.2900000000000004E-3</v>
      </c>
      <c r="AQ21">
        <v>2.9329999999999998E-3</v>
      </c>
      <c r="AR21">
        <v>3.042E-3</v>
      </c>
      <c r="AS21">
        <v>2.6405999999999999E-2</v>
      </c>
      <c r="AT21">
        <v>6.0219999999999996E-3</v>
      </c>
      <c r="AU21">
        <v>1.7023E-2</v>
      </c>
      <c r="AV21">
        <v>8.4410000000000006E-3</v>
      </c>
      <c r="AW21">
        <v>8.6049999999999998E-3</v>
      </c>
      <c r="AX21">
        <v>3.5209999999999998E-3</v>
      </c>
      <c r="AY21">
        <v>1.491E-2</v>
      </c>
      <c r="AZ21">
        <v>1.3412E-2</v>
      </c>
      <c r="BA21">
        <v>2.4553999999999999E-2</v>
      </c>
      <c r="BB21">
        <v>4.888E-3</v>
      </c>
      <c r="BC21">
        <v>6.3229999999999996E-3</v>
      </c>
    </row>
    <row r="22" spans="1:55">
      <c r="A22" t="s">
        <v>22</v>
      </c>
      <c r="B22">
        <v>6.3182000000000002E-2</v>
      </c>
      <c r="C22">
        <v>9.1883999999999993E-2</v>
      </c>
      <c r="D22">
        <v>0.11833100000000001</v>
      </c>
      <c r="E22">
        <v>4.3811000000000003E-2</v>
      </c>
      <c r="F22">
        <v>2.7109000000000001E-2</v>
      </c>
      <c r="G22">
        <v>3.8443999999999999E-2</v>
      </c>
      <c r="H22">
        <v>1.1658E-2</v>
      </c>
      <c r="I22">
        <v>1.6609999999999999E-3</v>
      </c>
      <c r="J22">
        <v>3.0899999999999999E-3</v>
      </c>
      <c r="K22">
        <v>1.7930000000000001E-3</v>
      </c>
      <c r="L22">
        <v>2.3033999999999999E-2</v>
      </c>
      <c r="M22">
        <v>0</v>
      </c>
      <c r="N22">
        <v>4.4290000000000003E-2</v>
      </c>
      <c r="O22">
        <v>1.101E-3</v>
      </c>
      <c r="P22">
        <v>2.4320999999999999E-2</v>
      </c>
      <c r="Q22">
        <v>2.7700000000000001E-4</v>
      </c>
      <c r="R22">
        <v>0.19250600000000001</v>
      </c>
      <c r="S22">
        <v>0.125887</v>
      </c>
      <c r="T22">
        <v>6.2251000000000001E-2</v>
      </c>
      <c r="U22">
        <v>7.8620999999999996E-2</v>
      </c>
      <c r="V22">
        <v>1.1313800000000001</v>
      </c>
      <c r="W22">
        <v>0.139375</v>
      </c>
      <c r="X22">
        <v>6.1530000000000001E-2</v>
      </c>
      <c r="Y22">
        <v>9.4852000000000006E-2</v>
      </c>
      <c r="Z22">
        <v>6.5458000000000002E-2</v>
      </c>
      <c r="AA22">
        <v>8.0450000000000001E-3</v>
      </c>
      <c r="AB22">
        <v>2.5797E-2</v>
      </c>
      <c r="AC22">
        <v>8.1827999999999998E-2</v>
      </c>
      <c r="AD22">
        <v>9.1367000000000004E-2</v>
      </c>
      <c r="AE22">
        <v>1.0355E-2</v>
      </c>
      <c r="AF22">
        <v>2.0899999999999998E-3</v>
      </c>
      <c r="AG22">
        <v>0.15398100000000001</v>
      </c>
      <c r="AH22">
        <v>1.9328000000000001E-2</v>
      </c>
      <c r="AI22">
        <v>1.0243E-2</v>
      </c>
      <c r="AJ22">
        <v>9.6229999999999996E-3</v>
      </c>
      <c r="AK22">
        <v>1.0654E-2</v>
      </c>
      <c r="AL22">
        <v>5.5640000000000004E-3</v>
      </c>
      <c r="AM22">
        <v>1.1908999999999999E-2</v>
      </c>
      <c r="AN22">
        <v>1.3036000000000001E-2</v>
      </c>
      <c r="AO22">
        <v>5.3270000000000001E-3</v>
      </c>
      <c r="AP22">
        <v>6.594E-3</v>
      </c>
      <c r="AQ22">
        <v>1.2023000000000001E-2</v>
      </c>
      <c r="AR22">
        <v>1.2777999999999999E-2</v>
      </c>
      <c r="AS22">
        <v>7.2430000000000003E-3</v>
      </c>
      <c r="AT22">
        <v>4.182E-3</v>
      </c>
      <c r="AU22">
        <v>9.3489999999999997E-3</v>
      </c>
      <c r="AV22">
        <v>4.797E-3</v>
      </c>
      <c r="AW22">
        <v>4.4450000000000002E-3</v>
      </c>
      <c r="AX22">
        <v>4.3920000000000001E-3</v>
      </c>
      <c r="AY22">
        <v>1.5245E-2</v>
      </c>
      <c r="AZ22">
        <v>1.2152E-2</v>
      </c>
      <c r="BA22">
        <v>2.8171000000000002E-2</v>
      </c>
      <c r="BB22">
        <v>0.14614199999999999</v>
      </c>
      <c r="BC22">
        <v>5.4052000000000003E-2</v>
      </c>
    </row>
    <row r="23" spans="1:55">
      <c r="A23" t="s">
        <v>23</v>
      </c>
      <c r="B23">
        <v>1.7390000000000001E-3</v>
      </c>
      <c r="C23">
        <v>2.758E-3</v>
      </c>
      <c r="D23">
        <v>1.9369999999999999E-3</v>
      </c>
      <c r="E23">
        <v>9.2500000000000004E-4</v>
      </c>
      <c r="F23">
        <v>1.2891E-2</v>
      </c>
      <c r="G23">
        <v>1.1174999999999999E-2</v>
      </c>
      <c r="H23">
        <v>1.098E-3</v>
      </c>
      <c r="I23">
        <v>1.3760000000000001E-3</v>
      </c>
      <c r="J23">
        <v>5.7600000000000001E-4</v>
      </c>
      <c r="K23">
        <v>8.2899999999999998E-4</v>
      </c>
      <c r="L23">
        <v>3.258E-3</v>
      </c>
      <c r="M23">
        <v>0</v>
      </c>
      <c r="N23">
        <v>2.7620000000000001E-3</v>
      </c>
      <c r="O23">
        <v>3.0600000000000001E-4</v>
      </c>
      <c r="P23">
        <v>2.1940000000000002E-3</v>
      </c>
      <c r="Q23">
        <v>4.2200000000000001E-4</v>
      </c>
      <c r="R23">
        <v>7.8899999999999994E-3</v>
      </c>
      <c r="S23">
        <v>1.6986000000000001E-2</v>
      </c>
      <c r="T23">
        <v>4.862E-3</v>
      </c>
      <c r="U23">
        <v>4.9789999999999999E-3</v>
      </c>
      <c r="V23">
        <v>3.5799999999999998E-3</v>
      </c>
      <c r="W23">
        <v>1.061804</v>
      </c>
      <c r="X23">
        <v>2.666E-3</v>
      </c>
      <c r="Y23">
        <v>1.867E-3</v>
      </c>
      <c r="Z23">
        <v>1.1148E-2</v>
      </c>
      <c r="AA23">
        <v>2.7460000000000002E-3</v>
      </c>
      <c r="AB23">
        <v>2.3900999999999999E-2</v>
      </c>
      <c r="AC23">
        <v>3.1146E-2</v>
      </c>
      <c r="AD23">
        <v>1.7645999999999998E-2</v>
      </c>
      <c r="AE23">
        <v>2.1199999999999999E-3</v>
      </c>
      <c r="AF23">
        <v>7.1699999999999997E-4</v>
      </c>
      <c r="AG23">
        <v>2.8189999999999999E-3</v>
      </c>
      <c r="AH23">
        <v>2.1215000000000001E-2</v>
      </c>
      <c r="AI23">
        <v>9.8399999999999998E-3</v>
      </c>
      <c r="AJ23">
        <v>1.2848E-2</v>
      </c>
      <c r="AK23">
        <v>4.6509999999999998E-3</v>
      </c>
      <c r="AL23">
        <v>1.5110999999999999E-2</v>
      </c>
      <c r="AM23">
        <v>1.0784999999999999E-2</v>
      </c>
      <c r="AN23">
        <v>8.2150000000000001E-3</v>
      </c>
      <c r="AO23">
        <v>1.3945000000000001E-2</v>
      </c>
      <c r="AP23">
        <v>9.2770000000000005E-3</v>
      </c>
      <c r="AQ23">
        <v>1.7780000000000001E-3</v>
      </c>
      <c r="AR23">
        <v>2.8080000000000002E-3</v>
      </c>
      <c r="AS23">
        <v>1.9970000000000001E-3</v>
      </c>
      <c r="AT23">
        <v>3.4949999999999998E-3</v>
      </c>
      <c r="AU23">
        <v>3.6849999999999999E-3</v>
      </c>
      <c r="AV23">
        <v>4.5849999999999997E-3</v>
      </c>
      <c r="AW23">
        <v>4.176E-3</v>
      </c>
      <c r="AX23">
        <v>3.529E-3</v>
      </c>
      <c r="AY23">
        <v>5.9410000000000001E-3</v>
      </c>
      <c r="AZ23">
        <v>4.235E-3</v>
      </c>
      <c r="BA23">
        <v>4.4949999999999999E-3</v>
      </c>
      <c r="BB23">
        <v>4.5890000000000002E-3</v>
      </c>
      <c r="BC23">
        <v>4.7730000000000003E-3</v>
      </c>
    </row>
    <row r="24" spans="1:55">
      <c r="A24" t="s">
        <v>24</v>
      </c>
      <c r="B24">
        <v>6.9999999999999999E-4</v>
      </c>
      <c r="C24">
        <v>5.6300000000000002E-4</v>
      </c>
      <c r="D24">
        <v>6.2100000000000002E-4</v>
      </c>
      <c r="E24">
        <v>2.2499999999999999E-4</v>
      </c>
      <c r="F24">
        <v>3.6699999999999998E-4</v>
      </c>
      <c r="G24">
        <v>1.39E-3</v>
      </c>
      <c r="H24">
        <v>1.56E-4</v>
      </c>
      <c r="I24">
        <v>8.5700000000000001E-4</v>
      </c>
      <c r="J24">
        <v>1.35E-4</v>
      </c>
      <c r="K24">
        <v>4.5300000000000001E-4</v>
      </c>
      <c r="L24">
        <v>1.2310000000000001E-3</v>
      </c>
      <c r="M24">
        <v>0</v>
      </c>
      <c r="N24">
        <v>1.3699999999999999E-3</v>
      </c>
      <c r="O24">
        <v>4.6900000000000002E-4</v>
      </c>
      <c r="P24">
        <v>3.7100000000000002E-4</v>
      </c>
      <c r="Q24">
        <v>2.6999999999999999E-5</v>
      </c>
      <c r="R24">
        <v>7.9500000000000003E-4</v>
      </c>
      <c r="S24">
        <v>4.2299999999999998E-4</v>
      </c>
      <c r="T24">
        <v>2.6080000000000001E-3</v>
      </c>
      <c r="U24">
        <v>4.4700000000000002E-4</v>
      </c>
      <c r="V24">
        <v>5.8699999999999996E-4</v>
      </c>
      <c r="W24">
        <v>2.0969999999999999E-3</v>
      </c>
      <c r="X24">
        <v>1.0338130000000001</v>
      </c>
      <c r="Y24">
        <v>1.1039999999999999E-3</v>
      </c>
      <c r="Z24">
        <v>1.4350000000000001E-3</v>
      </c>
      <c r="AA24">
        <v>1.7799999999999999E-4</v>
      </c>
      <c r="AB24">
        <v>1.7819999999999999E-3</v>
      </c>
      <c r="AC24">
        <v>5.2040000000000003E-3</v>
      </c>
      <c r="AD24">
        <v>1.1807E-2</v>
      </c>
      <c r="AE24">
        <v>6.4000000000000005E-4</v>
      </c>
      <c r="AF24">
        <v>3.3399999999999999E-4</v>
      </c>
      <c r="AG24">
        <v>1.604E-3</v>
      </c>
      <c r="AH24">
        <v>1.7741E-2</v>
      </c>
      <c r="AI24">
        <v>6.0599999999999998E-4</v>
      </c>
      <c r="AJ24">
        <v>9.2000000000000003E-4</v>
      </c>
      <c r="AK24">
        <v>1.4590000000000001E-2</v>
      </c>
      <c r="AL24">
        <v>2.3540000000000002E-3</v>
      </c>
      <c r="AM24">
        <v>2.2669999999999999E-3</v>
      </c>
      <c r="AN24">
        <v>7.6300000000000001E-4</v>
      </c>
      <c r="AO24">
        <v>3.9399999999999998E-4</v>
      </c>
      <c r="AP24">
        <v>1.939E-3</v>
      </c>
      <c r="AQ24">
        <v>3.2699999999999998E-4</v>
      </c>
      <c r="AR24">
        <v>2.9599999999999998E-4</v>
      </c>
      <c r="AS24">
        <v>5.6800000000000004E-4</v>
      </c>
      <c r="AT24">
        <v>3.5199999999999999E-4</v>
      </c>
      <c r="AU24">
        <v>3.01E-4</v>
      </c>
      <c r="AV24">
        <v>2.03E-4</v>
      </c>
      <c r="AW24">
        <v>2.6899999999999998E-4</v>
      </c>
      <c r="AX24">
        <v>5.4660000000000004E-3</v>
      </c>
      <c r="AY24">
        <v>1.58E-3</v>
      </c>
      <c r="AZ24">
        <v>2.0660000000000001E-3</v>
      </c>
      <c r="BA24">
        <v>5.2659999999999998E-3</v>
      </c>
      <c r="BB24">
        <v>3.2590000000000002E-3</v>
      </c>
      <c r="BC24">
        <v>5.0489999999999997E-3</v>
      </c>
    </row>
    <row r="25" spans="1:55">
      <c r="A25" t="s">
        <v>25</v>
      </c>
      <c r="B25">
        <v>4.6E-5</v>
      </c>
      <c r="C25">
        <v>3.8000000000000002E-5</v>
      </c>
      <c r="D25">
        <v>2.4899999999999998E-4</v>
      </c>
      <c r="E25">
        <v>3.4999999999999997E-5</v>
      </c>
      <c r="F25">
        <v>2.4000000000000001E-5</v>
      </c>
      <c r="G25">
        <v>4.8000000000000001E-5</v>
      </c>
      <c r="H25">
        <v>1.4E-5</v>
      </c>
      <c r="I25">
        <v>5.5000000000000002E-5</v>
      </c>
      <c r="J25">
        <v>1.2E-5</v>
      </c>
      <c r="K25">
        <v>3.1000000000000001E-5</v>
      </c>
      <c r="L25">
        <v>8.7000000000000001E-5</v>
      </c>
      <c r="M25">
        <v>0</v>
      </c>
      <c r="N25">
        <v>9.2E-5</v>
      </c>
      <c r="O25">
        <v>9.0000000000000002E-6</v>
      </c>
      <c r="P25">
        <v>4.1E-5</v>
      </c>
      <c r="Q25">
        <v>1.9999999999999999E-6</v>
      </c>
      <c r="R25">
        <v>1.0399999999999999E-4</v>
      </c>
      <c r="S25">
        <v>5.1E-5</v>
      </c>
      <c r="T25">
        <v>6.4999999999999994E-5</v>
      </c>
      <c r="U25">
        <v>5.5699999999999999E-4</v>
      </c>
      <c r="V25">
        <v>5.7000000000000003E-5</v>
      </c>
      <c r="W25">
        <v>1.03E-4</v>
      </c>
      <c r="X25">
        <v>2.0100000000000001E-4</v>
      </c>
      <c r="Y25">
        <v>1.0087120000000001</v>
      </c>
      <c r="Z25">
        <v>4.9259999999999998E-3</v>
      </c>
      <c r="AA25">
        <v>5.9000000000000003E-4</v>
      </c>
      <c r="AB25">
        <v>1.6770000000000001E-3</v>
      </c>
      <c r="AC25">
        <v>1.0039999999999999E-3</v>
      </c>
      <c r="AD25">
        <v>3.9329999999999999E-3</v>
      </c>
      <c r="AE25">
        <v>4.6E-5</v>
      </c>
      <c r="AF25">
        <v>2.3E-5</v>
      </c>
      <c r="AG25">
        <v>5.8999999999999998E-5</v>
      </c>
      <c r="AH25">
        <v>1.1310000000000001E-3</v>
      </c>
      <c r="AI25">
        <v>5.7000000000000003E-5</v>
      </c>
      <c r="AJ25">
        <v>5.8999999999999998E-5</v>
      </c>
      <c r="AK25">
        <v>1.4799999999999999E-4</v>
      </c>
      <c r="AL25">
        <v>2.0999999999999999E-5</v>
      </c>
      <c r="AM25">
        <v>7.1000000000000005E-5</v>
      </c>
      <c r="AN25">
        <v>6.6000000000000005E-5</v>
      </c>
      <c r="AO25">
        <v>2.8E-5</v>
      </c>
      <c r="AP25">
        <v>1.2400000000000001E-4</v>
      </c>
      <c r="AQ25">
        <v>2.4000000000000001E-5</v>
      </c>
      <c r="AR25">
        <v>2.1999999999999999E-5</v>
      </c>
      <c r="AS25">
        <v>6.6000000000000005E-5</v>
      </c>
      <c r="AT25">
        <v>2.5999999999999998E-5</v>
      </c>
      <c r="AU25">
        <v>2.8E-5</v>
      </c>
      <c r="AV25">
        <v>1.7E-5</v>
      </c>
      <c r="AW25">
        <v>1.9000000000000001E-5</v>
      </c>
      <c r="AX25">
        <v>1.02E-4</v>
      </c>
      <c r="AY25">
        <v>4.8999999999999998E-5</v>
      </c>
      <c r="AZ25">
        <v>9.0000000000000006E-5</v>
      </c>
      <c r="BA25">
        <v>4.8000000000000001E-5</v>
      </c>
      <c r="BB25">
        <v>6.2000000000000003E-5</v>
      </c>
      <c r="BC25">
        <v>5.1E-5</v>
      </c>
    </row>
    <row r="26" spans="1:55">
      <c r="A26" t="s">
        <v>26</v>
      </c>
      <c r="B26">
        <v>4.4099999999999999E-4</v>
      </c>
      <c r="C26">
        <v>3.2200000000000002E-4</v>
      </c>
      <c r="D26">
        <v>5.1099999999999995E-4</v>
      </c>
      <c r="E26">
        <v>2.0799999999999999E-4</v>
      </c>
      <c r="F26">
        <v>1.8100000000000001E-4</v>
      </c>
      <c r="G26">
        <v>2.4529999999999999E-3</v>
      </c>
      <c r="H26">
        <v>1.7899999999999999E-4</v>
      </c>
      <c r="I26">
        <v>2.2499999999999999E-4</v>
      </c>
      <c r="J26">
        <v>7.7999999999999999E-5</v>
      </c>
      <c r="K26">
        <v>2.5999999999999998E-4</v>
      </c>
      <c r="L26">
        <v>2.2179999999999999E-3</v>
      </c>
      <c r="M26">
        <v>0</v>
      </c>
      <c r="N26">
        <v>1.5139999999999999E-3</v>
      </c>
      <c r="O26">
        <v>1.44E-4</v>
      </c>
      <c r="P26">
        <v>4.2400000000000001E-4</v>
      </c>
      <c r="Q26">
        <v>4.8000000000000001E-5</v>
      </c>
      <c r="R26">
        <v>1.168E-3</v>
      </c>
      <c r="S26">
        <v>1.7600000000000001E-3</v>
      </c>
      <c r="T26">
        <v>1.127E-3</v>
      </c>
      <c r="U26">
        <v>1.178E-3</v>
      </c>
      <c r="V26">
        <v>5.4500000000000002E-4</v>
      </c>
      <c r="W26">
        <v>8.1599999999999999E-4</v>
      </c>
      <c r="X26">
        <v>1.622E-3</v>
      </c>
      <c r="Y26">
        <v>1.1310000000000001E-3</v>
      </c>
      <c r="Z26">
        <v>1.0265880000000001</v>
      </c>
      <c r="AA26">
        <v>1.4311000000000001E-2</v>
      </c>
      <c r="AB26">
        <v>7.7450000000000001E-3</v>
      </c>
      <c r="AC26">
        <v>6.123E-3</v>
      </c>
      <c r="AD26">
        <v>5.3829999999999998E-3</v>
      </c>
      <c r="AE26">
        <v>1.8309999999999999E-3</v>
      </c>
      <c r="AF26">
        <v>2.1800000000000001E-4</v>
      </c>
      <c r="AG26">
        <v>1.6069999999999999E-3</v>
      </c>
      <c r="AH26">
        <v>2.9369999999999999E-3</v>
      </c>
      <c r="AI26">
        <v>5.483E-3</v>
      </c>
      <c r="AJ26">
        <v>1.4109999999999999E-3</v>
      </c>
      <c r="AK26">
        <v>3.3969999999999998E-3</v>
      </c>
      <c r="AL26">
        <v>1.4920000000000001E-3</v>
      </c>
      <c r="AM26">
        <v>7.7200000000000001E-4</v>
      </c>
      <c r="AN26">
        <v>8.5599999999999999E-4</v>
      </c>
      <c r="AO26">
        <v>4.2400000000000001E-4</v>
      </c>
      <c r="AP26">
        <v>1.0089999999999999E-3</v>
      </c>
      <c r="AQ26">
        <v>5.0600000000000005E-4</v>
      </c>
      <c r="AR26">
        <v>4.0400000000000001E-4</v>
      </c>
      <c r="AS26">
        <v>4.3E-3</v>
      </c>
      <c r="AT26">
        <v>7.36E-4</v>
      </c>
      <c r="AU26">
        <v>6.29E-4</v>
      </c>
      <c r="AV26">
        <v>3.5199999999999999E-4</v>
      </c>
      <c r="AW26">
        <v>3.1500000000000001E-4</v>
      </c>
      <c r="AX26">
        <v>5.4100000000000003E-4</v>
      </c>
      <c r="AY26">
        <v>3.5270000000000002E-3</v>
      </c>
      <c r="AZ26">
        <v>1E-3</v>
      </c>
      <c r="BA26">
        <v>2.4589999999999998E-3</v>
      </c>
      <c r="BB26">
        <v>3.1159999999999998E-3</v>
      </c>
      <c r="BC26">
        <v>2.771E-3</v>
      </c>
    </row>
    <row r="27" spans="1:55">
      <c r="A27" t="s">
        <v>27</v>
      </c>
      <c r="B27">
        <v>0</v>
      </c>
      <c r="C27">
        <v>0</v>
      </c>
      <c r="D27">
        <v>4.1300000000000001E-4</v>
      </c>
      <c r="E27">
        <v>0</v>
      </c>
      <c r="F27">
        <v>9.9999999999999995E-7</v>
      </c>
      <c r="G27">
        <v>9.9999999999999995E-7</v>
      </c>
      <c r="H27">
        <v>0</v>
      </c>
      <c r="I27">
        <v>0</v>
      </c>
      <c r="J27">
        <v>0</v>
      </c>
      <c r="K27">
        <v>0</v>
      </c>
      <c r="L27">
        <v>0</v>
      </c>
      <c r="M27">
        <v>0</v>
      </c>
      <c r="N27">
        <v>0</v>
      </c>
      <c r="O27">
        <v>0</v>
      </c>
      <c r="P27">
        <v>0</v>
      </c>
      <c r="Q27">
        <v>0</v>
      </c>
      <c r="R27">
        <v>9.9999999999999995E-7</v>
      </c>
      <c r="S27">
        <v>1.9999999999999999E-6</v>
      </c>
      <c r="T27">
        <v>9.9999999999999995E-7</v>
      </c>
      <c r="U27">
        <v>9.9999999999999995E-7</v>
      </c>
      <c r="V27">
        <v>0</v>
      </c>
      <c r="W27">
        <v>1.1400000000000001E-4</v>
      </c>
      <c r="X27">
        <v>0</v>
      </c>
      <c r="Y27">
        <v>0</v>
      </c>
      <c r="Z27">
        <v>9.9999999999999995E-7</v>
      </c>
      <c r="AA27">
        <v>1</v>
      </c>
      <c r="AB27">
        <v>3.0000000000000001E-6</v>
      </c>
      <c r="AC27">
        <v>3.0000000000000001E-6</v>
      </c>
      <c r="AD27">
        <v>1.9999999999999999E-6</v>
      </c>
      <c r="AE27">
        <v>0</v>
      </c>
      <c r="AF27">
        <v>0</v>
      </c>
      <c r="AG27">
        <v>0</v>
      </c>
      <c r="AH27">
        <v>1.9999999999999999E-6</v>
      </c>
      <c r="AI27">
        <v>9.9999999999999995E-7</v>
      </c>
      <c r="AJ27">
        <v>9.9999999999999995E-7</v>
      </c>
      <c r="AK27">
        <v>0</v>
      </c>
      <c r="AL27">
        <v>1.9999999999999999E-6</v>
      </c>
      <c r="AM27">
        <v>9.9999999999999995E-7</v>
      </c>
      <c r="AN27">
        <v>9.9999999999999995E-7</v>
      </c>
      <c r="AO27">
        <v>9.9999999999999995E-7</v>
      </c>
      <c r="AP27">
        <v>9.9999999999999995E-7</v>
      </c>
      <c r="AQ27">
        <v>0</v>
      </c>
      <c r="AR27">
        <v>0</v>
      </c>
      <c r="AS27">
        <v>0</v>
      </c>
      <c r="AT27">
        <v>0</v>
      </c>
      <c r="AU27">
        <v>0</v>
      </c>
      <c r="AV27">
        <v>0</v>
      </c>
      <c r="AW27">
        <v>0</v>
      </c>
      <c r="AX27">
        <v>0</v>
      </c>
      <c r="AY27">
        <v>9.9999999999999995E-7</v>
      </c>
      <c r="AZ27">
        <v>0</v>
      </c>
      <c r="BA27">
        <v>0</v>
      </c>
      <c r="BB27">
        <v>0</v>
      </c>
      <c r="BC27">
        <v>9.9999999999999995E-7</v>
      </c>
    </row>
    <row r="28" spans="1:55">
      <c r="A28" t="s">
        <v>28</v>
      </c>
      <c r="B28">
        <v>1.2300000000000001E-4</v>
      </c>
      <c r="C28">
        <v>1.83E-4</v>
      </c>
      <c r="D28">
        <v>1.407E-3</v>
      </c>
      <c r="E28">
        <v>5.6099999999999998E-4</v>
      </c>
      <c r="F28">
        <v>9.8999999999999994E-5</v>
      </c>
      <c r="G28">
        <v>5.13E-4</v>
      </c>
      <c r="H28">
        <v>8.2000000000000001E-5</v>
      </c>
      <c r="I28">
        <v>1.7899999999999999E-4</v>
      </c>
      <c r="J28">
        <v>2.6400000000000002E-4</v>
      </c>
      <c r="K28">
        <v>9.6000000000000002E-5</v>
      </c>
      <c r="L28">
        <v>5.0299999999999997E-4</v>
      </c>
      <c r="M28">
        <v>0</v>
      </c>
      <c r="N28">
        <v>4.35E-4</v>
      </c>
      <c r="O28">
        <v>7.7000000000000001E-5</v>
      </c>
      <c r="P28">
        <v>2.5500000000000002E-4</v>
      </c>
      <c r="Q28">
        <v>1.5999999999999999E-5</v>
      </c>
      <c r="R28">
        <v>4.3600000000000003E-4</v>
      </c>
      <c r="S28">
        <v>3.57E-4</v>
      </c>
      <c r="T28">
        <v>2.52E-4</v>
      </c>
      <c r="U28">
        <v>4.57E-4</v>
      </c>
      <c r="V28">
        <v>2.0699999999999999E-4</v>
      </c>
      <c r="W28">
        <v>6.5700000000000003E-4</v>
      </c>
      <c r="X28">
        <v>3.3799999999999998E-4</v>
      </c>
      <c r="Y28">
        <v>2.8600000000000001E-4</v>
      </c>
      <c r="Z28">
        <v>4.08E-4</v>
      </c>
      <c r="AA28">
        <v>1.54E-4</v>
      </c>
      <c r="AB28">
        <v>1.016392</v>
      </c>
      <c r="AC28">
        <v>3.5100000000000002E-4</v>
      </c>
      <c r="AD28">
        <v>4.9299999999999995E-4</v>
      </c>
      <c r="AE28">
        <v>1.9799999999999999E-4</v>
      </c>
      <c r="AF28">
        <v>1.6799999999999999E-4</v>
      </c>
      <c r="AG28">
        <v>3.2600000000000001E-4</v>
      </c>
      <c r="AH28">
        <v>4.3899999999999999E-4</v>
      </c>
      <c r="AI28">
        <v>8.9300000000000002E-4</v>
      </c>
      <c r="AJ28">
        <v>4.2099999999999999E-4</v>
      </c>
      <c r="AK28">
        <v>2.6699999999999998E-4</v>
      </c>
      <c r="AL28">
        <v>2.5799999999999998E-3</v>
      </c>
      <c r="AM28">
        <v>4.8099999999999998E-4</v>
      </c>
      <c r="AN28">
        <v>1.928E-3</v>
      </c>
      <c r="AO28">
        <v>3.153E-3</v>
      </c>
      <c r="AP28">
        <v>6.4499999999999996E-4</v>
      </c>
      <c r="AQ28">
        <v>1.6799999999999999E-4</v>
      </c>
      <c r="AR28">
        <v>3.1300000000000002E-4</v>
      </c>
      <c r="AS28">
        <v>1.44E-4</v>
      </c>
      <c r="AT28">
        <v>2.1499999999999999E-4</v>
      </c>
      <c r="AU28">
        <v>1.95E-4</v>
      </c>
      <c r="AV28">
        <v>2.8499999999999999E-4</v>
      </c>
      <c r="AW28">
        <v>1.6200000000000001E-4</v>
      </c>
      <c r="AX28">
        <v>1.66E-4</v>
      </c>
      <c r="AY28">
        <v>8.25E-4</v>
      </c>
      <c r="AZ28">
        <v>4.08E-4</v>
      </c>
      <c r="BA28">
        <v>2.13E-4</v>
      </c>
      <c r="BB28">
        <v>2.5599999999999999E-4</v>
      </c>
      <c r="BC28">
        <v>1.7000000000000001E-4</v>
      </c>
    </row>
    <row r="29" spans="1:55">
      <c r="A29" t="s">
        <v>29</v>
      </c>
      <c r="B29">
        <v>9.0000000000000002E-6</v>
      </c>
      <c r="C29">
        <v>1.1E-5</v>
      </c>
      <c r="D29">
        <v>1.1E-5</v>
      </c>
      <c r="E29">
        <v>1.1E-5</v>
      </c>
      <c r="F29">
        <v>1.5E-5</v>
      </c>
      <c r="G29">
        <v>3.1999999999999999E-5</v>
      </c>
      <c r="H29">
        <v>2.0000000000000002E-5</v>
      </c>
      <c r="I29">
        <v>9.0000000000000002E-6</v>
      </c>
      <c r="J29">
        <v>5.0000000000000004E-6</v>
      </c>
      <c r="K29">
        <v>6.0000000000000002E-6</v>
      </c>
      <c r="L29">
        <v>1.8E-5</v>
      </c>
      <c r="M29">
        <v>0</v>
      </c>
      <c r="N29">
        <v>1.9000000000000001E-5</v>
      </c>
      <c r="O29">
        <v>1.9999999999999999E-6</v>
      </c>
      <c r="P29">
        <v>7.7000000000000001E-5</v>
      </c>
      <c r="Q29">
        <v>0</v>
      </c>
      <c r="R29">
        <v>6.7000000000000002E-5</v>
      </c>
      <c r="S29">
        <v>2.43E-4</v>
      </c>
      <c r="T29">
        <v>4.6E-5</v>
      </c>
      <c r="U29">
        <v>1.84E-4</v>
      </c>
      <c r="V29">
        <v>1.2999999999999999E-5</v>
      </c>
      <c r="W29">
        <v>2.0999999999999999E-5</v>
      </c>
      <c r="X29">
        <v>1.4E-5</v>
      </c>
      <c r="Y29">
        <v>1.2999999999999999E-5</v>
      </c>
      <c r="Z29">
        <v>1.0000000000000001E-5</v>
      </c>
      <c r="AA29">
        <v>6.9999999999999999E-6</v>
      </c>
      <c r="AB29">
        <v>2.1999999999999999E-5</v>
      </c>
      <c r="AC29">
        <v>1.0015890000000001</v>
      </c>
      <c r="AD29">
        <v>3.7800000000000003E-4</v>
      </c>
      <c r="AE29">
        <v>1.1E-5</v>
      </c>
      <c r="AF29">
        <v>5.0000000000000004E-6</v>
      </c>
      <c r="AG29">
        <v>2.6999999999999999E-5</v>
      </c>
      <c r="AH29">
        <v>1.5200000000000001E-4</v>
      </c>
      <c r="AI29">
        <v>1.2999999999999999E-5</v>
      </c>
      <c r="AJ29">
        <v>1.7E-5</v>
      </c>
      <c r="AK29">
        <v>2.5000000000000001E-5</v>
      </c>
      <c r="AL29">
        <v>9.0000000000000002E-6</v>
      </c>
      <c r="AM29">
        <v>5.1E-5</v>
      </c>
      <c r="AN29">
        <v>2.6999999999999999E-5</v>
      </c>
      <c r="AO29">
        <v>2.6999999999999999E-5</v>
      </c>
      <c r="AP29">
        <v>3.1999999999999999E-5</v>
      </c>
      <c r="AQ29">
        <v>2.3000000000000001E-4</v>
      </c>
      <c r="AR29">
        <v>3.6000000000000001E-5</v>
      </c>
      <c r="AS29">
        <v>1.2999999999999999E-5</v>
      </c>
      <c r="AT29">
        <v>1.7000000000000001E-4</v>
      </c>
      <c r="AU29">
        <v>1E-4</v>
      </c>
      <c r="AV29">
        <v>9.3999999999999994E-5</v>
      </c>
      <c r="AW29">
        <v>1.6699999999999999E-4</v>
      </c>
      <c r="AX29">
        <v>2.3E-5</v>
      </c>
      <c r="AY29">
        <v>1.44E-4</v>
      </c>
      <c r="AZ29">
        <v>2.0000000000000002E-5</v>
      </c>
      <c r="BA29">
        <v>1.94E-4</v>
      </c>
      <c r="BB29">
        <v>1.5300000000000001E-4</v>
      </c>
      <c r="BC29">
        <v>3.5100000000000002E-4</v>
      </c>
    </row>
    <row r="30" spans="1:55">
      <c r="A30" t="s">
        <v>30</v>
      </c>
      <c r="B30">
        <v>1.4899999999999999E-4</v>
      </c>
      <c r="C30">
        <v>6.1799999999999995E-4</v>
      </c>
      <c r="D30">
        <v>1.1410000000000001E-3</v>
      </c>
      <c r="E30">
        <v>6.7369999999999999E-3</v>
      </c>
      <c r="F30">
        <v>2.1000000000000001E-4</v>
      </c>
      <c r="G30">
        <v>1.8519999999999999E-3</v>
      </c>
      <c r="H30">
        <v>3.6000000000000002E-4</v>
      </c>
      <c r="I30">
        <v>1.7799999999999999E-4</v>
      </c>
      <c r="J30">
        <v>9.1299999999999997E-4</v>
      </c>
      <c r="K30">
        <v>2.3900000000000001E-4</v>
      </c>
      <c r="L30">
        <v>4.5199999999999998E-4</v>
      </c>
      <c r="M30">
        <v>0</v>
      </c>
      <c r="N30">
        <v>1.85E-4</v>
      </c>
      <c r="O30">
        <v>1.0900000000000001E-4</v>
      </c>
      <c r="P30">
        <v>1.2650000000000001E-3</v>
      </c>
      <c r="Q30">
        <v>2.0999999999999999E-5</v>
      </c>
      <c r="R30">
        <v>8.5599999999999999E-4</v>
      </c>
      <c r="S30">
        <v>4.6999999999999999E-4</v>
      </c>
      <c r="T30">
        <v>2.7599999999999999E-4</v>
      </c>
      <c r="U30">
        <v>3.4200000000000002E-4</v>
      </c>
      <c r="V30">
        <v>5.4699999999999996E-4</v>
      </c>
      <c r="W30">
        <v>5.6599999999999999E-4</v>
      </c>
      <c r="X30">
        <v>2.7799999999999998E-4</v>
      </c>
      <c r="Y30">
        <v>3.7599999999999998E-4</v>
      </c>
      <c r="Z30">
        <v>4.8700000000000002E-4</v>
      </c>
      <c r="AA30">
        <v>1.01E-4</v>
      </c>
      <c r="AB30">
        <v>3.01E-4</v>
      </c>
      <c r="AC30">
        <v>5.9500000000000004E-4</v>
      </c>
      <c r="AD30">
        <v>1.0052369999999999</v>
      </c>
      <c r="AE30">
        <v>3.2200000000000002E-4</v>
      </c>
      <c r="AF30">
        <v>5.1800000000000001E-4</v>
      </c>
      <c r="AG30">
        <v>4.8500000000000003E-4</v>
      </c>
      <c r="AH30">
        <v>2.7599999999999999E-4</v>
      </c>
      <c r="AI30">
        <v>4.44E-4</v>
      </c>
      <c r="AJ30">
        <v>8.1899999999999996E-4</v>
      </c>
      <c r="AK30">
        <v>6.1850000000000004E-3</v>
      </c>
      <c r="AL30">
        <v>1.56E-4</v>
      </c>
      <c r="AM30">
        <v>3.2759999999999998E-3</v>
      </c>
      <c r="AN30">
        <v>5.6490000000000004E-3</v>
      </c>
      <c r="AO30">
        <v>1.5299999999999999E-3</v>
      </c>
      <c r="AP30">
        <v>4.6799999999999999E-4</v>
      </c>
      <c r="AQ30">
        <v>5.1099999999999995E-4</v>
      </c>
      <c r="AR30">
        <v>5.9500000000000004E-4</v>
      </c>
      <c r="AS30">
        <v>1.0510000000000001E-3</v>
      </c>
      <c r="AT30">
        <v>8.3500000000000002E-4</v>
      </c>
      <c r="AU30">
        <v>9.6400000000000001E-4</v>
      </c>
      <c r="AV30">
        <v>5.1999999999999995E-4</v>
      </c>
      <c r="AW30">
        <v>2.7500000000000002E-4</v>
      </c>
      <c r="AX30">
        <v>3.2000000000000003E-4</v>
      </c>
      <c r="AY30">
        <v>1.9849999999999998E-3</v>
      </c>
      <c r="AZ30">
        <v>1.3060000000000001E-3</v>
      </c>
      <c r="BA30">
        <v>1.915E-3</v>
      </c>
      <c r="BB30">
        <v>6.4770000000000001E-3</v>
      </c>
      <c r="BC30">
        <v>4.5230000000000001E-3</v>
      </c>
    </row>
    <row r="31" spans="1:55">
      <c r="A31" t="s">
        <v>31</v>
      </c>
      <c r="B31">
        <v>6.38E-4</v>
      </c>
      <c r="C31">
        <v>1.3990000000000001E-3</v>
      </c>
      <c r="D31">
        <v>9.6069999999999992E-3</v>
      </c>
      <c r="E31">
        <v>1.1512E-2</v>
      </c>
      <c r="F31">
        <v>8.7100000000000003E-4</v>
      </c>
      <c r="G31">
        <v>2.4030000000000002E-3</v>
      </c>
      <c r="H31">
        <v>1.418E-3</v>
      </c>
      <c r="I31">
        <v>1.2229999999999999E-3</v>
      </c>
      <c r="J31">
        <v>1.1119999999999999E-3</v>
      </c>
      <c r="K31">
        <v>1.173E-3</v>
      </c>
      <c r="L31">
        <v>2.1359999999999999E-3</v>
      </c>
      <c r="M31">
        <v>0</v>
      </c>
      <c r="N31">
        <v>6.8599999999999998E-4</v>
      </c>
      <c r="O31">
        <v>7.6499999999999995E-4</v>
      </c>
      <c r="P31">
        <v>3.8630000000000001E-3</v>
      </c>
      <c r="Q31">
        <v>1.4799999999999999E-4</v>
      </c>
      <c r="R31">
        <v>1.3514999999999999E-2</v>
      </c>
      <c r="S31">
        <v>1.1469999999999999E-2</v>
      </c>
      <c r="T31">
        <v>3.9350000000000001E-3</v>
      </c>
      <c r="U31">
        <v>1.3424999999999999E-2</v>
      </c>
      <c r="V31">
        <v>3.372E-3</v>
      </c>
      <c r="W31">
        <v>7.7999999999999996E-3</v>
      </c>
      <c r="X31">
        <v>6.8599999999999998E-3</v>
      </c>
      <c r="Y31">
        <v>6.8009999999999998E-3</v>
      </c>
      <c r="Z31">
        <v>8.3730000000000002E-3</v>
      </c>
      <c r="AA31">
        <v>2.2780000000000001E-3</v>
      </c>
      <c r="AB31">
        <v>5.3880000000000004E-3</v>
      </c>
      <c r="AC31">
        <v>6.9249999999999997E-3</v>
      </c>
      <c r="AD31">
        <v>1.2873000000000001E-2</v>
      </c>
      <c r="AE31">
        <v>1.2089399999999999</v>
      </c>
      <c r="AF31">
        <v>6.8900000000000005E-4</v>
      </c>
      <c r="AG31">
        <v>3.7834E-2</v>
      </c>
      <c r="AH31">
        <v>2.3180000000000002E-3</v>
      </c>
      <c r="AI31">
        <v>8.1589999999999996E-3</v>
      </c>
      <c r="AJ31">
        <v>5.411E-3</v>
      </c>
      <c r="AK31">
        <v>5.6779999999999997E-2</v>
      </c>
      <c r="AL31">
        <v>1.864E-3</v>
      </c>
      <c r="AM31">
        <v>3.493E-3</v>
      </c>
      <c r="AN31">
        <v>9.5680000000000001E-3</v>
      </c>
      <c r="AO31">
        <v>2.0929999999999998E-3</v>
      </c>
      <c r="AP31">
        <v>9.7529999999999995E-3</v>
      </c>
      <c r="AQ31">
        <v>6.2249999999999996E-3</v>
      </c>
      <c r="AR31">
        <v>3.1589999999999999E-3</v>
      </c>
      <c r="AS31">
        <v>6.7710000000000001E-3</v>
      </c>
      <c r="AT31">
        <v>2.3519999999999999E-3</v>
      </c>
      <c r="AU31">
        <v>4.1920000000000004E-3</v>
      </c>
      <c r="AV31">
        <v>3.9610000000000001E-3</v>
      </c>
      <c r="AW31">
        <v>3.8300000000000001E-3</v>
      </c>
      <c r="AX31">
        <v>1.838E-3</v>
      </c>
      <c r="AY31">
        <v>6.0610000000000004E-3</v>
      </c>
      <c r="AZ31">
        <v>1.2423999999999999E-2</v>
      </c>
      <c r="BA31">
        <v>7.0920000000000002E-3</v>
      </c>
      <c r="BB31">
        <v>9.6360000000000005E-3</v>
      </c>
      <c r="BC31">
        <v>1.1748E-2</v>
      </c>
    </row>
    <row r="32" spans="1:55">
      <c r="A32" t="s">
        <v>32</v>
      </c>
      <c r="B32">
        <v>3.8999999999999999E-5</v>
      </c>
      <c r="C32">
        <v>5.5000000000000002E-5</v>
      </c>
      <c r="D32">
        <v>2.4499999999999999E-4</v>
      </c>
      <c r="E32">
        <v>5.1E-5</v>
      </c>
      <c r="F32">
        <v>4.6E-5</v>
      </c>
      <c r="G32">
        <v>5.0000000000000002E-5</v>
      </c>
      <c r="H32">
        <v>5.3999999999999998E-5</v>
      </c>
      <c r="I32">
        <v>1.0000000000000001E-5</v>
      </c>
      <c r="J32">
        <v>9.3199999999999999E-4</v>
      </c>
      <c r="K32">
        <v>7.9999999999999996E-6</v>
      </c>
      <c r="L32">
        <v>3.6999999999999998E-5</v>
      </c>
      <c r="M32">
        <v>0</v>
      </c>
      <c r="N32">
        <v>5.1E-5</v>
      </c>
      <c r="O32">
        <v>3.0000000000000001E-6</v>
      </c>
      <c r="P32">
        <v>2.1900000000000001E-4</v>
      </c>
      <c r="Q32">
        <v>1.9999999999999999E-6</v>
      </c>
      <c r="R32">
        <v>1.305E-3</v>
      </c>
      <c r="S32">
        <v>8.8599999999999996E-4</v>
      </c>
      <c r="T32">
        <v>5.0299999999999997E-4</v>
      </c>
      <c r="U32">
        <v>7.4600000000000003E-4</v>
      </c>
      <c r="V32">
        <v>5.2700000000000002E-4</v>
      </c>
      <c r="W32">
        <v>7.8600000000000002E-4</v>
      </c>
      <c r="X32">
        <v>1.4649999999999999E-3</v>
      </c>
      <c r="Y32">
        <v>1.3110000000000001E-3</v>
      </c>
      <c r="Z32">
        <v>1.14E-3</v>
      </c>
      <c r="AA32">
        <v>4.2900000000000002E-4</v>
      </c>
      <c r="AB32">
        <v>5.1900000000000004E-4</v>
      </c>
      <c r="AC32">
        <v>1.1900000000000001E-3</v>
      </c>
      <c r="AD32">
        <v>1.2880000000000001E-3</v>
      </c>
      <c r="AE32">
        <v>7.4999999999999993E-5</v>
      </c>
      <c r="AF32">
        <v>1.0001979999999999</v>
      </c>
      <c r="AG32">
        <v>1.22E-4</v>
      </c>
      <c r="AH32">
        <v>1.75E-4</v>
      </c>
      <c r="AI32">
        <v>3.4999999999999997E-5</v>
      </c>
      <c r="AJ32">
        <v>4.8000000000000001E-5</v>
      </c>
      <c r="AK32">
        <v>6.7000000000000002E-5</v>
      </c>
      <c r="AL32">
        <v>3.7500000000000001E-4</v>
      </c>
      <c r="AM32">
        <v>5.0000000000000002E-5</v>
      </c>
      <c r="AN32">
        <v>4.0000000000000003E-5</v>
      </c>
      <c r="AO32">
        <v>3.8999999999999999E-5</v>
      </c>
      <c r="AP32">
        <v>3.6000000000000001E-5</v>
      </c>
      <c r="AQ32">
        <v>3.6499999999999998E-4</v>
      </c>
      <c r="AR32">
        <v>1.73E-4</v>
      </c>
      <c r="AS32">
        <v>3.4999999999999997E-5</v>
      </c>
      <c r="AT32">
        <v>1.5E-5</v>
      </c>
      <c r="AU32">
        <v>3.8000000000000002E-5</v>
      </c>
      <c r="AV32">
        <v>2.1999999999999999E-5</v>
      </c>
      <c r="AW32">
        <v>4.8000000000000001E-5</v>
      </c>
      <c r="AX32">
        <v>2.6999999999999999E-5</v>
      </c>
      <c r="AY32">
        <v>5.1E-5</v>
      </c>
      <c r="AZ32">
        <v>6.7999999999999999E-5</v>
      </c>
      <c r="BA32">
        <v>1.2300000000000001E-4</v>
      </c>
      <c r="BB32">
        <v>1.5699999999999999E-4</v>
      </c>
      <c r="BC32">
        <v>8.0000000000000007E-5</v>
      </c>
    </row>
    <row r="33" spans="1:55">
      <c r="A33" t="s">
        <v>33</v>
      </c>
      <c r="B33">
        <v>7.3999999999999996E-5</v>
      </c>
      <c r="C33">
        <v>7.5900000000000002E-4</v>
      </c>
      <c r="D33">
        <v>1.124E-3</v>
      </c>
      <c r="E33">
        <v>7.8999999999999996E-5</v>
      </c>
      <c r="F33">
        <v>1.1400000000000001E-4</v>
      </c>
      <c r="G33">
        <v>1.8599999999999999E-4</v>
      </c>
      <c r="H33">
        <v>2.24E-4</v>
      </c>
      <c r="I33">
        <v>2.8E-5</v>
      </c>
      <c r="J33">
        <v>9.7E-5</v>
      </c>
      <c r="K33">
        <v>2.3900000000000001E-4</v>
      </c>
      <c r="L33">
        <v>1.9000000000000001E-4</v>
      </c>
      <c r="M33">
        <v>0</v>
      </c>
      <c r="N33">
        <v>8.5000000000000006E-5</v>
      </c>
      <c r="O33">
        <v>6.2000000000000003E-5</v>
      </c>
      <c r="P33">
        <v>3.1500000000000001E-4</v>
      </c>
      <c r="Q33">
        <v>1.9000000000000001E-5</v>
      </c>
      <c r="R33">
        <v>1.387E-3</v>
      </c>
      <c r="S33">
        <v>6.4300000000000002E-4</v>
      </c>
      <c r="T33">
        <v>2.7099999999999997E-4</v>
      </c>
      <c r="U33">
        <v>1.32E-3</v>
      </c>
      <c r="V33">
        <v>4.9600000000000002E-4</v>
      </c>
      <c r="W33">
        <v>7.8799999999999996E-4</v>
      </c>
      <c r="X33">
        <v>9.6500000000000004E-4</v>
      </c>
      <c r="Y33">
        <v>1.1311E-2</v>
      </c>
      <c r="Z33">
        <v>4.3199999999999998E-4</v>
      </c>
      <c r="AA33">
        <v>1.5100000000000001E-4</v>
      </c>
      <c r="AB33">
        <v>7.6599999999999997E-4</v>
      </c>
      <c r="AC33">
        <v>5.6099999999999998E-4</v>
      </c>
      <c r="AD33">
        <v>5.9000000000000003E-4</v>
      </c>
      <c r="AE33">
        <v>2.12E-4</v>
      </c>
      <c r="AF33">
        <v>7.4999999999999993E-5</v>
      </c>
      <c r="AG33">
        <v>1.03051</v>
      </c>
      <c r="AH33">
        <v>2.43E-4</v>
      </c>
      <c r="AI33">
        <v>9.77E-4</v>
      </c>
      <c r="AJ33">
        <v>7.1699999999999997E-4</v>
      </c>
      <c r="AK33">
        <v>2.5300000000000002E-4</v>
      </c>
      <c r="AL33">
        <v>1.3100000000000001E-4</v>
      </c>
      <c r="AM33">
        <v>1.173E-3</v>
      </c>
      <c r="AN33">
        <v>6.0499999999999996E-4</v>
      </c>
      <c r="AO33">
        <v>1.9900000000000001E-4</v>
      </c>
      <c r="AP33">
        <v>7.1699999999999997E-4</v>
      </c>
      <c r="AQ33">
        <v>8.9700000000000001E-4</v>
      </c>
      <c r="AR33">
        <v>2.6200000000000003E-4</v>
      </c>
      <c r="AS33">
        <v>1.94E-4</v>
      </c>
      <c r="AT33">
        <v>7.6000000000000004E-5</v>
      </c>
      <c r="AU33">
        <v>1.1900000000000001E-4</v>
      </c>
      <c r="AV33">
        <v>1.56E-4</v>
      </c>
      <c r="AW33">
        <v>1.35E-4</v>
      </c>
      <c r="AX33">
        <v>1.12E-4</v>
      </c>
      <c r="AY33">
        <v>6.9200000000000002E-4</v>
      </c>
      <c r="AZ33">
        <v>4.7899999999999999E-4</v>
      </c>
      <c r="BA33">
        <v>6.1700000000000004E-4</v>
      </c>
      <c r="BB33">
        <v>3.1740000000000002E-3</v>
      </c>
      <c r="BC33">
        <v>1.7099999999999999E-3</v>
      </c>
    </row>
    <row r="34" spans="1:55">
      <c r="A34" t="s">
        <v>34</v>
      </c>
      <c r="B34">
        <v>3.7137000000000003E-2</v>
      </c>
      <c r="C34">
        <v>2.6036E-2</v>
      </c>
      <c r="D34">
        <v>4.8469999999999997E-3</v>
      </c>
      <c r="E34">
        <v>4.0639999999999999E-3</v>
      </c>
      <c r="F34">
        <v>1.5474999999999999E-2</v>
      </c>
      <c r="G34">
        <v>1.9654999999999999E-2</v>
      </c>
      <c r="H34">
        <v>5.0720000000000001E-3</v>
      </c>
      <c r="I34">
        <v>4.7987000000000002E-2</v>
      </c>
      <c r="J34">
        <v>5.8009999999999997E-3</v>
      </c>
      <c r="K34">
        <v>2.4771000000000001E-2</v>
      </c>
      <c r="L34">
        <v>6.1661000000000001E-2</v>
      </c>
      <c r="M34">
        <v>0</v>
      </c>
      <c r="N34">
        <v>7.3190000000000005E-2</v>
      </c>
      <c r="O34">
        <v>6.9109999999999996E-3</v>
      </c>
      <c r="P34">
        <v>9.3939999999999996E-3</v>
      </c>
      <c r="Q34">
        <v>8.8099999999999995E-4</v>
      </c>
      <c r="R34">
        <v>8.9750000000000003E-3</v>
      </c>
      <c r="S34">
        <v>8.567E-3</v>
      </c>
      <c r="T34">
        <v>1.5474E-2</v>
      </c>
      <c r="U34">
        <v>1.1806000000000001E-2</v>
      </c>
      <c r="V34">
        <v>1.0147E-2</v>
      </c>
      <c r="W34">
        <v>6.5259999999999997E-3</v>
      </c>
      <c r="X34">
        <v>4.4742999999999998E-2</v>
      </c>
      <c r="Y34">
        <v>1.1743E-2</v>
      </c>
      <c r="Z34">
        <v>7.1840000000000003E-3</v>
      </c>
      <c r="AA34">
        <v>3.7550000000000001E-3</v>
      </c>
      <c r="AB34">
        <v>9.7280000000000005E-3</v>
      </c>
      <c r="AC34">
        <v>8.1510000000000003E-3</v>
      </c>
      <c r="AD34">
        <v>7.5459999999999998E-3</v>
      </c>
      <c r="AE34">
        <v>2.9453E-2</v>
      </c>
      <c r="AF34">
        <v>1.7197E-2</v>
      </c>
      <c r="AG34">
        <v>3.7837999999999997E-2</v>
      </c>
      <c r="AH34">
        <v>1.014208</v>
      </c>
      <c r="AI34">
        <v>1.9148999999999999E-2</v>
      </c>
      <c r="AJ34">
        <v>3.6244999999999999E-2</v>
      </c>
      <c r="AK34">
        <v>9.2194999999999999E-2</v>
      </c>
      <c r="AL34">
        <v>5.7109999999999999E-3</v>
      </c>
      <c r="AM34">
        <v>4.4454E-2</v>
      </c>
      <c r="AN34">
        <v>2.9805999999999999E-2</v>
      </c>
      <c r="AO34">
        <v>1.008E-2</v>
      </c>
      <c r="AP34">
        <v>0.103106</v>
      </c>
      <c r="AQ34">
        <v>1.2137999999999999E-2</v>
      </c>
      <c r="AR34">
        <v>8.1890000000000001E-3</v>
      </c>
      <c r="AS34">
        <v>2.6103999999999999E-2</v>
      </c>
      <c r="AT34">
        <v>1.4171E-2</v>
      </c>
      <c r="AU34">
        <v>1.1743E-2</v>
      </c>
      <c r="AV34">
        <v>7.5950000000000002E-3</v>
      </c>
      <c r="AW34">
        <v>1.0702E-2</v>
      </c>
      <c r="AX34">
        <v>8.6656999999999998E-2</v>
      </c>
      <c r="AY34">
        <v>1.332E-2</v>
      </c>
      <c r="AZ34">
        <v>6.5963999999999995E-2</v>
      </c>
      <c r="BA34">
        <v>1.2954E-2</v>
      </c>
      <c r="BB34">
        <v>9.0900000000000009E-3</v>
      </c>
      <c r="BC34">
        <v>1.1265000000000001E-2</v>
      </c>
    </row>
    <row r="35" spans="1:55">
      <c r="A35" t="s">
        <v>35</v>
      </c>
      <c r="B35">
        <v>8.5679999999999992E-3</v>
      </c>
      <c r="C35">
        <v>4.8320000000000004E-3</v>
      </c>
      <c r="D35">
        <v>2.4750000000000002E-3</v>
      </c>
      <c r="E35">
        <v>1.9870000000000001E-3</v>
      </c>
      <c r="F35">
        <v>2.6979999999999999E-3</v>
      </c>
      <c r="G35">
        <v>7.123E-3</v>
      </c>
      <c r="H35">
        <v>5.7749999999999998E-3</v>
      </c>
      <c r="I35">
        <v>6.6429999999999996E-3</v>
      </c>
      <c r="J35">
        <v>2.2369999999999998E-3</v>
      </c>
      <c r="K35">
        <v>1.539E-3</v>
      </c>
      <c r="L35">
        <v>1.2194E-2</v>
      </c>
      <c r="M35">
        <v>0</v>
      </c>
      <c r="N35">
        <v>1.4657E-2</v>
      </c>
      <c r="O35">
        <v>7.1900000000000002E-4</v>
      </c>
      <c r="P35">
        <v>1.0633E-2</v>
      </c>
      <c r="Q35">
        <v>2.8660000000000001E-3</v>
      </c>
      <c r="R35">
        <v>1.3372999999999999E-2</v>
      </c>
      <c r="S35">
        <v>1.1358999999999999E-2</v>
      </c>
      <c r="T35">
        <v>1.3367E-2</v>
      </c>
      <c r="U35">
        <v>1.7023E-2</v>
      </c>
      <c r="V35">
        <v>6.8339999999999998E-3</v>
      </c>
      <c r="W35">
        <v>1.0120000000000001E-2</v>
      </c>
      <c r="X35">
        <v>9.6150000000000003E-3</v>
      </c>
      <c r="Y35">
        <v>8.0829999999999999E-3</v>
      </c>
      <c r="Z35">
        <v>1.2765E-2</v>
      </c>
      <c r="AA35">
        <v>1.1900000000000001E-2</v>
      </c>
      <c r="AB35">
        <v>2.7147000000000001E-2</v>
      </c>
      <c r="AC35">
        <v>1.3154000000000001E-2</v>
      </c>
      <c r="AD35">
        <v>1.2512000000000001E-2</v>
      </c>
      <c r="AE35">
        <v>6.6299999999999996E-3</v>
      </c>
      <c r="AF35">
        <v>2.294E-3</v>
      </c>
      <c r="AG35">
        <v>6.685E-3</v>
      </c>
      <c r="AH35">
        <v>1.6587999999999999E-2</v>
      </c>
      <c r="AI35">
        <v>1.0109300000000001</v>
      </c>
      <c r="AJ35">
        <v>9.4050000000000002E-3</v>
      </c>
      <c r="AK35">
        <v>1.21E-2</v>
      </c>
      <c r="AL35">
        <v>3.4204999999999999E-2</v>
      </c>
      <c r="AM35">
        <v>1.6312E-2</v>
      </c>
      <c r="AN35">
        <v>1.4093E-2</v>
      </c>
      <c r="AO35">
        <v>1.2215999999999999E-2</v>
      </c>
      <c r="AP35">
        <v>1.6E-2</v>
      </c>
      <c r="AQ35">
        <v>7.4879999999999999E-3</v>
      </c>
      <c r="AR35">
        <v>1.1731E-2</v>
      </c>
      <c r="AS35">
        <v>5.2189999999999997E-3</v>
      </c>
      <c r="AT35">
        <v>4.7829999999999999E-3</v>
      </c>
      <c r="AU35">
        <v>8.267E-3</v>
      </c>
      <c r="AV35">
        <v>2.849E-3</v>
      </c>
      <c r="AW35">
        <v>3.2000000000000002E-3</v>
      </c>
      <c r="AX35">
        <v>2.8080000000000002E-3</v>
      </c>
      <c r="AY35">
        <v>1.8485000000000001E-2</v>
      </c>
      <c r="AZ35">
        <v>9.9179999999999997E-3</v>
      </c>
      <c r="BA35">
        <v>7.7609999999999997E-3</v>
      </c>
      <c r="BB35">
        <v>1.0754E-2</v>
      </c>
      <c r="BC35">
        <v>7.6959999999999997E-3</v>
      </c>
    </row>
    <row r="36" spans="1:55">
      <c r="A36" t="s">
        <v>36</v>
      </c>
      <c r="B36">
        <v>2.0822E-2</v>
      </c>
      <c r="C36">
        <v>2.9732999999999999E-2</v>
      </c>
      <c r="D36">
        <v>3.4734000000000001E-2</v>
      </c>
      <c r="E36">
        <v>2.0944999999999998E-2</v>
      </c>
      <c r="F36">
        <v>3.1203999999999999E-2</v>
      </c>
      <c r="G36">
        <v>4.0710999999999997E-2</v>
      </c>
      <c r="H36">
        <v>4.0538999999999999E-2</v>
      </c>
      <c r="I36">
        <v>1.2161999999999999E-2</v>
      </c>
      <c r="J36">
        <v>1.3657000000000001E-2</v>
      </c>
      <c r="K36">
        <v>6.8129999999999996E-3</v>
      </c>
      <c r="L36">
        <v>4.6538000000000003E-2</v>
      </c>
      <c r="M36">
        <v>0</v>
      </c>
      <c r="N36">
        <v>2.9843999999999999E-2</v>
      </c>
      <c r="O36">
        <v>3.699E-3</v>
      </c>
      <c r="P36">
        <v>7.2080000000000005E-2</v>
      </c>
      <c r="Q36">
        <v>2.2134999999999998E-2</v>
      </c>
      <c r="R36">
        <v>9.4547999999999993E-2</v>
      </c>
      <c r="S36">
        <v>7.7990000000000004E-2</v>
      </c>
      <c r="T36">
        <v>8.6054000000000005E-2</v>
      </c>
      <c r="U36">
        <v>0.11433699999999999</v>
      </c>
      <c r="V36">
        <v>4.5598E-2</v>
      </c>
      <c r="W36">
        <v>7.7149999999999996E-2</v>
      </c>
      <c r="X36">
        <v>5.0684E-2</v>
      </c>
      <c r="Y36">
        <v>5.3018999999999997E-2</v>
      </c>
      <c r="Z36">
        <v>9.2022999999999994E-2</v>
      </c>
      <c r="AA36">
        <v>8.7606000000000003E-2</v>
      </c>
      <c r="AB36">
        <v>0.19459399999999999</v>
      </c>
      <c r="AC36">
        <v>8.5365999999999997E-2</v>
      </c>
      <c r="AD36">
        <v>8.7744000000000003E-2</v>
      </c>
      <c r="AE36">
        <v>2.4749E-2</v>
      </c>
      <c r="AF36">
        <v>1.0527999999999999E-2</v>
      </c>
      <c r="AG36">
        <v>3.8476999999999997E-2</v>
      </c>
      <c r="AH36">
        <v>0.109127</v>
      </c>
      <c r="AI36">
        <v>3.3883999999999997E-2</v>
      </c>
      <c r="AJ36">
        <v>1.0299039999999999</v>
      </c>
      <c r="AK36">
        <v>4.2866000000000001E-2</v>
      </c>
      <c r="AL36">
        <v>5.9221000000000003E-2</v>
      </c>
      <c r="AM36">
        <v>6.7852999999999997E-2</v>
      </c>
      <c r="AN36">
        <v>5.9109000000000002E-2</v>
      </c>
      <c r="AO36">
        <v>7.3647000000000004E-2</v>
      </c>
      <c r="AP36">
        <v>3.2432999999999997E-2</v>
      </c>
      <c r="AQ36">
        <v>4.8982999999999999E-2</v>
      </c>
      <c r="AR36">
        <v>8.0903000000000003E-2</v>
      </c>
      <c r="AS36">
        <v>2.8337000000000001E-2</v>
      </c>
      <c r="AT36">
        <v>1.1001E-2</v>
      </c>
      <c r="AU36">
        <v>1.7888999999999999E-2</v>
      </c>
      <c r="AV36">
        <v>1.1703E-2</v>
      </c>
      <c r="AW36">
        <v>1.4652999999999999E-2</v>
      </c>
      <c r="AX36">
        <v>1.5288E-2</v>
      </c>
      <c r="AY36">
        <v>3.6345000000000002E-2</v>
      </c>
      <c r="AZ36">
        <v>3.0276000000000001E-2</v>
      </c>
      <c r="BA36">
        <v>3.3190999999999998E-2</v>
      </c>
      <c r="BB36">
        <v>6.0099E-2</v>
      </c>
      <c r="BC36">
        <v>3.7211000000000001E-2</v>
      </c>
    </row>
    <row r="37" spans="1:55">
      <c r="A37" t="s">
        <v>37</v>
      </c>
      <c r="B37">
        <v>2.3E-5</v>
      </c>
      <c r="C37">
        <v>2.7500000000000002E-4</v>
      </c>
      <c r="D37">
        <v>4.0000000000000003E-5</v>
      </c>
      <c r="E37">
        <v>2.6999999999999999E-5</v>
      </c>
      <c r="F37">
        <v>5.1999999999999997E-5</v>
      </c>
      <c r="G37">
        <v>7.1000000000000005E-5</v>
      </c>
      <c r="H37">
        <v>1.02E-4</v>
      </c>
      <c r="I37">
        <v>1.9000000000000001E-5</v>
      </c>
      <c r="J37">
        <v>2.4000000000000001E-5</v>
      </c>
      <c r="K37">
        <v>1.8E-5</v>
      </c>
      <c r="L37">
        <v>3.3600000000000001E-3</v>
      </c>
      <c r="M37">
        <v>0</v>
      </c>
      <c r="N37">
        <v>1.7799999999999999E-4</v>
      </c>
      <c r="O37">
        <v>3.6000000000000001E-5</v>
      </c>
      <c r="P37">
        <v>6.6000000000000005E-5</v>
      </c>
      <c r="Q37">
        <v>2.1999999999999999E-5</v>
      </c>
      <c r="R37">
        <v>1.2999999999999999E-4</v>
      </c>
      <c r="S37">
        <v>1.25E-4</v>
      </c>
      <c r="T37">
        <v>8.7000000000000001E-5</v>
      </c>
      <c r="U37">
        <v>4.8299999999999998E-4</v>
      </c>
      <c r="V37">
        <v>5.1999999999999997E-5</v>
      </c>
      <c r="W37">
        <v>7.3999999999999996E-5</v>
      </c>
      <c r="X37">
        <v>1.1329999999999999E-3</v>
      </c>
      <c r="Y37">
        <v>1.63E-4</v>
      </c>
      <c r="Z37">
        <v>1.85E-4</v>
      </c>
      <c r="AA37">
        <v>6.9999999999999994E-5</v>
      </c>
      <c r="AB37">
        <v>2.3800000000000001E-4</v>
      </c>
      <c r="AC37">
        <v>1.5899999999999999E-4</v>
      </c>
      <c r="AD37">
        <v>1.56E-4</v>
      </c>
      <c r="AE37">
        <v>8.0800000000000002E-4</v>
      </c>
      <c r="AF37">
        <v>1.9100000000000001E-4</v>
      </c>
      <c r="AG37">
        <v>1.76E-4</v>
      </c>
      <c r="AH37">
        <v>1.5100000000000001E-4</v>
      </c>
      <c r="AI37">
        <v>7.4999999999999993E-5</v>
      </c>
      <c r="AJ37">
        <v>3.5199999999999999E-4</v>
      </c>
      <c r="AK37">
        <v>1.0002120000000001</v>
      </c>
      <c r="AL37">
        <v>7.2000000000000002E-5</v>
      </c>
      <c r="AM37">
        <v>1.1E-4</v>
      </c>
      <c r="AN37">
        <v>8.2000000000000001E-5</v>
      </c>
      <c r="AO37">
        <v>1.02E-4</v>
      </c>
      <c r="AP37">
        <v>1.73E-4</v>
      </c>
      <c r="AQ37">
        <v>6.0999999999999999E-5</v>
      </c>
      <c r="AR37">
        <v>7.4999999999999993E-5</v>
      </c>
      <c r="AS37">
        <v>6.7000000000000002E-5</v>
      </c>
      <c r="AT37">
        <v>4.0000000000000003E-5</v>
      </c>
      <c r="AU37">
        <v>7.1000000000000005E-5</v>
      </c>
      <c r="AV37">
        <v>3.2499999999999999E-4</v>
      </c>
      <c r="AW37">
        <v>8.5000000000000006E-5</v>
      </c>
      <c r="AX37">
        <v>3.6000000000000001E-5</v>
      </c>
      <c r="AY37">
        <v>1.671E-3</v>
      </c>
      <c r="AZ37">
        <v>1.2899999999999999E-4</v>
      </c>
      <c r="BA37">
        <v>1.0900000000000001E-4</v>
      </c>
      <c r="BB37">
        <v>9.2999999999999997E-5</v>
      </c>
      <c r="BC37">
        <v>1.7200000000000001E-4</v>
      </c>
    </row>
    <row r="38" spans="1:55">
      <c r="A38" t="s">
        <v>38</v>
      </c>
      <c r="B38">
        <v>2.0170000000000001E-3</v>
      </c>
      <c r="C38">
        <v>5.3559999999999997E-3</v>
      </c>
      <c r="D38">
        <v>1.3856E-2</v>
      </c>
      <c r="E38">
        <v>1.6591999999999999E-2</v>
      </c>
      <c r="F38">
        <v>1.3497E-2</v>
      </c>
      <c r="G38">
        <v>6.0520000000000001E-3</v>
      </c>
      <c r="H38">
        <v>2.7009999999999998E-3</v>
      </c>
      <c r="I38">
        <v>1.467E-3</v>
      </c>
      <c r="J38">
        <v>1.4920000000000001E-3</v>
      </c>
      <c r="K38">
        <v>1.1299999999999999E-3</v>
      </c>
      <c r="L38">
        <v>1.0000999999999999E-2</v>
      </c>
      <c r="M38">
        <v>0</v>
      </c>
      <c r="N38">
        <v>1.6728E-2</v>
      </c>
      <c r="O38">
        <v>5.6999999999999998E-4</v>
      </c>
      <c r="P38">
        <v>5.8739999999999999E-3</v>
      </c>
      <c r="Q38">
        <v>1.6930000000000001E-3</v>
      </c>
      <c r="R38">
        <v>8.2410000000000001E-3</v>
      </c>
      <c r="S38">
        <v>8.6390000000000008E-3</v>
      </c>
      <c r="T38">
        <v>6.0699999999999999E-3</v>
      </c>
      <c r="U38">
        <v>2.4036999999999999E-2</v>
      </c>
      <c r="V38">
        <v>4.3569999999999998E-3</v>
      </c>
      <c r="W38">
        <v>8.4250000000000002E-3</v>
      </c>
      <c r="X38">
        <v>8.7360000000000007E-3</v>
      </c>
      <c r="Y38">
        <v>5.6439999999999997E-3</v>
      </c>
      <c r="Z38">
        <v>7.9579999999999998E-3</v>
      </c>
      <c r="AA38">
        <v>5.4790000000000004E-3</v>
      </c>
      <c r="AB38">
        <v>1.4951000000000001E-2</v>
      </c>
      <c r="AC38">
        <v>1.3321E-2</v>
      </c>
      <c r="AD38">
        <v>9.757E-3</v>
      </c>
      <c r="AE38">
        <v>3.9410000000000001E-3</v>
      </c>
      <c r="AF38">
        <v>2.5400000000000002E-3</v>
      </c>
      <c r="AG38">
        <v>5.836E-3</v>
      </c>
      <c r="AH38">
        <v>1.1944E-2</v>
      </c>
      <c r="AI38">
        <v>1.0635E-2</v>
      </c>
      <c r="AJ38">
        <v>8.1840000000000003E-3</v>
      </c>
      <c r="AK38">
        <v>1.0378999999999999E-2</v>
      </c>
      <c r="AL38">
        <v>1.0067999999999999</v>
      </c>
      <c r="AM38">
        <v>7.6249999999999998E-3</v>
      </c>
      <c r="AN38">
        <v>4.8510000000000003E-3</v>
      </c>
      <c r="AO38">
        <v>5.1019999999999998E-3</v>
      </c>
      <c r="AP38">
        <v>5.9610000000000002E-3</v>
      </c>
      <c r="AQ38">
        <v>4.0179999999999999E-3</v>
      </c>
      <c r="AR38">
        <v>5.7330000000000002E-3</v>
      </c>
      <c r="AS38">
        <v>4.6820000000000004E-3</v>
      </c>
      <c r="AT38">
        <v>1.81E-3</v>
      </c>
      <c r="AU38">
        <v>2.5469999999999998E-3</v>
      </c>
      <c r="AV38">
        <v>2.807E-3</v>
      </c>
      <c r="AW38">
        <v>3.6939999999999998E-3</v>
      </c>
      <c r="AX38">
        <v>2.0960000000000002E-3</v>
      </c>
      <c r="AY38">
        <v>9.4020000000000006E-3</v>
      </c>
      <c r="AZ38">
        <v>3.2681000000000002E-2</v>
      </c>
      <c r="BA38">
        <v>1.1781E-2</v>
      </c>
      <c r="BB38">
        <v>1.4607999999999999E-2</v>
      </c>
      <c r="BC38">
        <v>5.5840000000000004E-3</v>
      </c>
    </row>
    <row r="39" spans="1:55">
      <c r="A39" t="s">
        <v>39</v>
      </c>
      <c r="B39">
        <v>2.3699999999999999E-4</v>
      </c>
      <c r="C39">
        <v>7.2000000000000005E-4</v>
      </c>
      <c r="D39">
        <v>2.0900000000000001E-4</v>
      </c>
      <c r="E39">
        <v>1.5300000000000001E-4</v>
      </c>
      <c r="F39">
        <v>5.3749999999999996E-3</v>
      </c>
      <c r="G39">
        <v>7.1699999999999997E-4</v>
      </c>
      <c r="H39">
        <v>4.6099999999999998E-4</v>
      </c>
      <c r="I39">
        <v>1.4999999999999999E-4</v>
      </c>
      <c r="J39">
        <v>2.3499999999999999E-4</v>
      </c>
      <c r="K39">
        <v>6.4099999999999997E-4</v>
      </c>
      <c r="L39">
        <v>3.5149999999999999E-3</v>
      </c>
      <c r="M39">
        <v>0</v>
      </c>
      <c r="N39">
        <v>3.57E-4</v>
      </c>
      <c r="O39">
        <v>4.2099999999999999E-4</v>
      </c>
      <c r="P39">
        <v>7.6499999999999995E-4</v>
      </c>
      <c r="Q39">
        <v>2.9399999999999999E-4</v>
      </c>
      <c r="R39">
        <v>1.1999999999999999E-3</v>
      </c>
      <c r="S39">
        <v>9.5200000000000005E-4</v>
      </c>
      <c r="T39">
        <v>9.3599999999999998E-4</v>
      </c>
      <c r="U39">
        <v>1.263E-3</v>
      </c>
      <c r="V39">
        <v>7.6199999999999998E-4</v>
      </c>
      <c r="W39">
        <v>7.9199999999999995E-4</v>
      </c>
      <c r="X39">
        <v>1.3389999999999999E-3</v>
      </c>
      <c r="Y39">
        <v>7.5500000000000003E-4</v>
      </c>
      <c r="Z39">
        <v>1.189E-3</v>
      </c>
      <c r="AA39">
        <v>9.0399999999999996E-4</v>
      </c>
      <c r="AB39">
        <v>2.264E-3</v>
      </c>
      <c r="AC39">
        <v>1.0579999999999999E-3</v>
      </c>
      <c r="AD39">
        <v>1.0640000000000001E-3</v>
      </c>
      <c r="AE39">
        <v>1.253E-3</v>
      </c>
      <c r="AF39">
        <v>3.79E-4</v>
      </c>
      <c r="AG39">
        <v>5.1000000000000004E-4</v>
      </c>
      <c r="AH39">
        <v>1.248E-3</v>
      </c>
      <c r="AI39">
        <v>4.5899999999999999E-4</v>
      </c>
      <c r="AJ39">
        <v>4.0200000000000001E-4</v>
      </c>
      <c r="AK39">
        <v>6.1200000000000002E-4</v>
      </c>
      <c r="AL39">
        <v>7.4700000000000005E-4</v>
      </c>
      <c r="AM39">
        <v>1.001287</v>
      </c>
      <c r="AN39">
        <v>8.9499999999999996E-4</v>
      </c>
      <c r="AO39">
        <v>1.1379999999999999E-3</v>
      </c>
      <c r="AP39">
        <v>1.3922E-2</v>
      </c>
      <c r="AQ39">
        <v>5.5400000000000002E-4</v>
      </c>
      <c r="AR39">
        <v>8.9599999999999999E-4</v>
      </c>
      <c r="AS39">
        <v>5.4299999999999997E-4</v>
      </c>
      <c r="AT39">
        <v>1.4899999999999999E-4</v>
      </c>
      <c r="AU39">
        <v>2.61E-4</v>
      </c>
      <c r="AV39">
        <v>1.7100000000000001E-4</v>
      </c>
      <c r="AW39">
        <v>3.2200000000000002E-4</v>
      </c>
      <c r="AX39">
        <v>1.9100000000000001E-4</v>
      </c>
      <c r="AY39">
        <v>1.426E-3</v>
      </c>
      <c r="AZ39">
        <v>4.1899999999999999E-4</v>
      </c>
      <c r="BA39">
        <v>4.15E-4</v>
      </c>
      <c r="BB39">
        <v>7.54E-4</v>
      </c>
      <c r="BC39">
        <v>5.8299999999999997E-4</v>
      </c>
    </row>
    <row r="40" spans="1:55">
      <c r="A40" t="s">
        <v>40</v>
      </c>
      <c r="B40">
        <v>1.83E-4</v>
      </c>
      <c r="C40">
        <v>1.1490000000000001E-3</v>
      </c>
      <c r="D40">
        <v>3.2000000000000003E-4</v>
      </c>
      <c r="E40">
        <v>9.3999999999999997E-4</v>
      </c>
      <c r="F40">
        <v>1.0809999999999999E-3</v>
      </c>
      <c r="G40">
        <v>3.6699999999999998E-4</v>
      </c>
      <c r="H40">
        <v>2.1800000000000001E-4</v>
      </c>
      <c r="I40">
        <v>1.7100000000000001E-4</v>
      </c>
      <c r="J40">
        <v>2.1599999999999999E-4</v>
      </c>
      <c r="K40">
        <v>4.7699999999999999E-4</v>
      </c>
      <c r="L40">
        <v>1.0690000000000001E-3</v>
      </c>
      <c r="M40">
        <v>0</v>
      </c>
      <c r="N40">
        <v>1.84E-4</v>
      </c>
      <c r="O40">
        <v>3.5799999999999997E-4</v>
      </c>
      <c r="P40">
        <v>4.3899999999999999E-4</v>
      </c>
      <c r="Q40">
        <v>7.8999999999999996E-5</v>
      </c>
      <c r="R40">
        <v>8.4500000000000005E-4</v>
      </c>
      <c r="S40">
        <v>5.8900000000000001E-4</v>
      </c>
      <c r="T40">
        <v>6.78E-4</v>
      </c>
      <c r="U40">
        <v>5.0500000000000002E-4</v>
      </c>
      <c r="V40">
        <v>2.8699999999999998E-4</v>
      </c>
      <c r="W40">
        <v>3.4400000000000001E-4</v>
      </c>
      <c r="X40">
        <v>6.11E-4</v>
      </c>
      <c r="Y40">
        <v>2.9E-4</v>
      </c>
      <c r="Z40">
        <v>4.1899999999999999E-4</v>
      </c>
      <c r="AA40">
        <v>2.72E-4</v>
      </c>
      <c r="AB40">
        <v>9.1299999999999997E-4</v>
      </c>
      <c r="AC40">
        <v>9.8299999999999993E-4</v>
      </c>
      <c r="AD40">
        <v>6.9700000000000003E-4</v>
      </c>
      <c r="AE40">
        <v>5.5800000000000001E-4</v>
      </c>
      <c r="AF40">
        <v>2.0799999999999999E-4</v>
      </c>
      <c r="AG40">
        <v>1.1100000000000001E-3</v>
      </c>
      <c r="AH40">
        <v>5.6599999999999999E-4</v>
      </c>
      <c r="AI40">
        <v>3.0400000000000002E-4</v>
      </c>
      <c r="AJ40">
        <v>7.54E-4</v>
      </c>
      <c r="AK40">
        <v>5.3799999999999996E-4</v>
      </c>
      <c r="AL40">
        <v>2.5439999999999998E-3</v>
      </c>
      <c r="AM40">
        <v>3.5500000000000002E-3</v>
      </c>
      <c r="AN40">
        <v>1.0013160000000001</v>
      </c>
      <c r="AO40">
        <v>2.1099999999999999E-3</v>
      </c>
      <c r="AP40">
        <v>2.6811999999999999E-2</v>
      </c>
      <c r="AQ40">
        <v>3.1700000000000001E-4</v>
      </c>
      <c r="AR40">
        <v>4.6299999999999998E-4</v>
      </c>
      <c r="AS40">
        <v>1.84E-4</v>
      </c>
      <c r="AT40">
        <v>8.1000000000000004E-5</v>
      </c>
      <c r="AU40">
        <v>1.13E-4</v>
      </c>
      <c r="AV40">
        <v>1.3300000000000001E-4</v>
      </c>
      <c r="AW40">
        <v>3.1199999999999999E-4</v>
      </c>
      <c r="AX40">
        <v>8.7999999999999998E-5</v>
      </c>
      <c r="AY40">
        <v>2.382E-3</v>
      </c>
      <c r="AZ40">
        <v>3.3399999999999999E-4</v>
      </c>
      <c r="BA40">
        <v>2.0599999999999999E-4</v>
      </c>
      <c r="BB40">
        <v>3.3199999999999999E-4</v>
      </c>
      <c r="BC40">
        <v>3.7399999999999998E-4</v>
      </c>
    </row>
    <row r="41" spans="1:55">
      <c r="A41" t="s">
        <v>41</v>
      </c>
      <c r="B41">
        <v>5.13E-4</v>
      </c>
      <c r="C41">
        <v>9.7300000000000002E-4</v>
      </c>
      <c r="D41">
        <v>1.1769E-2</v>
      </c>
      <c r="E41">
        <v>1.5219999999999999E-3</v>
      </c>
      <c r="F41">
        <v>2.3709999999999998E-3</v>
      </c>
      <c r="G41">
        <v>1.0499999999999999E-3</v>
      </c>
      <c r="H41">
        <v>6.5499999999999998E-4</v>
      </c>
      <c r="I41">
        <v>5.22E-4</v>
      </c>
      <c r="J41">
        <v>4.6999999999999999E-4</v>
      </c>
      <c r="K41">
        <v>2.5509999999999999E-3</v>
      </c>
      <c r="L41">
        <v>9.7669999999999996E-3</v>
      </c>
      <c r="M41">
        <v>0</v>
      </c>
      <c r="N41">
        <v>2.2279999999999999E-3</v>
      </c>
      <c r="O41">
        <v>8.8199999999999997E-4</v>
      </c>
      <c r="P41">
        <v>1.372E-3</v>
      </c>
      <c r="Q41">
        <v>3.6600000000000001E-4</v>
      </c>
      <c r="R41">
        <v>4.0029999999999996E-3</v>
      </c>
      <c r="S41">
        <v>2.199E-3</v>
      </c>
      <c r="T41">
        <v>2.235E-3</v>
      </c>
      <c r="U41">
        <v>2.6389999999999999E-3</v>
      </c>
      <c r="V41">
        <v>1.7390000000000001E-3</v>
      </c>
      <c r="W41">
        <v>5.0809999999999996E-3</v>
      </c>
      <c r="X41">
        <v>3.8089999999999999E-3</v>
      </c>
      <c r="Y41">
        <v>2.1870000000000001E-3</v>
      </c>
      <c r="Z41">
        <v>2.7720000000000002E-3</v>
      </c>
      <c r="AA41">
        <v>1.5100000000000001E-3</v>
      </c>
      <c r="AB41">
        <v>4.0080000000000003E-3</v>
      </c>
      <c r="AC41">
        <v>2.6350000000000002E-3</v>
      </c>
      <c r="AD41">
        <v>2.833E-3</v>
      </c>
      <c r="AE41">
        <v>4.483E-3</v>
      </c>
      <c r="AF41">
        <v>1.258E-3</v>
      </c>
      <c r="AG41">
        <v>3.4489999999999998E-3</v>
      </c>
      <c r="AH41">
        <v>3.016E-3</v>
      </c>
      <c r="AI41">
        <v>2.0209999999999998E-3</v>
      </c>
      <c r="AJ41">
        <v>5.4089999999999997E-3</v>
      </c>
      <c r="AK41">
        <v>1.218E-2</v>
      </c>
      <c r="AL41">
        <v>2.33E-3</v>
      </c>
      <c r="AM41">
        <v>6.6309999999999997E-3</v>
      </c>
      <c r="AN41">
        <v>3.0079999999999998E-3</v>
      </c>
      <c r="AO41">
        <v>1.0176350000000001</v>
      </c>
      <c r="AP41">
        <v>2.9214E-2</v>
      </c>
      <c r="AQ41">
        <v>1.4959999999999999E-3</v>
      </c>
      <c r="AR41">
        <v>1.3799999999999999E-3</v>
      </c>
      <c r="AS41">
        <v>4.0499999999999998E-3</v>
      </c>
      <c r="AT41">
        <v>3.359E-3</v>
      </c>
      <c r="AU41">
        <v>1.508E-3</v>
      </c>
      <c r="AV41">
        <v>3.2599999999999999E-3</v>
      </c>
      <c r="AW41">
        <v>2.6909999999999998E-3</v>
      </c>
      <c r="AX41">
        <v>2.1789999999999999E-3</v>
      </c>
      <c r="AY41">
        <v>1.3223E-2</v>
      </c>
      <c r="AZ41">
        <v>5.3298999999999999E-2</v>
      </c>
      <c r="BA41">
        <v>9.8209999999999999E-3</v>
      </c>
      <c r="BB41">
        <v>6.4409999999999997E-3</v>
      </c>
      <c r="BC41">
        <v>3.4280000000000001E-3</v>
      </c>
    </row>
    <row r="42" spans="1:55">
      <c r="A42" t="s">
        <v>42</v>
      </c>
      <c r="B42">
        <v>2.6499999999999999E-4</v>
      </c>
      <c r="C42">
        <v>1.121E-3</v>
      </c>
      <c r="D42">
        <v>1.8699999999999999E-3</v>
      </c>
      <c r="E42">
        <v>1.6230000000000001E-3</v>
      </c>
      <c r="F42">
        <v>8.6870000000000003E-3</v>
      </c>
      <c r="G42">
        <v>5.2599999999999999E-4</v>
      </c>
      <c r="H42">
        <v>3.7599999999999998E-4</v>
      </c>
      <c r="I42">
        <v>2.9100000000000003E-4</v>
      </c>
      <c r="J42">
        <v>3.1700000000000001E-4</v>
      </c>
      <c r="K42">
        <v>2.4800000000000001E-4</v>
      </c>
      <c r="L42">
        <v>1.503E-3</v>
      </c>
      <c r="M42">
        <v>0</v>
      </c>
      <c r="N42">
        <v>5.9900000000000003E-4</v>
      </c>
      <c r="O42">
        <v>1.17E-4</v>
      </c>
      <c r="P42">
        <v>8.1599999999999999E-4</v>
      </c>
      <c r="Q42">
        <v>2.2900000000000001E-4</v>
      </c>
      <c r="R42">
        <v>1.382E-3</v>
      </c>
      <c r="S42">
        <v>1.206E-3</v>
      </c>
      <c r="T42">
        <v>7.7200000000000001E-4</v>
      </c>
      <c r="U42">
        <v>1.238E-3</v>
      </c>
      <c r="V42">
        <v>9.0399999999999996E-4</v>
      </c>
      <c r="W42">
        <v>1.292E-3</v>
      </c>
      <c r="X42">
        <v>9.7999999999999997E-4</v>
      </c>
      <c r="Y42">
        <v>8.8599999999999996E-4</v>
      </c>
      <c r="Z42">
        <v>1.3159999999999999E-3</v>
      </c>
      <c r="AA42">
        <v>7.2599999999999997E-4</v>
      </c>
      <c r="AB42">
        <v>2.65E-3</v>
      </c>
      <c r="AC42">
        <v>1.5759999999999999E-3</v>
      </c>
      <c r="AD42">
        <v>1.5939999999999999E-3</v>
      </c>
      <c r="AE42">
        <v>6.2E-4</v>
      </c>
      <c r="AF42">
        <v>2.0799999999999999E-4</v>
      </c>
      <c r="AG42">
        <v>7.18E-4</v>
      </c>
      <c r="AH42">
        <v>1.6280000000000001E-3</v>
      </c>
      <c r="AI42">
        <v>1.601E-3</v>
      </c>
      <c r="AJ42">
        <v>2.1970000000000002E-3</v>
      </c>
      <c r="AK42">
        <v>4.5929999999999999E-3</v>
      </c>
      <c r="AL42">
        <v>3.1089999999999998E-3</v>
      </c>
      <c r="AM42">
        <v>4.5997000000000003E-2</v>
      </c>
      <c r="AN42">
        <v>1.5125E-2</v>
      </c>
      <c r="AO42">
        <v>2.5753999999999999E-2</v>
      </c>
      <c r="AP42">
        <v>1.0165059999999999</v>
      </c>
      <c r="AQ42">
        <v>5.1800000000000001E-4</v>
      </c>
      <c r="AR42">
        <v>7.85E-4</v>
      </c>
      <c r="AS42">
        <v>7.4600000000000003E-4</v>
      </c>
      <c r="AT42">
        <v>2.5099999999999998E-4</v>
      </c>
      <c r="AU42">
        <v>3.0699999999999998E-4</v>
      </c>
      <c r="AV42">
        <v>1.0809999999999999E-3</v>
      </c>
      <c r="AW42">
        <v>2.7950000000000002E-3</v>
      </c>
      <c r="AX42">
        <v>3.19E-4</v>
      </c>
      <c r="AY42">
        <v>1.918E-3</v>
      </c>
      <c r="AZ42">
        <v>1.8879999999999999E-3</v>
      </c>
      <c r="BA42">
        <v>6.87E-4</v>
      </c>
      <c r="BB42">
        <v>8.4199999999999998E-4</v>
      </c>
      <c r="BC42">
        <v>6.4800000000000003E-4</v>
      </c>
    </row>
    <row r="43" spans="1:55">
      <c r="A43" t="s">
        <v>43</v>
      </c>
      <c r="B43">
        <v>2.8499999999999999E-4</v>
      </c>
      <c r="C43">
        <v>6.2399999999999999E-4</v>
      </c>
      <c r="D43">
        <v>1.2333E-2</v>
      </c>
      <c r="E43">
        <v>1.3861E-2</v>
      </c>
      <c r="F43">
        <v>1.4958000000000001E-2</v>
      </c>
      <c r="G43">
        <v>1.758E-3</v>
      </c>
      <c r="H43">
        <v>7.2400000000000003E-4</v>
      </c>
      <c r="I43">
        <v>3.59E-4</v>
      </c>
      <c r="J43">
        <v>6.4599999999999998E-4</v>
      </c>
      <c r="K43">
        <v>4.4299999999999998E-4</v>
      </c>
      <c r="L43">
        <v>1.7099999999999999E-3</v>
      </c>
      <c r="M43">
        <v>0</v>
      </c>
      <c r="N43">
        <v>4.3800000000000002E-4</v>
      </c>
      <c r="O43">
        <v>1.56E-4</v>
      </c>
      <c r="P43">
        <v>2.709E-3</v>
      </c>
      <c r="Q43">
        <v>8.8999999999999995E-5</v>
      </c>
      <c r="R43">
        <v>7.5669999999999999E-3</v>
      </c>
      <c r="S43">
        <v>1.9040000000000001E-3</v>
      </c>
      <c r="T43">
        <v>9.6299999999999999E-4</v>
      </c>
      <c r="U43">
        <v>1.456E-3</v>
      </c>
      <c r="V43">
        <v>1.5479999999999999E-3</v>
      </c>
      <c r="W43">
        <v>4.1669999999999997E-3</v>
      </c>
      <c r="X43">
        <v>9.6299999999999999E-4</v>
      </c>
      <c r="Y43">
        <v>1.243E-3</v>
      </c>
      <c r="Z43">
        <v>1.2229999999999999E-3</v>
      </c>
      <c r="AA43">
        <v>7.7800000000000005E-4</v>
      </c>
      <c r="AB43">
        <v>8.1910000000000004E-3</v>
      </c>
      <c r="AC43">
        <v>1.036E-3</v>
      </c>
      <c r="AD43">
        <v>1.165E-3</v>
      </c>
      <c r="AE43">
        <v>8.9499999999999996E-4</v>
      </c>
      <c r="AF43">
        <v>3.19E-4</v>
      </c>
      <c r="AG43">
        <v>8.6899999999999998E-4</v>
      </c>
      <c r="AH43">
        <v>1.0950000000000001E-3</v>
      </c>
      <c r="AI43">
        <v>6.4219999999999998E-3</v>
      </c>
      <c r="AJ43">
        <v>2.9150000000000001E-3</v>
      </c>
      <c r="AK43">
        <v>3.8549999999999999E-3</v>
      </c>
      <c r="AL43">
        <v>2.104E-3</v>
      </c>
      <c r="AM43">
        <v>7.0790000000000002E-3</v>
      </c>
      <c r="AN43">
        <v>1.2924E-2</v>
      </c>
      <c r="AO43">
        <v>4.666E-3</v>
      </c>
      <c r="AP43">
        <v>7.5839999999999996E-3</v>
      </c>
      <c r="AQ43">
        <v>1.0017290000000001</v>
      </c>
      <c r="AR43">
        <v>1.273E-3</v>
      </c>
      <c r="AS43">
        <v>5.3819999999999996E-3</v>
      </c>
      <c r="AT43">
        <v>2.4970000000000001E-3</v>
      </c>
      <c r="AU43">
        <v>4.0765999999999997E-2</v>
      </c>
      <c r="AV43">
        <v>2.1086000000000001E-2</v>
      </c>
      <c r="AW43">
        <v>9.3951000000000007E-2</v>
      </c>
      <c r="AX43">
        <v>1.206E-3</v>
      </c>
      <c r="AY43">
        <v>1.2265E-2</v>
      </c>
      <c r="AZ43">
        <v>1.1000000000000001E-3</v>
      </c>
      <c r="BA43">
        <v>9.7499999999999996E-4</v>
      </c>
      <c r="BB43">
        <v>2.3649999999999999E-3</v>
      </c>
      <c r="BC43">
        <v>1.065E-3</v>
      </c>
    </row>
    <row r="44" spans="1:55">
      <c r="A44" t="s">
        <v>44</v>
      </c>
      <c r="B44">
        <v>1.0549999999999999E-3</v>
      </c>
      <c r="C44">
        <v>1.449E-3</v>
      </c>
      <c r="D44">
        <v>1.0971E-2</v>
      </c>
      <c r="E44">
        <v>5.5929999999999999E-3</v>
      </c>
      <c r="F44">
        <v>1.6584999999999999E-2</v>
      </c>
      <c r="G44">
        <v>1.2440000000000001E-3</v>
      </c>
      <c r="H44">
        <v>8.3100000000000003E-4</v>
      </c>
      <c r="I44">
        <v>6.2500000000000001E-4</v>
      </c>
      <c r="J44">
        <v>1.0610000000000001E-3</v>
      </c>
      <c r="K44">
        <v>1.072E-3</v>
      </c>
      <c r="L44">
        <v>2.124E-3</v>
      </c>
      <c r="M44">
        <v>0</v>
      </c>
      <c r="N44">
        <v>3.5860000000000002E-3</v>
      </c>
      <c r="O44">
        <v>3.1500000000000001E-4</v>
      </c>
      <c r="P44">
        <v>2.0590000000000001E-3</v>
      </c>
      <c r="Q44">
        <v>3.1500000000000001E-4</v>
      </c>
      <c r="R44">
        <v>2.2109999999999999E-3</v>
      </c>
      <c r="S44">
        <v>2.48E-3</v>
      </c>
      <c r="T44">
        <v>3.5490000000000001E-3</v>
      </c>
      <c r="U44">
        <v>3.421E-3</v>
      </c>
      <c r="V44">
        <v>1.9819999999999998E-3</v>
      </c>
      <c r="W44">
        <v>4.9569999999999996E-3</v>
      </c>
      <c r="X44">
        <v>3.032E-3</v>
      </c>
      <c r="Y44">
        <v>2.415E-3</v>
      </c>
      <c r="Z44">
        <v>1.835E-3</v>
      </c>
      <c r="AA44">
        <v>1.4660000000000001E-3</v>
      </c>
      <c r="AB44">
        <v>4.5079999999999999E-3</v>
      </c>
      <c r="AC44">
        <v>2.6849999999999999E-3</v>
      </c>
      <c r="AD44">
        <v>7.7219999999999997E-3</v>
      </c>
      <c r="AE44">
        <v>1.725E-3</v>
      </c>
      <c r="AF44">
        <v>5.9000000000000003E-4</v>
      </c>
      <c r="AG44">
        <v>1.748E-3</v>
      </c>
      <c r="AH44">
        <v>8.1759999999999992E-3</v>
      </c>
      <c r="AI44">
        <v>3.0990000000000002E-3</v>
      </c>
      <c r="AJ44">
        <v>8.6429999999999996E-3</v>
      </c>
      <c r="AK44">
        <v>4.5560000000000002E-3</v>
      </c>
      <c r="AL44">
        <v>1.5790000000000001E-3</v>
      </c>
      <c r="AM44">
        <v>5.0870000000000004E-3</v>
      </c>
      <c r="AN44">
        <v>6.097E-3</v>
      </c>
      <c r="AO44">
        <v>2.5159999999999998E-2</v>
      </c>
      <c r="AP44">
        <v>3.9179999999999996E-3</v>
      </c>
      <c r="AQ44">
        <v>2.0119999999999999E-3</v>
      </c>
      <c r="AR44">
        <v>1.001833</v>
      </c>
      <c r="AS44">
        <v>2.2959999999999999E-3</v>
      </c>
      <c r="AT44">
        <v>1.2329999999999999E-3</v>
      </c>
      <c r="AU44">
        <v>1.152E-3</v>
      </c>
      <c r="AV44">
        <v>2.5539999999999998E-3</v>
      </c>
      <c r="AW44">
        <v>2.807E-3</v>
      </c>
      <c r="AX44">
        <v>1.222E-3</v>
      </c>
      <c r="AY44">
        <v>4.7959999999999999E-3</v>
      </c>
      <c r="AZ44">
        <v>1.1821E-2</v>
      </c>
      <c r="BA44">
        <v>1.807E-3</v>
      </c>
      <c r="BB44">
        <v>3.9199999999999999E-3</v>
      </c>
      <c r="BC44">
        <v>3.6489999999999999E-3</v>
      </c>
    </row>
    <row r="45" spans="1:55">
      <c r="A45" t="s">
        <v>45</v>
      </c>
      <c r="B45">
        <v>2.7039999999999998E-3</v>
      </c>
      <c r="C45">
        <v>4.1219999999999998E-3</v>
      </c>
      <c r="D45">
        <v>1.9835999999999999E-2</v>
      </c>
      <c r="E45">
        <v>1.4789E-2</v>
      </c>
      <c r="F45">
        <v>4.3889999999999997E-3</v>
      </c>
      <c r="G45">
        <v>7.1939999999999999E-3</v>
      </c>
      <c r="H45">
        <v>4.4339999999999996E-3</v>
      </c>
      <c r="I45">
        <v>3.9110000000000004E-3</v>
      </c>
      <c r="J45">
        <v>1.622E-3</v>
      </c>
      <c r="K45">
        <v>2.9120000000000001E-3</v>
      </c>
      <c r="L45">
        <v>9.1319999999999995E-3</v>
      </c>
      <c r="M45">
        <v>0</v>
      </c>
      <c r="N45">
        <v>8.2039999999999995E-3</v>
      </c>
      <c r="O45">
        <v>2.5999999999999999E-3</v>
      </c>
      <c r="P45">
        <v>1.3853000000000001E-2</v>
      </c>
      <c r="Q45">
        <v>1.057E-3</v>
      </c>
      <c r="R45">
        <v>3.8710000000000001E-2</v>
      </c>
      <c r="S45">
        <v>5.1832999999999997E-2</v>
      </c>
      <c r="T45">
        <v>1.6402E-2</v>
      </c>
      <c r="U45">
        <v>3.1493E-2</v>
      </c>
      <c r="V45">
        <v>1.9647000000000001E-2</v>
      </c>
      <c r="W45">
        <v>1.7238E-2</v>
      </c>
      <c r="X45">
        <v>1.2383E-2</v>
      </c>
      <c r="Y45">
        <v>8.9119999999999998E-3</v>
      </c>
      <c r="Z45">
        <v>1.5469E-2</v>
      </c>
      <c r="AA45">
        <v>8.208E-3</v>
      </c>
      <c r="AB45">
        <v>2.8017E-2</v>
      </c>
      <c r="AC45">
        <v>6.3042000000000001E-2</v>
      </c>
      <c r="AD45">
        <v>3.5892E-2</v>
      </c>
      <c r="AE45">
        <v>9.2750000000000003E-3</v>
      </c>
      <c r="AF45">
        <v>2.5860000000000002E-3</v>
      </c>
      <c r="AG45">
        <v>1.1338000000000001E-2</v>
      </c>
      <c r="AH45">
        <v>1.627E-2</v>
      </c>
      <c r="AI45">
        <v>2.2589999999999999E-2</v>
      </c>
      <c r="AJ45">
        <v>2.9876E-2</v>
      </c>
      <c r="AK45">
        <v>1.9553999999999998E-2</v>
      </c>
      <c r="AL45">
        <v>9.8069999999999997E-3</v>
      </c>
      <c r="AM45">
        <v>3.0166999999999999E-2</v>
      </c>
      <c r="AN45">
        <v>5.8619999999999998E-2</v>
      </c>
      <c r="AO45">
        <v>3.3954999999999999E-2</v>
      </c>
      <c r="AP45">
        <v>5.0208000000000003E-2</v>
      </c>
      <c r="AQ45">
        <v>1.5883000000000001E-2</v>
      </c>
      <c r="AR45">
        <v>1.1313999999999999E-2</v>
      </c>
      <c r="AS45">
        <v>1.155624</v>
      </c>
      <c r="AT45">
        <v>2.7063E-2</v>
      </c>
      <c r="AU45">
        <v>6.4399999999999999E-2</v>
      </c>
      <c r="AV45">
        <v>2.8840999999999999E-2</v>
      </c>
      <c r="AW45">
        <v>3.6665999999999997E-2</v>
      </c>
      <c r="AX45">
        <v>1.6275999999999999E-2</v>
      </c>
      <c r="AY45">
        <v>8.4749000000000005E-2</v>
      </c>
      <c r="AZ45">
        <v>4.3401000000000002E-2</v>
      </c>
      <c r="BA45">
        <v>5.0761000000000001E-2</v>
      </c>
      <c r="BB45">
        <v>2.3574000000000001E-2</v>
      </c>
      <c r="BC45">
        <v>2.0336E-2</v>
      </c>
    </row>
    <row r="46" spans="1:55">
      <c r="A46" t="s">
        <v>46</v>
      </c>
      <c r="B46">
        <v>2.5270000000000002E-3</v>
      </c>
      <c r="C46">
        <v>4.8640000000000003E-3</v>
      </c>
      <c r="D46">
        <v>6.2639999999999996E-3</v>
      </c>
      <c r="E46">
        <v>2.3960000000000001E-3</v>
      </c>
      <c r="F46">
        <v>1.2404999999999999E-2</v>
      </c>
      <c r="G46">
        <v>1.5993E-2</v>
      </c>
      <c r="H46">
        <v>2.941E-3</v>
      </c>
      <c r="I46">
        <v>2.3310000000000002E-3</v>
      </c>
      <c r="J46">
        <v>3.5309999999999999E-3</v>
      </c>
      <c r="K46">
        <v>3.2799999999999999E-3</v>
      </c>
      <c r="L46">
        <v>1.4095999999999999E-2</v>
      </c>
      <c r="M46">
        <v>0</v>
      </c>
      <c r="N46">
        <v>1.1114000000000001E-2</v>
      </c>
      <c r="O46">
        <v>1.0859999999999999E-3</v>
      </c>
      <c r="P46">
        <v>6.3359999999999996E-3</v>
      </c>
      <c r="Q46">
        <v>5.0699999999999996E-4</v>
      </c>
      <c r="R46">
        <v>1.5675000000000001E-2</v>
      </c>
      <c r="S46">
        <v>1.0600999999999999E-2</v>
      </c>
      <c r="T46">
        <v>6.7759999999999999E-3</v>
      </c>
      <c r="U46">
        <v>2.3189999999999999E-2</v>
      </c>
      <c r="V46">
        <v>7.077E-3</v>
      </c>
      <c r="W46">
        <v>1.0315E-2</v>
      </c>
      <c r="X46">
        <v>8.8109999999999994E-3</v>
      </c>
      <c r="Y46">
        <v>7.0080000000000003E-3</v>
      </c>
      <c r="Z46">
        <v>5.901E-3</v>
      </c>
      <c r="AA46">
        <v>5.7670000000000004E-3</v>
      </c>
      <c r="AB46">
        <v>9.2680000000000002E-3</v>
      </c>
      <c r="AC46">
        <v>9.1669999999999998E-3</v>
      </c>
      <c r="AD46">
        <v>2.2790999999999999E-2</v>
      </c>
      <c r="AE46">
        <v>1.6056999999999998E-2</v>
      </c>
      <c r="AF46">
        <v>4.1920000000000004E-3</v>
      </c>
      <c r="AG46">
        <v>4.1669999999999997E-3</v>
      </c>
      <c r="AH46">
        <v>7.4330000000000004E-3</v>
      </c>
      <c r="AI46">
        <v>7.6730000000000001E-3</v>
      </c>
      <c r="AJ46">
        <v>2.1606E-2</v>
      </c>
      <c r="AK46">
        <v>7.9850000000000008E-3</v>
      </c>
      <c r="AL46">
        <v>5.6410000000000002E-3</v>
      </c>
      <c r="AM46">
        <v>1.898E-2</v>
      </c>
      <c r="AN46">
        <v>7.6480000000000003E-3</v>
      </c>
      <c r="AO46">
        <v>4.8500000000000001E-3</v>
      </c>
      <c r="AP46">
        <v>6.1919999999999996E-3</v>
      </c>
      <c r="AQ46">
        <v>8.5220000000000001E-3</v>
      </c>
      <c r="AR46">
        <v>4.797E-3</v>
      </c>
      <c r="AS46">
        <v>7.7819999999999999E-3</v>
      </c>
      <c r="AT46">
        <v>1.0071490000000001</v>
      </c>
      <c r="AU46">
        <v>1.9768000000000001E-2</v>
      </c>
      <c r="AV46">
        <v>8.5716000000000001E-2</v>
      </c>
      <c r="AW46">
        <v>3.4566E-2</v>
      </c>
      <c r="AX46">
        <v>1.3077999999999999E-2</v>
      </c>
      <c r="AY46">
        <v>2.0219000000000001E-2</v>
      </c>
      <c r="AZ46">
        <v>3.3519999999999999E-3</v>
      </c>
      <c r="BA46">
        <v>4.3800000000000002E-3</v>
      </c>
      <c r="BB46">
        <v>6.1469999999999997E-3</v>
      </c>
      <c r="BC46">
        <v>7.574E-3</v>
      </c>
    </row>
    <row r="47" spans="1:55">
      <c r="A47" t="s">
        <v>47</v>
      </c>
      <c r="B47">
        <v>5.5400000000000002E-4</v>
      </c>
      <c r="C47">
        <v>1.026E-3</v>
      </c>
      <c r="D47">
        <v>8.2100000000000001E-4</v>
      </c>
      <c r="E47">
        <v>4.3100000000000001E-4</v>
      </c>
      <c r="F47">
        <v>1.168E-3</v>
      </c>
      <c r="G47">
        <v>5.1900000000000004E-4</v>
      </c>
      <c r="H47">
        <v>2.6699999999999998E-4</v>
      </c>
      <c r="I47">
        <v>6.8599999999999998E-4</v>
      </c>
      <c r="J47">
        <v>7.8799999999999996E-4</v>
      </c>
      <c r="K47">
        <v>3.6449999999999998E-3</v>
      </c>
      <c r="L47">
        <v>2.4260000000000002E-3</v>
      </c>
      <c r="M47">
        <v>0</v>
      </c>
      <c r="N47">
        <v>1.8810000000000001E-3</v>
      </c>
      <c r="O47">
        <v>1.0039999999999999E-3</v>
      </c>
      <c r="P47">
        <v>6.5799999999999995E-4</v>
      </c>
      <c r="Q47">
        <v>8.7999999999999998E-5</v>
      </c>
      <c r="R47">
        <v>9.7499999999999996E-4</v>
      </c>
      <c r="S47">
        <v>3.1979999999999999E-3</v>
      </c>
      <c r="T47">
        <v>2.294E-3</v>
      </c>
      <c r="U47">
        <v>1.7329999999999999E-3</v>
      </c>
      <c r="V47">
        <v>1.9220000000000001E-3</v>
      </c>
      <c r="W47">
        <v>1.1950000000000001E-3</v>
      </c>
      <c r="X47">
        <v>1.1640000000000001E-3</v>
      </c>
      <c r="Y47">
        <v>1.059E-3</v>
      </c>
      <c r="Z47">
        <v>6.87E-4</v>
      </c>
      <c r="AA47">
        <v>6.4800000000000003E-4</v>
      </c>
      <c r="AB47">
        <v>3.6459999999999999E-3</v>
      </c>
      <c r="AC47">
        <v>7.5699999999999997E-4</v>
      </c>
      <c r="AD47">
        <v>1.8010000000000001E-3</v>
      </c>
      <c r="AE47">
        <v>2.7599999999999999E-3</v>
      </c>
      <c r="AF47">
        <v>9.7400000000000004E-4</v>
      </c>
      <c r="AG47">
        <v>6.8199999999999999E-4</v>
      </c>
      <c r="AH47">
        <v>1.918E-3</v>
      </c>
      <c r="AI47">
        <v>6.1450000000000003E-3</v>
      </c>
      <c r="AJ47">
        <v>2.9880000000000002E-3</v>
      </c>
      <c r="AK47">
        <v>1.364E-3</v>
      </c>
      <c r="AL47">
        <v>1.0300000000000001E-3</v>
      </c>
      <c r="AM47">
        <v>9.9869999999999994E-3</v>
      </c>
      <c r="AN47">
        <v>1.4673E-2</v>
      </c>
      <c r="AO47">
        <v>5.6470000000000001E-3</v>
      </c>
      <c r="AP47">
        <v>9.3799999999999994E-3</v>
      </c>
      <c r="AQ47">
        <v>1.2949999999999999E-3</v>
      </c>
      <c r="AR47">
        <v>1.036E-3</v>
      </c>
      <c r="AS47">
        <v>2.4320000000000001E-3</v>
      </c>
      <c r="AT47">
        <v>6.5719999999999997E-3</v>
      </c>
      <c r="AU47">
        <v>1.0113559999999999</v>
      </c>
      <c r="AV47">
        <v>1.3468000000000001E-2</v>
      </c>
      <c r="AW47">
        <v>2.5378000000000001E-2</v>
      </c>
      <c r="AX47">
        <v>2.0639999999999999E-3</v>
      </c>
      <c r="AY47">
        <v>5.496E-3</v>
      </c>
      <c r="AZ47">
        <v>2.6340000000000001E-3</v>
      </c>
      <c r="BA47">
        <v>9.990000000000001E-4</v>
      </c>
      <c r="BB47">
        <v>3.068E-3</v>
      </c>
      <c r="BC47">
        <v>9.5600000000000004E-4</v>
      </c>
    </row>
    <row r="48" spans="1:55">
      <c r="A48" t="s">
        <v>48</v>
      </c>
      <c r="B48">
        <v>1.805E-3</v>
      </c>
      <c r="C48">
        <v>5.9690000000000003E-3</v>
      </c>
      <c r="D48">
        <v>1.3359999999999999E-3</v>
      </c>
      <c r="E48">
        <v>5.1400000000000003E-4</v>
      </c>
      <c r="F48">
        <v>2.2920000000000002E-3</v>
      </c>
      <c r="G48">
        <v>1.2700000000000001E-3</v>
      </c>
      <c r="H48">
        <v>5.9000000000000003E-4</v>
      </c>
      <c r="I48">
        <v>8.61E-4</v>
      </c>
      <c r="J48">
        <v>5.4799999999999998E-4</v>
      </c>
      <c r="K48">
        <v>7.1500000000000003E-4</v>
      </c>
      <c r="L48">
        <v>2.147E-3</v>
      </c>
      <c r="M48">
        <v>0</v>
      </c>
      <c r="N48">
        <v>6.6E-4</v>
      </c>
      <c r="O48">
        <v>2.1100000000000001E-4</v>
      </c>
      <c r="P48">
        <v>1.2470000000000001E-3</v>
      </c>
      <c r="Q48">
        <v>1.6699999999999999E-4</v>
      </c>
      <c r="R48">
        <v>5.2579999999999997E-3</v>
      </c>
      <c r="S48">
        <v>6.6600000000000001E-3</v>
      </c>
      <c r="T48">
        <v>2.137E-3</v>
      </c>
      <c r="U48">
        <v>6.4559999999999999E-3</v>
      </c>
      <c r="V48">
        <v>1.9949999999999998E-3</v>
      </c>
      <c r="W48">
        <v>2.0140000000000002E-3</v>
      </c>
      <c r="X48">
        <v>1.351E-3</v>
      </c>
      <c r="Y48">
        <v>1.168E-3</v>
      </c>
      <c r="Z48">
        <v>2.539E-3</v>
      </c>
      <c r="AA48">
        <v>1.354E-3</v>
      </c>
      <c r="AB48">
        <v>4.0740000000000004E-3</v>
      </c>
      <c r="AC48">
        <v>1.111E-3</v>
      </c>
      <c r="AD48">
        <v>4.3870000000000003E-3</v>
      </c>
      <c r="AE48">
        <v>6.2839999999999997E-3</v>
      </c>
      <c r="AF48">
        <v>3.3100000000000002E-4</v>
      </c>
      <c r="AG48">
        <v>1.4139999999999999E-3</v>
      </c>
      <c r="AH48">
        <v>1.5889999999999999E-3</v>
      </c>
      <c r="AI48">
        <v>8.9239999999999996E-3</v>
      </c>
      <c r="AJ48">
        <v>6.4209999999999996E-3</v>
      </c>
      <c r="AK48">
        <v>1.2719999999999999E-3</v>
      </c>
      <c r="AL48">
        <v>2.4099999999999998E-3</v>
      </c>
      <c r="AM48">
        <v>3.9880000000000002E-3</v>
      </c>
      <c r="AN48">
        <v>1.4610000000000001E-3</v>
      </c>
      <c r="AO48">
        <v>1.9689999999999998E-3</v>
      </c>
      <c r="AP48">
        <v>3.5400000000000002E-3</v>
      </c>
      <c r="AQ48">
        <v>2.2179999999999999E-3</v>
      </c>
      <c r="AR48">
        <v>1.6659999999999999E-3</v>
      </c>
      <c r="AS48">
        <v>2.8830000000000001E-3</v>
      </c>
      <c r="AT48">
        <v>1.1180000000000001E-3</v>
      </c>
      <c r="AU48">
        <v>3.8847E-2</v>
      </c>
      <c r="AV48">
        <v>1.0673729999999999</v>
      </c>
      <c r="AW48">
        <v>2.5155E-2</v>
      </c>
      <c r="AX48">
        <v>4.1399999999999996E-3</v>
      </c>
      <c r="AY48">
        <v>1.1925E-2</v>
      </c>
      <c r="AZ48">
        <v>2.1740000000000002E-3</v>
      </c>
      <c r="BA48">
        <v>2.5339999999999998E-3</v>
      </c>
      <c r="BB48">
        <v>4.1279999999999997E-3</v>
      </c>
      <c r="BC48">
        <v>3.4120000000000001E-3</v>
      </c>
    </row>
    <row r="49" spans="1:55">
      <c r="A49" t="s">
        <v>49</v>
      </c>
      <c r="B49">
        <v>5.0000000000000004E-6</v>
      </c>
      <c r="C49">
        <v>1.9999999999999999E-6</v>
      </c>
      <c r="D49">
        <v>1.2799999999999999E-4</v>
      </c>
      <c r="E49">
        <v>2.7999999999999998E-4</v>
      </c>
      <c r="F49">
        <v>5.3000000000000001E-5</v>
      </c>
      <c r="G49">
        <v>6.9999999999999999E-6</v>
      </c>
      <c r="H49">
        <v>1.0000000000000001E-5</v>
      </c>
      <c r="I49">
        <v>9.9999999999999995E-7</v>
      </c>
      <c r="J49">
        <v>3.0000000000000001E-6</v>
      </c>
      <c r="K49">
        <v>1.9999999999999999E-6</v>
      </c>
      <c r="L49">
        <v>6.0000000000000002E-6</v>
      </c>
      <c r="M49">
        <v>0</v>
      </c>
      <c r="N49">
        <v>1.9999999999999999E-6</v>
      </c>
      <c r="O49">
        <v>9.9999999999999995E-7</v>
      </c>
      <c r="P49">
        <v>4.3999999999999999E-5</v>
      </c>
      <c r="Q49">
        <v>0</v>
      </c>
      <c r="R49">
        <v>2.5999999999999998E-5</v>
      </c>
      <c r="S49">
        <v>1.2E-5</v>
      </c>
      <c r="T49">
        <v>3.9999999999999998E-6</v>
      </c>
      <c r="U49">
        <v>5.0000000000000004E-6</v>
      </c>
      <c r="V49">
        <v>6.0000000000000002E-6</v>
      </c>
      <c r="W49">
        <v>3.8000000000000002E-5</v>
      </c>
      <c r="X49">
        <v>3.0000000000000001E-6</v>
      </c>
      <c r="Y49">
        <v>3.9999999999999998E-6</v>
      </c>
      <c r="Z49">
        <v>3.9999999999999998E-6</v>
      </c>
      <c r="AA49">
        <v>3.0000000000000001E-6</v>
      </c>
      <c r="AB49">
        <v>2.6999999999999999E-5</v>
      </c>
      <c r="AC49">
        <v>3.9999999999999998E-6</v>
      </c>
      <c r="AD49">
        <v>3.9999999999999998E-6</v>
      </c>
      <c r="AE49">
        <v>3.0000000000000001E-6</v>
      </c>
      <c r="AF49">
        <v>9.9999999999999995E-7</v>
      </c>
      <c r="AG49">
        <v>3.0000000000000001E-6</v>
      </c>
      <c r="AH49">
        <v>3.9999999999999998E-6</v>
      </c>
      <c r="AI49">
        <v>2.0999999999999999E-5</v>
      </c>
      <c r="AJ49">
        <v>1.0000000000000001E-5</v>
      </c>
      <c r="AK49">
        <v>1.2999999999999999E-5</v>
      </c>
      <c r="AL49">
        <v>6.9999999999999999E-6</v>
      </c>
      <c r="AM49">
        <v>2.5999999999999998E-5</v>
      </c>
      <c r="AN49">
        <v>4.3000000000000002E-5</v>
      </c>
      <c r="AO49">
        <v>1.7E-5</v>
      </c>
      <c r="AP49">
        <v>2.5000000000000001E-5</v>
      </c>
      <c r="AQ49">
        <v>1.2E-5</v>
      </c>
      <c r="AR49">
        <v>1.5E-5</v>
      </c>
      <c r="AS49">
        <v>1.8E-5</v>
      </c>
      <c r="AT49">
        <v>7.9999999999999996E-6</v>
      </c>
      <c r="AU49">
        <v>1.3300000000000001E-4</v>
      </c>
      <c r="AV49">
        <v>6.8999999999999997E-5</v>
      </c>
      <c r="AW49">
        <v>1.0003059999999999</v>
      </c>
      <c r="AX49">
        <v>3.9999999999999998E-6</v>
      </c>
      <c r="AY49">
        <v>4.0000000000000003E-5</v>
      </c>
      <c r="AZ49">
        <v>5.0000000000000004E-6</v>
      </c>
      <c r="BA49">
        <v>5.0000000000000004E-6</v>
      </c>
      <c r="BB49">
        <v>1.2E-5</v>
      </c>
      <c r="BC49">
        <v>5.0000000000000004E-6</v>
      </c>
    </row>
    <row r="50" spans="1:55">
      <c r="A50" t="s">
        <v>50</v>
      </c>
      <c r="B50">
        <v>7.8700000000000005E-4</v>
      </c>
      <c r="C50">
        <v>1.034E-3</v>
      </c>
      <c r="D50">
        <v>1.3079999999999999E-3</v>
      </c>
      <c r="E50">
        <v>7.9299999999999998E-4</v>
      </c>
      <c r="F50">
        <v>1.0460000000000001E-3</v>
      </c>
      <c r="G50">
        <v>1.99E-3</v>
      </c>
      <c r="H50">
        <v>1.134E-3</v>
      </c>
      <c r="I50">
        <v>5.2099999999999998E-4</v>
      </c>
      <c r="J50">
        <v>4.0999999999999999E-4</v>
      </c>
      <c r="K50">
        <v>8.9300000000000002E-4</v>
      </c>
      <c r="L50">
        <v>8.2470000000000009E-3</v>
      </c>
      <c r="M50">
        <v>0</v>
      </c>
      <c r="N50">
        <v>2.689E-3</v>
      </c>
      <c r="O50">
        <v>5.5800000000000001E-4</v>
      </c>
      <c r="P50">
        <v>2.3969999999999998E-3</v>
      </c>
      <c r="Q50">
        <v>5.1599999999999997E-4</v>
      </c>
      <c r="R50">
        <v>5.0470000000000003E-3</v>
      </c>
      <c r="S50">
        <v>6.4669999999999997E-3</v>
      </c>
      <c r="T50">
        <v>3.307E-3</v>
      </c>
      <c r="U50">
        <v>6.1970000000000003E-3</v>
      </c>
      <c r="V50">
        <v>2.4039999999999999E-3</v>
      </c>
      <c r="W50">
        <v>4.0130000000000001E-3</v>
      </c>
      <c r="X50">
        <v>4.6969999999999998E-3</v>
      </c>
      <c r="Y50">
        <v>3.3440000000000002E-3</v>
      </c>
      <c r="Z50">
        <v>5.2110000000000004E-3</v>
      </c>
      <c r="AA50">
        <v>2.1580000000000002E-3</v>
      </c>
      <c r="AB50">
        <v>7.7609999999999997E-3</v>
      </c>
      <c r="AC50">
        <v>7.7650000000000002E-3</v>
      </c>
      <c r="AD50">
        <v>4.6769999999999997E-3</v>
      </c>
      <c r="AE50">
        <v>2.797E-3</v>
      </c>
      <c r="AF50">
        <v>8.1499999999999997E-4</v>
      </c>
      <c r="AG50">
        <v>5.8979999999999996E-3</v>
      </c>
      <c r="AH50">
        <v>4.333E-3</v>
      </c>
      <c r="AI50">
        <v>1.9004E-2</v>
      </c>
      <c r="AJ50">
        <v>2.1267000000000001E-2</v>
      </c>
      <c r="AK50">
        <v>1.4078E-2</v>
      </c>
      <c r="AL50">
        <v>4.1599999999999996E-3</v>
      </c>
      <c r="AM50">
        <v>5.3629999999999997E-3</v>
      </c>
      <c r="AN50">
        <v>9.2849999999999999E-3</v>
      </c>
      <c r="AO50">
        <v>5.3639999999999998E-3</v>
      </c>
      <c r="AP50">
        <v>6.9420000000000003E-3</v>
      </c>
      <c r="AQ50">
        <v>3.1389999999999999E-3</v>
      </c>
      <c r="AR50">
        <v>3.1210000000000001E-3</v>
      </c>
      <c r="AS50">
        <v>8.6840000000000007E-3</v>
      </c>
      <c r="AT50">
        <v>6.0749999999999997E-3</v>
      </c>
      <c r="AU50">
        <v>8.9639999999999997E-3</v>
      </c>
      <c r="AV50">
        <v>5.6049999999999997E-3</v>
      </c>
      <c r="AW50">
        <v>8.2699999999999996E-3</v>
      </c>
      <c r="AX50">
        <v>1.002643</v>
      </c>
      <c r="AY50">
        <v>1.2489999999999999E-2</v>
      </c>
      <c r="AZ50">
        <v>3.692E-3</v>
      </c>
      <c r="BA50">
        <v>1.1219E-2</v>
      </c>
      <c r="BB50">
        <v>6.9459999999999999E-3</v>
      </c>
      <c r="BC50">
        <v>1.3217E-2</v>
      </c>
    </row>
    <row r="51" spans="1:55">
      <c r="A51" t="s">
        <v>51</v>
      </c>
      <c r="B51">
        <v>4.3199999999999998E-4</v>
      </c>
      <c r="C51">
        <v>6.11E-4</v>
      </c>
      <c r="D51">
        <v>7.2740000000000001E-3</v>
      </c>
      <c r="E51">
        <v>1.4319999999999999E-3</v>
      </c>
      <c r="F51">
        <v>3.19E-4</v>
      </c>
      <c r="G51">
        <v>2.738E-3</v>
      </c>
      <c r="H51">
        <v>2.6499999999999999E-4</v>
      </c>
      <c r="I51">
        <v>7.9500000000000003E-4</v>
      </c>
      <c r="J51">
        <v>2.9700000000000001E-4</v>
      </c>
      <c r="K51">
        <v>1.23E-3</v>
      </c>
      <c r="L51">
        <v>1.23E-3</v>
      </c>
      <c r="M51">
        <v>0</v>
      </c>
      <c r="N51">
        <v>7.5000000000000002E-4</v>
      </c>
      <c r="O51">
        <v>4.6000000000000001E-4</v>
      </c>
      <c r="P51">
        <v>6.4599999999999998E-4</v>
      </c>
      <c r="Q51">
        <v>4.3999999999999999E-5</v>
      </c>
      <c r="R51">
        <v>1.067E-3</v>
      </c>
      <c r="S51">
        <v>1.2489999999999999E-3</v>
      </c>
      <c r="T51">
        <v>8.25E-4</v>
      </c>
      <c r="U51">
        <v>1.2999999999999999E-3</v>
      </c>
      <c r="V51">
        <v>6.3400000000000001E-4</v>
      </c>
      <c r="W51">
        <v>2.5249999999999999E-3</v>
      </c>
      <c r="X51">
        <v>1.07E-3</v>
      </c>
      <c r="Y51">
        <v>5.7499999999999999E-4</v>
      </c>
      <c r="Z51">
        <v>7.8600000000000002E-4</v>
      </c>
      <c r="AA51">
        <v>3.5799999999999997E-4</v>
      </c>
      <c r="AB51">
        <v>1.668E-3</v>
      </c>
      <c r="AC51">
        <v>1.261E-3</v>
      </c>
      <c r="AD51">
        <v>8.8199999999999997E-4</v>
      </c>
      <c r="AE51">
        <v>3.4299999999999999E-3</v>
      </c>
      <c r="AF51">
        <v>6.5700000000000003E-4</v>
      </c>
      <c r="AG51">
        <v>1.062E-3</v>
      </c>
      <c r="AH51">
        <v>1.057E-3</v>
      </c>
      <c r="AI51">
        <v>1.828E-3</v>
      </c>
      <c r="AJ51">
        <v>1.3110000000000001E-3</v>
      </c>
      <c r="AK51">
        <v>2.2720000000000001E-3</v>
      </c>
      <c r="AL51">
        <v>2.1350000000000002E-3</v>
      </c>
      <c r="AM51">
        <v>3.849E-3</v>
      </c>
      <c r="AN51">
        <v>2.467E-3</v>
      </c>
      <c r="AO51">
        <v>4.15E-3</v>
      </c>
      <c r="AP51">
        <v>2.6180000000000001E-3</v>
      </c>
      <c r="AQ51">
        <v>8.3299999999999997E-4</v>
      </c>
      <c r="AR51">
        <v>5.7200000000000003E-4</v>
      </c>
      <c r="AS51">
        <v>1.4530000000000001E-3</v>
      </c>
      <c r="AT51">
        <v>3.5590000000000001E-3</v>
      </c>
      <c r="AU51">
        <v>3.264E-3</v>
      </c>
      <c r="AV51">
        <v>2.4919999999999999E-3</v>
      </c>
      <c r="AW51">
        <v>2.0100000000000001E-3</v>
      </c>
      <c r="AX51">
        <v>1.1069999999999999E-3</v>
      </c>
      <c r="AY51">
        <v>1.0029380000000001</v>
      </c>
      <c r="AZ51">
        <v>3.1870000000000002E-3</v>
      </c>
      <c r="BA51">
        <v>1.9070000000000001E-3</v>
      </c>
      <c r="BB51">
        <v>7.0899999999999999E-4</v>
      </c>
      <c r="BC51">
        <v>8.0500000000000005E-4</v>
      </c>
    </row>
    <row r="52" spans="1:55">
      <c r="A52" t="s">
        <v>52</v>
      </c>
      <c r="B52">
        <v>4.3899999999999999E-4</v>
      </c>
      <c r="C52">
        <v>6.0899999999999995E-4</v>
      </c>
      <c r="D52">
        <v>1.103E-3</v>
      </c>
      <c r="E52">
        <v>6.7199999999999996E-4</v>
      </c>
      <c r="F52">
        <v>1.2409999999999999E-3</v>
      </c>
      <c r="G52">
        <v>6.78E-4</v>
      </c>
      <c r="H52">
        <v>3.2600000000000001E-4</v>
      </c>
      <c r="I52">
        <v>3.97E-4</v>
      </c>
      <c r="J52">
        <v>1.5699999999999999E-4</v>
      </c>
      <c r="K52">
        <v>3.6280000000000001E-3</v>
      </c>
      <c r="L52">
        <v>7.4679999999999998E-3</v>
      </c>
      <c r="M52">
        <v>0</v>
      </c>
      <c r="N52">
        <v>8.7299999999999997E-4</v>
      </c>
      <c r="O52">
        <v>1.3849999999999999E-3</v>
      </c>
      <c r="P52">
        <v>9.5399999999999999E-4</v>
      </c>
      <c r="Q52">
        <v>5.8999999999999998E-5</v>
      </c>
      <c r="R52">
        <v>4.8380000000000003E-3</v>
      </c>
      <c r="S52">
        <v>2.0170000000000001E-3</v>
      </c>
      <c r="T52">
        <v>8.2899999999999998E-4</v>
      </c>
      <c r="U52">
        <v>6.234E-3</v>
      </c>
      <c r="V52">
        <v>3.0490000000000001E-3</v>
      </c>
      <c r="W52">
        <v>3.7469999999999999E-3</v>
      </c>
      <c r="X52">
        <v>2.7079999999999999E-3</v>
      </c>
      <c r="Y52">
        <v>1.3439999999999999E-3</v>
      </c>
      <c r="Z52">
        <v>1.0280000000000001E-3</v>
      </c>
      <c r="AA52">
        <v>3.77E-4</v>
      </c>
      <c r="AB52">
        <v>7.8189999999999996E-3</v>
      </c>
      <c r="AC52">
        <v>2.1810000000000002E-3</v>
      </c>
      <c r="AD52">
        <v>1.5319999999999999E-3</v>
      </c>
      <c r="AE52">
        <v>5.28E-3</v>
      </c>
      <c r="AF52">
        <v>1.201E-3</v>
      </c>
      <c r="AG52">
        <v>2.3654999999999999E-2</v>
      </c>
      <c r="AH52">
        <v>5.496E-3</v>
      </c>
      <c r="AI52">
        <v>1.302E-3</v>
      </c>
      <c r="AJ52">
        <v>1.688E-3</v>
      </c>
      <c r="AK52">
        <v>0.19950599999999999</v>
      </c>
      <c r="AL52">
        <v>2.5110000000000002E-3</v>
      </c>
      <c r="AM52">
        <v>7.2249999999999997E-3</v>
      </c>
      <c r="AN52">
        <v>4.3740000000000003E-3</v>
      </c>
      <c r="AO52">
        <v>3.7780000000000001E-3</v>
      </c>
      <c r="AP52">
        <v>2.4499999999999999E-3</v>
      </c>
      <c r="AQ52">
        <v>2.5869999999999999E-3</v>
      </c>
      <c r="AR52">
        <v>3.1419999999999998E-3</v>
      </c>
      <c r="AS52">
        <v>2.9180000000000001E-2</v>
      </c>
      <c r="AT52">
        <v>3.5590000000000001E-3</v>
      </c>
      <c r="AU52">
        <v>7.6969999999999998E-3</v>
      </c>
      <c r="AV52">
        <v>5.1989999999999996E-3</v>
      </c>
      <c r="AW52">
        <v>2.5270000000000002E-3</v>
      </c>
      <c r="AX52">
        <v>9.9909999999999999E-3</v>
      </c>
      <c r="AY52">
        <v>1.0414E-2</v>
      </c>
      <c r="AZ52">
        <v>1.0051859999999999</v>
      </c>
      <c r="BA52">
        <v>3.6120000000000002E-3</v>
      </c>
      <c r="BB52">
        <v>3.516E-3</v>
      </c>
      <c r="BC52">
        <v>1.175E-3</v>
      </c>
    </row>
    <row r="53" spans="1:55">
      <c r="A53" t="s">
        <v>53</v>
      </c>
      <c r="B53">
        <v>4.8999999999999998E-5</v>
      </c>
      <c r="C53">
        <v>7.8999999999999996E-5</v>
      </c>
      <c r="D53">
        <v>8.5000000000000006E-5</v>
      </c>
      <c r="E53">
        <v>4.3999999999999999E-5</v>
      </c>
      <c r="F53">
        <v>1.15E-4</v>
      </c>
      <c r="G53">
        <v>2.0799999999999999E-4</v>
      </c>
      <c r="H53">
        <v>5.8E-5</v>
      </c>
      <c r="I53">
        <v>3.6999999999999998E-5</v>
      </c>
      <c r="J53">
        <v>3.8000000000000002E-5</v>
      </c>
      <c r="K53">
        <v>5.1E-5</v>
      </c>
      <c r="L53">
        <v>2.8899999999999998E-4</v>
      </c>
      <c r="M53">
        <v>0</v>
      </c>
      <c r="N53">
        <v>1.1900000000000001E-4</v>
      </c>
      <c r="O53">
        <v>2.4000000000000001E-5</v>
      </c>
      <c r="P53">
        <v>1.2E-4</v>
      </c>
      <c r="Q53">
        <v>2.0999999999999999E-5</v>
      </c>
      <c r="R53">
        <v>3.19E-4</v>
      </c>
      <c r="S53">
        <v>2.1800000000000001E-4</v>
      </c>
      <c r="T53">
        <v>1.34E-4</v>
      </c>
      <c r="U53">
        <v>4.6500000000000003E-4</v>
      </c>
      <c r="V53">
        <v>1.73E-4</v>
      </c>
      <c r="W53">
        <v>1.75E-4</v>
      </c>
      <c r="X53">
        <v>2.5099999999999998E-4</v>
      </c>
      <c r="Y53">
        <v>1.9000000000000001E-4</v>
      </c>
      <c r="Z53">
        <v>1.5100000000000001E-4</v>
      </c>
      <c r="AA53">
        <v>1.3899999999999999E-4</v>
      </c>
      <c r="AB53">
        <v>2.7E-4</v>
      </c>
      <c r="AC53">
        <v>1.6200000000000001E-4</v>
      </c>
      <c r="AD53">
        <v>2.5399999999999999E-4</v>
      </c>
      <c r="AE53">
        <v>2.4600000000000002E-4</v>
      </c>
      <c r="AF53">
        <v>5.8999999999999998E-5</v>
      </c>
      <c r="AG53">
        <v>2.13E-4</v>
      </c>
      <c r="AH53">
        <v>3.0299999999999999E-4</v>
      </c>
      <c r="AI53">
        <v>1.44E-4</v>
      </c>
      <c r="AJ53">
        <v>4.7199999999999998E-4</v>
      </c>
      <c r="AK53">
        <v>1.0640000000000001E-3</v>
      </c>
      <c r="AL53">
        <v>1.85E-4</v>
      </c>
      <c r="AM53">
        <v>2.3699999999999999E-4</v>
      </c>
      <c r="AN53">
        <v>2.3800000000000001E-4</v>
      </c>
      <c r="AO53">
        <v>2.8699999999999998E-4</v>
      </c>
      <c r="AP53">
        <v>3.9199999999999999E-4</v>
      </c>
      <c r="AQ53">
        <v>3.5E-4</v>
      </c>
      <c r="AR53">
        <v>1.16E-4</v>
      </c>
      <c r="AS53">
        <v>4.1800000000000002E-4</v>
      </c>
      <c r="AT53">
        <v>6.476E-3</v>
      </c>
      <c r="AU53">
        <v>1.2689999999999999E-3</v>
      </c>
      <c r="AV53">
        <v>1.1280000000000001E-3</v>
      </c>
      <c r="AW53">
        <v>7.7899999999999996E-4</v>
      </c>
      <c r="AX53">
        <v>1.27E-4</v>
      </c>
      <c r="AY53">
        <v>4.08E-4</v>
      </c>
      <c r="AZ53">
        <v>4.9700000000000005E-4</v>
      </c>
      <c r="BA53">
        <v>1.0024169999999999</v>
      </c>
      <c r="BB53">
        <v>7.1400000000000001E-4</v>
      </c>
      <c r="BC53">
        <v>1.0809999999999999E-3</v>
      </c>
    </row>
    <row r="54" spans="1:55">
      <c r="A54" t="s">
        <v>54</v>
      </c>
      <c r="B54">
        <v>1.06E-3</v>
      </c>
      <c r="C54">
        <v>1.25E-3</v>
      </c>
      <c r="D54">
        <v>1.7619999999999999E-3</v>
      </c>
      <c r="E54">
        <v>1.725E-3</v>
      </c>
      <c r="F54">
        <v>2.7399999999999999E-4</v>
      </c>
      <c r="G54">
        <v>6.8900000000000005E-4</v>
      </c>
      <c r="H54">
        <v>2.2100000000000001E-4</v>
      </c>
      <c r="I54">
        <v>4.8000000000000001E-5</v>
      </c>
      <c r="J54">
        <v>6.6000000000000005E-5</v>
      </c>
      <c r="K54">
        <v>2.02E-4</v>
      </c>
      <c r="L54">
        <v>4.4299999999999998E-4</v>
      </c>
      <c r="M54">
        <v>0</v>
      </c>
      <c r="N54">
        <v>1.238E-3</v>
      </c>
      <c r="O54">
        <v>6.2000000000000003E-5</v>
      </c>
      <c r="P54">
        <v>5.6400000000000005E-4</v>
      </c>
      <c r="Q54">
        <v>1.4E-5</v>
      </c>
      <c r="R54">
        <v>2.575E-3</v>
      </c>
      <c r="S54">
        <v>1.7440000000000001E-3</v>
      </c>
      <c r="T54">
        <v>8.7699999999999996E-4</v>
      </c>
      <c r="U54">
        <v>2.8349999999999998E-3</v>
      </c>
      <c r="V54">
        <v>3.2919999999999998E-3</v>
      </c>
      <c r="W54">
        <v>3.9360000000000003E-3</v>
      </c>
      <c r="X54">
        <v>1.024E-3</v>
      </c>
      <c r="Y54">
        <v>1.841E-3</v>
      </c>
      <c r="Z54">
        <v>1.065E-3</v>
      </c>
      <c r="AA54">
        <v>1.5699999999999999E-4</v>
      </c>
      <c r="AB54">
        <v>7.2400000000000003E-4</v>
      </c>
      <c r="AC54">
        <v>1.1869999999999999E-3</v>
      </c>
      <c r="AD54">
        <v>1.307E-3</v>
      </c>
      <c r="AE54">
        <v>2.7999999999999998E-4</v>
      </c>
      <c r="AF54">
        <v>7.7999999999999999E-5</v>
      </c>
      <c r="AG54">
        <v>2.1250000000000002E-3</v>
      </c>
      <c r="AH54">
        <v>5.7799999999999995E-4</v>
      </c>
      <c r="AI54">
        <v>6.2500000000000001E-4</v>
      </c>
      <c r="AJ54">
        <v>5.13E-4</v>
      </c>
      <c r="AK54">
        <v>4.0400000000000001E-4</v>
      </c>
      <c r="AL54">
        <v>1.85E-4</v>
      </c>
      <c r="AM54">
        <v>8.3600000000000005E-4</v>
      </c>
      <c r="AN54">
        <v>1.3270000000000001E-3</v>
      </c>
      <c r="AO54">
        <v>3.2699999999999998E-4</v>
      </c>
      <c r="AP54">
        <v>9.3000000000000005E-4</v>
      </c>
      <c r="AQ54">
        <v>3.01E-4</v>
      </c>
      <c r="AR54">
        <v>2.92E-4</v>
      </c>
      <c r="AS54">
        <v>1.7200000000000001E-4</v>
      </c>
      <c r="AT54">
        <v>7.3200000000000001E-4</v>
      </c>
      <c r="AU54">
        <v>1.7470000000000001E-3</v>
      </c>
      <c r="AV54">
        <v>2.6400000000000002E-4</v>
      </c>
      <c r="AW54">
        <v>6.2699999999999995E-4</v>
      </c>
      <c r="AX54">
        <v>1.5200000000000001E-4</v>
      </c>
      <c r="AY54">
        <v>6.3100000000000005E-4</v>
      </c>
      <c r="AZ54">
        <v>2.7E-4</v>
      </c>
      <c r="BA54">
        <v>9.7199999999999999E-4</v>
      </c>
      <c r="BB54">
        <v>1.0058260000000001</v>
      </c>
      <c r="BC54">
        <v>2.8170000000000001E-3</v>
      </c>
    </row>
    <row r="55" spans="1:55">
      <c r="A55" t="s">
        <v>55</v>
      </c>
      <c r="B55">
        <v>2.843E-3</v>
      </c>
      <c r="C55">
        <v>6.3860000000000002E-3</v>
      </c>
      <c r="D55">
        <v>1.2979999999999999E-3</v>
      </c>
      <c r="E55">
        <v>1.044E-3</v>
      </c>
      <c r="F55">
        <v>1.493E-3</v>
      </c>
      <c r="G55">
        <v>5.8694000000000003E-2</v>
      </c>
      <c r="H55">
        <v>2.1229999999999999E-3</v>
      </c>
      <c r="I55">
        <v>7.6300000000000001E-4</v>
      </c>
      <c r="J55">
        <v>5.1999999999999995E-4</v>
      </c>
      <c r="K55">
        <v>5.31E-4</v>
      </c>
      <c r="L55">
        <v>1.114E-3</v>
      </c>
      <c r="M55">
        <v>0</v>
      </c>
      <c r="N55">
        <v>6.2799999999999998E-4</v>
      </c>
      <c r="O55">
        <v>3.0600000000000001E-4</v>
      </c>
      <c r="P55">
        <v>6.6210000000000001E-3</v>
      </c>
      <c r="Q55">
        <v>1.16E-4</v>
      </c>
      <c r="R55">
        <v>3.7569999999999999E-3</v>
      </c>
      <c r="S55">
        <v>2.9380000000000001E-3</v>
      </c>
      <c r="T55">
        <v>1.14E-3</v>
      </c>
      <c r="U55">
        <v>3.107E-3</v>
      </c>
      <c r="V55">
        <v>3.9909999999999998E-3</v>
      </c>
      <c r="W55">
        <v>3.4880000000000002E-3</v>
      </c>
      <c r="X55">
        <v>2.0890000000000001E-3</v>
      </c>
      <c r="Y55">
        <v>1.7401E-2</v>
      </c>
      <c r="Z55">
        <v>1.292E-3</v>
      </c>
      <c r="AA55">
        <v>5.8600000000000004E-4</v>
      </c>
      <c r="AB55">
        <v>2.2300000000000002E-3</v>
      </c>
      <c r="AC55">
        <v>1.6750000000000001E-3</v>
      </c>
      <c r="AD55">
        <v>1.7409999999999999E-3</v>
      </c>
      <c r="AE55">
        <v>7.7899999999999996E-4</v>
      </c>
      <c r="AF55">
        <v>2.72E-4</v>
      </c>
      <c r="AG55">
        <v>4.6245000000000001E-2</v>
      </c>
      <c r="AH55">
        <v>1.864E-3</v>
      </c>
      <c r="AI55">
        <v>4.4590000000000003E-3</v>
      </c>
      <c r="AJ55">
        <v>2.6020000000000001E-3</v>
      </c>
      <c r="AK55">
        <v>2.3340000000000001E-3</v>
      </c>
      <c r="AL55">
        <v>1.928E-3</v>
      </c>
      <c r="AM55">
        <v>6.8690000000000001E-3</v>
      </c>
      <c r="AN55">
        <v>2.862E-3</v>
      </c>
      <c r="AO55">
        <v>3.8739999999999998E-3</v>
      </c>
      <c r="AP55">
        <v>3.2290000000000001E-3</v>
      </c>
      <c r="AQ55">
        <v>7.1500000000000001E-3</v>
      </c>
      <c r="AR55">
        <v>9.1590000000000005E-3</v>
      </c>
      <c r="AS55">
        <v>1.524E-3</v>
      </c>
      <c r="AT55">
        <v>6.8400000000000004E-4</v>
      </c>
      <c r="AU55">
        <v>1.0349999999999999E-3</v>
      </c>
      <c r="AV55">
        <v>7.9799999999999999E-4</v>
      </c>
      <c r="AW55">
        <v>1.699E-3</v>
      </c>
      <c r="AX55">
        <v>6.6200000000000005E-4</v>
      </c>
      <c r="AY55">
        <v>4.3400000000000001E-3</v>
      </c>
      <c r="AZ55">
        <v>5.4580000000000002E-3</v>
      </c>
      <c r="BA55">
        <v>5.3550000000000004E-3</v>
      </c>
      <c r="BB55">
        <v>9.7750000000000007E-3</v>
      </c>
      <c r="BC55">
        <v>1.029061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5"/>
  <sheetViews>
    <sheetView topLeftCell="B37" workbookViewId="0">
      <selection activeCell="D5" sqref="D5"/>
    </sheetView>
  </sheetViews>
  <sheetFormatPr defaultRowHeight="14.5"/>
  <cols>
    <col min="1" max="1" width="41.1796875" customWidth="1"/>
    <col min="2" max="2" width="82" bestFit="1" customWidth="1"/>
    <col min="3" max="3" width="10.90625" bestFit="1" customWidth="1"/>
    <col min="4" max="4" width="12.90625" bestFit="1" customWidth="1"/>
    <col min="5" max="5" width="9.6328125" bestFit="1" customWidth="1"/>
    <col min="6" max="10" width="12" bestFit="1" customWidth="1"/>
    <col min="11" max="11" width="13.54296875" bestFit="1" customWidth="1"/>
    <col min="12" max="12" width="12" bestFit="1" customWidth="1"/>
    <col min="13" max="13" width="14.54296875" bestFit="1" customWidth="1"/>
  </cols>
  <sheetData>
    <row r="1" spans="1:13" s="1" customFormat="1">
      <c r="A1" s="1" t="s">
        <v>0</v>
      </c>
      <c r="B1" s="1" t="s">
        <v>141</v>
      </c>
      <c r="C1" s="1" t="s">
        <v>142</v>
      </c>
      <c r="D1" s="1" t="s">
        <v>143</v>
      </c>
      <c r="E1" s="1" t="s">
        <v>144</v>
      </c>
      <c r="F1" s="1" t="s">
        <v>145</v>
      </c>
      <c r="G1" s="1" t="s">
        <v>146</v>
      </c>
      <c r="H1" s="1" t="s">
        <v>147</v>
      </c>
      <c r="I1" s="1" t="s">
        <v>148</v>
      </c>
      <c r="J1" s="1" t="s">
        <v>149</v>
      </c>
      <c r="K1" s="1" t="s">
        <v>150</v>
      </c>
      <c r="L1" s="1" t="s">
        <v>151</v>
      </c>
      <c r="M1" s="1" t="s">
        <v>152</v>
      </c>
    </row>
    <row r="2" spans="1:13">
      <c r="A2" t="s">
        <v>2</v>
      </c>
      <c r="B2" t="s">
        <v>69</v>
      </c>
      <c r="C2" t="s">
        <v>153</v>
      </c>
      <c r="D2">
        <v>1.222901</v>
      </c>
      <c r="E2">
        <v>4.1065999999999998E-2</v>
      </c>
      <c r="F2">
        <v>15232977.75</v>
      </c>
      <c r="G2">
        <v>18628421.48630473</v>
      </c>
      <c r="H2">
        <v>11793042.779999999</v>
      </c>
      <c r="I2">
        <v>14421722.07675303</v>
      </c>
      <c r="J2">
        <v>18555002.138868839</v>
      </c>
      <c r="K2">
        <v>18555002.138868861</v>
      </c>
      <c r="L2">
        <v>3415493.282411986</v>
      </c>
      <c r="M2">
        <v>3415493.282411986</v>
      </c>
    </row>
    <row r="3" spans="1:13">
      <c r="A3" t="s">
        <v>3</v>
      </c>
      <c r="B3" t="s">
        <v>70</v>
      </c>
      <c r="C3" t="s">
        <v>154</v>
      </c>
      <c r="D3">
        <v>1.100069</v>
      </c>
      <c r="E3">
        <v>1.9258000000000001E-2</v>
      </c>
      <c r="F3">
        <v>6343335</v>
      </c>
      <c r="G3">
        <v>6978109.1889486704</v>
      </c>
      <c r="H3">
        <v>4834558.04</v>
      </c>
      <c r="I3">
        <v>5318349.7140588732</v>
      </c>
      <c r="J3">
        <v>6925847.7484787749</v>
      </c>
      <c r="K3">
        <v>6925847.7484787824</v>
      </c>
      <c r="L3">
        <v>1284743.8335044689</v>
      </c>
      <c r="M3">
        <v>1284743.8335044689</v>
      </c>
    </row>
    <row r="4" spans="1:13">
      <c r="A4" t="s">
        <v>4</v>
      </c>
      <c r="B4" t="s">
        <v>71</v>
      </c>
      <c r="C4" t="s">
        <v>155</v>
      </c>
      <c r="D4">
        <v>1.2799830000000001</v>
      </c>
      <c r="E4">
        <v>5.0608E-2</v>
      </c>
      <c r="F4">
        <v>9572948.4399999995</v>
      </c>
      <c r="G4">
        <v>12253206.874072669</v>
      </c>
      <c r="H4">
        <v>6580000.2000000002</v>
      </c>
      <c r="I4">
        <v>8422285.3791991621</v>
      </c>
      <c r="J4">
        <v>12253206.87407265</v>
      </c>
      <c r="K4">
        <v>12253206.874072669</v>
      </c>
      <c r="L4">
        <v>3820435.2379020839</v>
      </c>
      <c r="M4">
        <v>3820435.2379020839</v>
      </c>
    </row>
    <row r="5" spans="1:13">
      <c r="A5" t="s">
        <v>5</v>
      </c>
      <c r="B5" t="s">
        <v>72</v>
      </c>
      <c r="C5" t="s">
        <v>155</v>
      </c>
      <c r="D5">
        <v>1.2799830000000001</v>
      </c>
      <c r="E5">
        <v>5.0608E-2</v>
      </c>
      <c r="F5">
        <v>18493280.309999999</v>
      </c>
      <c r="G5">
        <v>23671075.93223856</v>
      </c>
      <c r="H5">
        <v>12739667.880000001</v>
      </c>
      <c r="I5">
        <v>16306552.47116515</v>
      </c>
      <c r="J5">
        <v>23671075.93223853</v>
      </c>
      <c r="K5">
        <v>23671075.93223856</v>
      </c>
      <c r="L5">
        <v>6316869.552278162</v>
      </c>
      <c r="M5">
        <v>6316869.552278161</v>
      </c>
    </row>
    <row r="6" spans="1:13">
      <c r="A6" t="s">
        <v>6</v>
      </c>
      <c r="B6" t="s">
        <v>73</v>
      </c>
      <c r="C6" t="s">
        <v>155</v>
      </c>
      <c r="D6">
        <v>1.2799830000000001</v>
      </c>
      <c r="E6">
        <v>5.0608E-2</v>
      </c>
      <c r="F6">
        <v>3787903.62</v>
      </c>
      <c r="G6">
        <v>4848450.5025610086</v>
      </c>
      <c r="H6">
        <v>2415587.52</v>
      </c>
      <c r="I6">
        <v>3091909.85311398</v>
      </c>
      <c r="J6">
        <v>4767545.5452741655</v>
      </c>
      <c r="K6">
        <v>4767545.545274158</v>
      </c>
      <c r="L6">
        <v>1725651.0483695611</v>
      </c>
      <c r="M6">
        <v>1725651.0483695611</v>
      </c>
    </row>
    <row r="7" spans="1:13">
      <c r="A7" t="s">
        <v>7</v>
      </c>
      <c r="B7" t="s">
        <v>74</v>
      </c>
      <c r="C7" t="s">
        <v>156</v>
      </c>
      <c r="D7">
        <v>1.200912</v>
      </c>
      <c r="E7">
        <v>3.7295000000000002E-2</v>
      </c>
      <c r="F7">
        <v>10940863.720000001</v>
      </c>
      <c r="G7">
        <v>13139019.31238299</v>
      </c>
      <c r="H7">
        <v>6657927.6399999997</v>
      </c>
      <c r="I7">
        <v>7995588.1072256444</v>
      </c>
      <c r="J7">
        <v>12940823.53392297</v>
      </c>
      <c r="K7">
        <v>12940823.533922959</v>
      </c>
      <c r="L7">
        <v>3895638.5572544509</v>
      </c>
      <c r="M7">
        <v>3895638.5572544509</v>
      </c>
    </row>
    <row r="8" spans="1:13">
      <c r="A8" t="s">
        <v>8</v>
      </c>
      <c r="B8" t="s">
        <v>75</v>
      </c>
      <c r="C8" t="s">
        <v>157</v>
      </c>
      <c r="D8">
        <v>1.010494</v>
      </c>
      <c r="E8">
        <v>2.0899999999999998E-3</v>
      </c>
      <c r="F8">
        <v>2059366.03</v>
      </c>
      <c r="G8">
        <v>2080977.348972115</v>
      </c>
      <c r="H8">
        <v>1434356.98</v>
      </c>
      <c r="I8">
        <v>1449409.353285315</v>
      </c>
      <c r="J8">
        <v>2080977.348972114</v>
      </c>
      <c r="K8">
        <v>2080977.348972115</v>
      </c>
      <c r="L8">
        <v>550434.45951913996</v>
      </c>
      <c r="M8">
        <v>550434.45951914007</v>
      </c>
    </row>
    <row r="9" spans="1:13">
      <c r="A9" t="s">
        <v>9</v>
      </c>
      <c r="B9" t="s">
        <v>76</v>
      </c>
      <c r="C9" t="s">
        <v>158</v>
      </c>
      <c r="D9">
        <v>1.0508690000000001</v>
      </c>
      <c r="E9">
        <v>9.9729999999999992E-3</v>
      </c>
      <c r="F9">
        <v>9033257.5099999998</v>
      </c>
      <c r="G9">
        <v>9492768.0026131794</v>
      </c>
      <c r="H9">
        <v>7948060.4199999999</v>
      </c>
      <c r="I9">
        <v>8352368.2961864565</v>
      </c>
      <c r="J9">
        <v>9492877.3034715652</v>
      </c>
      <c r="K9">
        <v>9492877.3034715746</v>
      </c>
      <c r="L9">
        <v>895926.95670022024</v>
      </c>
      <c r="M9">
        <v>895926.95670022024</v>
      </c>
    </row>
    <row r="10" spans="1:13">
      <c r="A10" t="s">
        <v>10</v>
      </c>
      <c r="B10" t="s">
        <v>77</v>
      </c>
      <c r="C10" t="s">
        <v>159</v>
      </c>
      <c r="D10">
        <v>1.0445249999999999</v>
      </c>
      <c r="E10">
        <v>8.7500000000000008E-3</v>
      </c>
      <c r="F10">
        <v>17131422.48</v>
      </c>
      <c r="G10">
        <v>17894195.133326512</v>
      </c>
      <c r="H10">
        <v>15098081.52</v>
      </c>
      <c r="I10">
        <v>15770320.1338451</v>
      </c>
      <c r="J10">
        <v>17894195.227333721</v>
      </c>
      <c r="K10">
        <v>17894195.227333739</v>
      </c>
      <c r="L10">
        <v>1641762.537866425</v>
      </c>
      <c r="M10">
        <v>1641762.5378664241</v>
      </c>
    </row>
    <row r="11" spans="1:13">
      <c r="A11" t="s">
        <v>11</v>
      </c>
      <c r="B11" t="s">
        <v>78</v>
      </c>
      <c r="C11" t="s">
        <v>160</v>
      </c>
      <c r="D11">
        <v>0.94220300000000001</v>
      </c>
      <c r="E11">
        <v>-1.1835999999999999E-2</v>
      </c>
      <c r="F11">
        <v>44023354.890000001</v>
      </c>
      <c r="G11">
        <v>41478936.171602003</v>
      </c>
      <c r="H11">
        <v>32291804.649999999</v>
      </c>
      <c r="I11">
        <v>30425434.574216042</v>
      </c>
      <c r="J11">
        <v>42421170.649553113</v>
      </c>
      <c r="K11">
        <v>42421170.649553157</v>
      </c>
      <c r="L11">
        <v>6665457.2768218601</v>
      </c>
      <c r="M11">
        <v>6665457.2768218601</v>
      </c>
    </row>
    <row r="12" spans="1:13">
      <c r="A12" t="s">
        <v>12</v>
      </c>
      <c r="B12" t="s">
        <v>79</v>
      </c>
      <c r="C12" t="s">
        <v>161</v>
      </c>
      <c r="D12">
        <v>1.878679</v>
      </c>
      <c r="E12">
        <v>0.134411</v>
      </c>
      <c r="F12">
        <v>57177797.200000003</v>
      </c>
      <c r="G12">
        <v>107418717.88712209</v>
      </c>
      <c r="H12">
        <v>24970978.27</v>
      </c>
      <c r="I12">
        <v>46912448.564048283</v>
      </c>
      <c r="J12">
        <v>107418357.53773309</v>
      </c>
      <c r="K12">
        <v>107418357.5377333</v>
      </c>
      <c r="L12">
        <v>44257127.945344433</v>
      </c>
      <c r="M12">
        <v>44257127.945344433</v>
      </c>
    </row>
    <row r="13" spans="1:13">
      <c r="A13" t="s">
        <v>13</v>
      </c>
      <c r="B13" t="s">
        <v>80</v>
      </c>
      <c r="C13" t="s">
        <v>162</v>
      </c>
      <c r="D13">
        <v>1</v>
      </c>
      <c r="E13">
        <v>0</v>
      </c>
      <c r="F13">
        <v>0</v>
      </c>
      <c r="G13">
        <v>0</v>
      </c>
      <c r="H13">
        <v>0</v>
      </c>
      <c r="I13">
        <v>0</v>
      </c>
      <c r="J13">
        <v>0</v>
      </c>
      <c r="K13">
        <v>0</v>
      </c>
      <c r="L13">
        <v>0</v>
      </c>
      <c r="M13">
        <v>0</v>
      </c>
    </row>
    <row r="14" spans="1:13">
      <c r="A14" t="s">
        <v>14</v>
      </c>
      <c r="B14" t="s">
        <v>81</v>
      </c>
      <c r="C14" t="s">
        <v>163</v>
      </c>
      <c r="D14">
        <v>1.1333299999999999</v>
      </c>
      <c r="E14">
        <v>2.5347999999999999E-2</v>
      </c>
      <c r="F14">
        <v>38575474.640000001</v>
      </c>
      <c r="G14">
        <v>43718756.43938686</v>
      </c>
      <c r="H14">
        <v>26533315.690000001</v>
      </c>
      <c r="I14">
        <v>30071012.139345929</v>
      </c>
      <c r="J14">
        <v>43717305.119198449</v>
      </c>
      <c r="K14">
        <v>43717305.119198494</v>
      </c>
      <c r="L14">
        <v>9791175.8632758632</v>
      </c>
      <c r="M14">
        <v>9791175.8632758632</v>
      </c>
    </row>
    <row r="15" spans="1:13">
      <c r="A15" t="s">
        <v>15</v>
      </c>
      <c r="B15" t="s">
        <v>82</v>
      </c>
      <c r="C15" t="s">
        <v>164</v>
      </c>
      <c r="D15">
        <v>1.1429450000000001</v>
      </c>
      <c r="E15">
        <v>2.7081999999999998E-2</v>
      </c>
      <c r="F15">
        <v>27782294.640000001</v>
      </c>
      <c r="G15">
        <v>31753633.94116088</v>
      </c>
      <c r="H15">
        <v>17493919.859999999</v>
      </c>
      <c r="I15">
        <v>19994587.726769719</v>
      </c>
      <c r="J15">
        <v>31477022.731044952</v>
      </c>
      <c r="K15">
        <v>31477022.73104497</v>
      </c>
      <c r="L15">
        <v>7252095.6436116183</v>
      </c>
      <c r="M15">
        <v>7252095.6436116192</v>
      </c>
    </row>
    <row r="16" spans="1:13">
      <c r="A16" t="s">
        <v>16</v>
      </c>
      <c r="B16" t="s">
        <v>83</v>
      </c>
      <c r="C16" t="s">
        <v>165</v>
      </c>
      <c r="D16">
        <v>1.291744</v>
      </c>
      <c r="E16">
        <v>5.2532000000000002E-2</v>
      </c>
      <c r="F16">
        <v>135591916.13999999</v>
      </c>
      <c r="G16">
        <v>175150071.2957885</v>
      </c>
      <c r="H16">
        <v>45386064.479999997</v>
      </c>
      <c r="I16">
        <v>58627185.571294948</v>
      </c>
      <c r="J16">
        <v>176887595.12801021</v>
      </c>
      <c r="K16">
        <v>176887595.12801051</v>
      </c>
      <c r="L16">
        <v>96382523.310063258</v>
      </c>
      <c r="M16">
        <v>96382523.310063258</v>
      </c>
    </row>
    <row r="17" spans="1:13">
      <c r="A17" t="s">
        <v>17</v>
      </c>
      <c r="B17" t="s">
        <v>84</v>
      </c>
      <c r="C17" t="s">
        <v>166</v>
      </c>
      <c r="D17">
        <v>0.87068999999999996</v>
      </c>
      <c r="E17">
        <v>-2.7314000000000001E-2</v>
      </c>
      <c r="F17">
        <v>2094.39</v>
      </c>
      <c r="G17">
        <v>1823.563706896553</v>
      </c>
      <c r="H17">
        <v>1314.18</v>
      </c>
      <c r="I17">
        <v>1144.242931034483</v>
      </c>
      <c r="J17">
        <v>1823.894568965517</v>
      </c>
      <c r="K17">
        <v>1823.8945689655191</v>
      </c>
      <c r="L17">
        <v>50.360689655172223</v>
      </c>
      <c r="M17">
        <v>50.36068965517223</v>
      </c>
    </row>
    <row r="18" spans="1:13">
      <c r="A18" t="s">
        <v>18</v>
      </c>
      <c r="B18" t="s">
        <v>85</v>
      </c>
      <c r="C18" t="s">
        <v>167</v>
      </c>
      <c r="D18">
        <v>1.111866</v>
      </c>
      <c r="E18">
        <v>2.1434000000000002E-2</v>
      </c>
      <c r="F18">
        <v>678064.06</v>
      </c>
      <c r="G18">
        <v>753916.33482789923</v>
      </c>
      <c r="H18">
        <v>180081.35</v>
      </c>
      <c r="I18">
        <v>200226.3198596015</v>
      </c>
      <c r="J18">
        <v>753262.39087409433</v>
      </c>
      <c r="K18">
        <v>753262.39087409491</v>
      </c>
      <c r="L18">
        <v>313116.58177083352</v>
      </c>
      <c r="M18">
        <v>313116.58177083341</v>
      </c>
    </row>
    <row r="19" spans="1:13">
      <c r="A19" t="s">
        <v>19</v>
      </c>
      <c r="B19" t="s">
        <v>86</v>
      </c>
      <c r="C19" t="s">
        <v>168</v>
      </c>
      <c r="D19">
        <v>1.026786</v>
      </c>
      <c r="E19">
        <v>5.3010000000000002E-3</v>
      </c>
      <c r="F19">
        <v>3019.29</v>
      </c>
      <c r="G19">
        <v>3100.163839285718</v>
      </c>
      <c r="H19">
        <v>1211.3800000000001</v>
      </c>
      <c r="I19">
        <v>1243.827678571429</v>
      </c>
      <c r="J19">
        <v>3172.0183035714281</v>
      </c>
      <c r="K19">
        <v>3172.0183035714322</v>
      </c>
      <c r="L19">
        <v>1264.3428571428569</v>
      </c>
      <c r="M19">
        <v>1264.3428571428569</v>
      </c>
    </row>
    <row r="20" spans="1:13">
      <c r="A20" t="s">
        <v>20</v>
      </c>
      <c r="B20" t="s">
        <v>87</v>
      </c>
      <c r="C20" t="s">
        <v>169</v>
      </c>
      <c r="D20">
        <v>1.106943</v>
      </c>
      <c r="E20">
        <v>2.0528000000000001E-2</v>
      </c>
      <c r="F20">
        <v>2313218.21</v>
      </c>
      <c r="G20">
        <v>2560600.428038802</v>
      </c>
      <c r="H20">
        <v>907788.44</v>
      </c>
      <c r="I20">
        <v>1004869.950437003</v>
      </c>
      <c r="J20">
        <v>2548041.397271703</v>
      </c>
      <c r="K20">
        <v>2548041.3972717058</v>
      </c>
      <c r="L20">
        <v>1074640.37199927</v>
      </c>
      <c r="M20">
        <v>1074640.37199927</v>
      </c>
    </row>
    <row r="21" spans="1:13">
      <c r="A21" t="s">
        <v>21</v>
      </c>
      <c r="B21" t="s">
        <v>88</v>
      </c>
      <c r="C21" t="s">
        <v>170</v>
      </c>
      <c r="D21">
        <v>1.2691220000000001</v>
      </c>
      <c r="E21">
        <v>4.8819000000000001E-2</v>
      </c>
      <c r="F21">
        <v>18225816.68</v>
      </c>
      <c r="G21">
        <v>23130788.62435979</v>
      </c>
      <c r="H21">
        <v>6359202.2599999998</v>
      </c>
      <c r="I21">
        <v>8070604.7843125211</v>
      </c>
      <c r="J21">
        <v>23156923.264467269</v>
      </c>
      <c r="K21">
        <v>23156923.264467292</v>
      </c>
      <c r="L21">
        <v>10959771.671488071</v>
      </c>
      <c r="M21">
        <v>10959771.671488071</v>
      </c>
    </row>
    <row r="22" spans="1:13">
      <c r="A22" t="s">
        <v>22</v>
      </c>
      <c r="B22" t="s">
        <v>89</v>
      </c>
      <c r="C22" t="s">
        <v>171</v>
      </c>
      <c r="D22">
        <v>1.254613</v>
      </c>
      <c r="E22">
        <v>4.641E-2</v>
      </c>
      <c r="F22">
        <v>18348125.559999999</v>
      </c>
      <c r="G22">
        <v>23019789.804717209</v>
      </c>
      <c r="H22">
        <v>6355016.8300000001</v>
      </c>
      <c r="I22">
        <v>7973084.2888367614</v>
      </c>
      <c r="J22">
        <v>23096567.718208991</v>
      </c>
      <c r="K22">
        <v>23096567.71820901</v>
      </c>
      <c r="L22">
        <v>10180969.32297248</v>
      </c>
      <c r="M22">
        <v>10180969.32297248</v>
      </c>
    </row>
    <row r="23" spans="1:13">
      <c r="A23" t="s">
        <v>23</v>
      </c>
      <c r="B23" t="s">
        <v>90</v>
      </c>
      <c r="C23" t="s">
        <v>172</v>
      </c>
      <c r="D23">
        <v>1.1133489999999999</v>
      </c>
      <c r="E23">
        <v>2.1707000000000001E-2</v>
      </c>
      <c r="F23">
        <v>38608589.25</v>
      </c>
      <c r="G23">
        <v>42984829.183427729</v>
      </c>
      <c r="H23">
        <v>11037340.939999999</v>
      </c>
      <c r="I23">
        <v>12288411.054676211</v>
      </c>
      <c r="J23">
        <v>43046290.049064212</v>
      </c>
      <c r="K23">
        <v>43046290.049064264</v>
      </c>
      <c r="L23">
        <v>23211309.218127549</v>
      </c>
      <c r="M23">
        <v>23211309.218127549</v>
      </c>
    </row>
    <row r="24" spans="1:13">
      <c r="A24" t="s">
        <v>24</v>
      </c>
      <c r="B24" t="s">
        <v>91</v>
      </c>
      <c r="C24" t="s">
        <v>173</v>
      </c>
      <c r="D24">
        <v>1.0970899999999999</v>
      </c>
      <c r="E24">
        <v>1.8704999999999999E-2</v>
      </c>
      <c r="F24">
        <v>3374272.54</v>
      </c>
      <c r="G24">
        <v>3701881.5425475081</v>
      </c>
      <c r="H24">
        <v>1448232.87</v>
      </c>
      <c r="I24">
        <v>1588842.177746437</v>
      </c>
      <c r="J24">
        <v>3779508.193601544</v>
      </c>
      <c r="K24">
        <v>3779508.1936015449</v>
      </c>
      <c r="L24">
        <v>1870932.4217636569</v>
      </c>
      <c r="M24">
        <v>1870932.4217636569</v>
      </c>
    </row>
    <row r="25" spans="1:13">
      <c r="A25" t="s">
        <v>25</v>
      </c>
      <c r="B25" t="s">
        <v>92</v>
      </c>
      <c r="C25" t="s">
        <v>174</v>
      </c>
      <c r="D25">
        <v>0.97150599999999998</v>
      </c>
      <c r="E25">
        <v>-5.7650000000000002E-3</v>
      </c>
      <c r="F25">
        <v>225398.25</v>
      </c>
      <c r="G25">
        <v>218975.65835579531</v>
      </c>
      <c r="H25">
        <v>56228.66</v>
      </c>
      <c r="I25">
        <v>54626.457135155943</v>
      </c>
      <c r="J25">
        <v>218938.78000385061</v>
      </c>
      <c r="K25">
        <v>218938.7800038507</v>
      </c>
      <c r="L25">
        <v>68812.682830188685</v>
      </c>
      <c r="M25">
        <v>68812.682830188685</v>
      </c>
    </row>
    <row r="26" spans="1:13">
      <c r="A26" t="s">
        <v>26</v>
      </c>
      <c r="B26" t="s">
        <v>93</v>
      </c>
      <c r="C26" t="s">
        <v>175</v>
      </c>
      <c r="D26">
        <v>0.97963299999999998</v>
      </c>
      <c r="E26">
        <v>-4.1070000000000004E-3</v>
      </c>
      <c r="F26">
        <v>1748963.3</v>
      </c>
      <c r="G26">
        <v>1713341.9872254811</v>
      </c>
      <c r="H26">
        <v>651932.91</v>
      </c>
      <c r="I26">
        <v>638654.92635385238</v>
      </c>
      <c r="J26">
        <v>1713662.8365924491</v>
      </c>
      <c r="K26">
        <v>1713662.83659245</v>
      </c>
      <c r="L26">
        <v>454726.90995767148</v>
      </c>
      <c r="M26">
        <v>454726.90995767148</v>
      </c>
    </row>
    <row r="27" spans="1:13">
      <c r="A27" t="s">
        <v>27</v>
      </c>
      <c r="B27" t="s">
        <v>94</v>
      </c>
      <c r="C27" t="s">
        <v>176</v>
      </c>
      <c r="D27">
        <v>1.053391</v>
      </c>
      <c r="E27">
        <v>1.0456999999999999E-2</v>
      </c>
      <c r="F27">
        <v>49471.39</v>
      </c>
      <c r="G27">
        <v>52112.719624819692</v>
      </c>
      <c r="H27">
        <v>18497.71</v>
      </c>
      <c r="I27">
        <v>19485.322222222221</v>
      </c>
      <c r="J27">
        <v>52112.71962481962</v>
      </c>
      <c r="K27">
        <v>52112.719624819692</v>
      </c>
      <c r="L27">
        <v>7008.3792207792176</v>
      </c>
      <c r="M27">
        <v>7008.3792207792167</v>
      </c>
    </row>
    <row r="28" spans="1:13">
      <c r="A28" t="s">
        <v>28</v>
      </c>
      <c r="B28" t="s">
        <v>95</v>
      </c>
      <c r="C28" t="s">
        <v>177</v>
      </c>
      <c r="D28">
        <v>1.0511550000000001</v>
      </c>
      <c r="E28">
        <v>1.0028E-2</v>
      </c>
      <c r="F28">
        <v>1144533.18</v>
      </c>
      <c r="G28">
        <v>1203081.9070297009</v>
      </c>
      <c r="H28">
        <v>92944.639999999999</v>
      </c>
      <c r="I28">
        <v>97699.233795379521</v>
      </c>
      <c r="J28">
        <v>1204465.4479042899</v>
      </c>
      <c r="K28">
        <v>1204465.447904289</v>
      </c>
      <c r="L28">
        <v>419825.02518151788</v>
      </c>
      <c r="M28">
        <v>419825.02518151788</v>
      </c>
    </row>
    <row r="29" spans="1:13">
      <c r="A29" t="s">
        <v>29</v>
      </c>
      <c r="B29" t="s">
        <v>96</v>
      </c>
      <c r="C29" t="s">
        <v>178</v>
      </c>
      <c r="D29">
        <v>1.028046</v>
      </c>
      <c r="E29">
        <v>5.5469999999999998E-3</v>
      </c>
      <c r="F29">
        <v>405991.45</v>
      </c>
      <c r="G29">
        <v>417377.68749184668</v>
      </c>
      <c r="H29">
        <v>172629.07</v>
      </c>
      <c r="I29">
        <v>177470.54040292781</v>
      </c>
      <c r="J29">
        <v>416599.63180810207</v>
      </c>
      <c r="K29">
        <v>416599.63180810161</v>
      </c>
      <c r="L29">
        <v>130983.679436191</v>
      </c>
      <c r="M29">
        <v>130983.6794361911</v>
      </c>
    </row>
    <row r="30" spans="1:13">
      <c r="A30" t="s">
        <v>30</v>
      </c>
      <c r="B30" t="s">
        <v>97</v>
      </c>
      <c r="C30" t="s">
        <v>179</v>
      </c>
      <c r="D30">
        <v>0.97031299999999998</v>
      </c>
      <c r="E30">
        <v>-6.0089999999999996E-3</v>
      </c>
      <c r="F30">
        <v>812597.66</v>
      </c>
      <c r="G30">
        <v>788474.21500743425</v>
      </c>
      <c r="H30">
        <v>314829.90999999997</v>
      </c>
      <c r="I30">
        <v>305483.60937700828</v>
      </c>
      <c r="J30">
        <v>797824.94841302582</v>
      </c>
      <c r="K30">
        <v>797824.94841302629</v>
      </c>
      <c r="L30">
        <v>252407.9250798524</v>
      </c>
      <c r="M30">
        <v>252407.9250798524</v>
      </c>
    </row>
    <row r="31" spans="1:13">
      <c r="A31" t="s">
        <v>31</v>
      </c>
      <c r="B31" t="s">
        <v>98</v>
      </c>
      <c r="C31" t="s">
        <v>180</v>
      </c>
      <c r="D31">
        <v>1.2641979999999999</v>
      </c>
      <c r="E31">
        <v>4.8003999999999998E-2</v>
      </c>
      <c r="F31">
        <v>4821769.91</v>
      </c>
      <c r="G31">
        <v>6095669.9454020392</v>
      </c>
      <c r="H31">
        <v>598093.68000000005</v>
      </c>
      <c r="I31">
        <v>756108.59451211395</v>
      </c>
      <c r="J31">
        <v>6095669.9454020346</v>
      </c>
      <c r="K31">
        <v>6095669.9454020401</v>
      </c>
      <c r="L31">
        <v>5115921.6097663371</v>
      </c>
      <c r="M31">
        <v>5115921.6097663371</v>
      </c>
    </row>
    <row r="32" spans="1:13">
      <c r="A32" t="s">
        <v>32</v>
      </c>
      <c r="B32" t="s">
        <v>99</v>
      </c>
      <c r="C32" t="s">
        <v>181</v>
      </c>
      <c r="D32">
        <v>1.652075</v>
      </c>
      <c r="E32">
        <v>0.10562000000000001</v>
      </c>
      <c r="F32">
        <v>106623.23</v>
      </c>
      <c r="G32">
        <v>176149.57724843669</v>
      </c>
      <c r="H32">
        <v>74942.16</v>
      </c>
      <c r="I32">
        <v>123810.0721773735</v>
      </c>
      <c r="J32">
        <v>176149.5772484366</v>
      </c>
      <c r="K32">
        <v>176149.57724843669</v>
      </c>
      <c r="L32">
        <v>50163.623115406452</v>
      </c>
      <c r="M32">
        <v>50163.623115406459</v>
      </c>
    </row>
    <row r="33" spans="1:13">
      <c r="A33" t="s">
        <v>33</v>
      </c>
      <c r="B33" t="s">
        <v>100</v>
      </c>
      <c r="C33" t="s">
        <v>182</v>
      </c>
      <c r="D33">
        <v>0.99952799999999997</v>
      </c>
      <c r="E33">
        <v>-9.3999999999999994E-5</v>
      </c>
      <c r="F33">
        <v>1049277.45</v>
      </c>
      <c r="G33">
        <v>1048781.832436759</v>
      </c>
      <c r="H33">
        <v>605999.24</v>
      </c>
      <c r="I33">
        <v>605713.00124908157</v>
      </c>
      <c r="J33">
        <v>1048781.832436759</v>
      </c>
      <c r="K33">
        <v>1048781.832436759</v>
      </c>
      <c r="L33">
        <v>357390.13993649621</v>
      </c>
      <c r="M33">
        <v>357390.13993649621</v>
      </c>
    </row>
    <row r="34" spans="1:13">
      <c r="A34" t="s">
        <v>34</v>
      </c>
      <c r="B34" t="s">
        <v>101</v>
      </c>
      <c r="C34" t="s">
        <v>183</v>
      </c>
      <c r="D34">
        <v>1.1771799999999999</v>
      </c>
      <c r="E34">
        <v>3.3161999999999997E-2</v>
      </c>
      <c r="F34">
        <v>144059742.06</v>
      </c>
      <c r="G34">
        <v>169584257.9167487</v>
      </c>
      <c r="H34">
        <v>57092347.009999998</v>
      </c>
      <c r="I34">
        <v>67207973.316958532</v>
      </c>
      <c r="J34">
        <v>169584257.9167496</v>
      </c>
      <c r="K34">
        <v>169584257.9167487</v>
      </c>
      <c r="L34">
        <v>54734639.50910262</v>
      </c>
      <c r="M34">
        <v>54734639.50910262</v>
      </c>
    </row>
    <row r="35" spans="1:13">
      <c r="A35" t="s">
        <v>35</v>
      </c>
      <c r="B35" t="s">
        <v>102</v>
      </c>
      <c r="C35" t="s">
        <v>184</v>
      </c>
      <c r="D35">
        <v>1.165678</v>
      </c>
      <c r="E35">
        <v>3.1134999999999999E-2</v>
      </c>
      <c r="F35">
        <v>13176156.039999999</v>
      </c>
      <c r="G35">
        <v>15359154.10071888</v>
      </c>
      <c r="H35">
        <v>9138494.8000000007</v>
      </c>
      <c r="I35">
        <v>10652541.564908341</v>
      </c>
      <c r="J35">
        <v>15359154.100718871</v>
      </c>
      <c r="K35">
        <v>15359154.10071888</v>
      </c>
      <c r="L35">
        <v>2930004.072800043</v>
      </c>
      <c r="M35">
        <v>2930004.072800043</v>
      </c>
    </row>
    <row r="36" spans="1:13">
      <c r="A36" t="s">
        <v>36</v>
      </c>
      <c r="B36" t="s">
        <v>103</v>
      </c>
      <c r="C36" t="s">
        <v>185</v>
      </c>
      <c r="D36">
        <v>1.5258590000000001</v>
      </c>
      <c r="E36">
        <v>8.8184999999999999E-2</v>
      </c>
      <c r="F36">
        <v>80518588.579999998</v>
      </c>
      <c r="G36">
        <v>122860022.470688</v>
      </c>
      <c r="H36">
        <v>53185969.600000001</v>
      </c>
      <c r="I36">
        <v>81154296.609272853</v>
      </c>
      <c r="J36">
        <v>122860022.470688</v>
      </c>
      <c r="K36">
        <v>122860022.470688</v>
      </c>
      <c r="L36">
        <v>29965714.16508453</v>
      </c>
      <c r="M36">
        <v>29965714.16508453</v>
      </c>
    </row>
    <row r="37" spans="1:13">
      <c r="A37" t="s">
        <v>37</v>
      </c>
      <c r="B37" t="s">
        <v>104</v>
      </c>
      <c r="C37" t="s">
        <v>186</v>
      </c>
      <c r="D37">
        <v>2.157321</v>
      </c>
      <c r="E37">
        <v>0.16622700000000001</v>
      </c>
      <c r="F37">
        <v>1663792.81</v>
      </c>
      <c r="G37">
        <v>3589335.4589810548</v>
      </c>
      <c r="H37">
        <v>694999.63</v>
      </c>
      <c r="I37">
        <v>1499337.418063316</v>
      </c>
      <c r="J37">
        <v>3589335.4589810511</v>
      </c>
      <c r="K37">
        <v>3589335.4589810548</v>
      </c>
      <c r="L37">
        <v>1805420.9292446</v>
      </c>
      <c r="M37">
        <v>1805420.9292446</v>
      </c>
    </row>
    <row r="38" spans="1:13">
      <c r="A38" t="s">
        <v>38</v>
      </c>
      <c r="B38" t="s">
        <v>105</v>
      </c>
      <c r="C38" t="s">
        <v>187</v>
      </c>
      <c r="D38">
        <v>1.1294420000000001</v>
      </c>
      <c r="E38">
        <v>2.4643000000000002E-2</v>
      </c>
      <c r="F38">
        <v>10982096.5</v>
      </c>
      <c r="G38">
        <v>12403638.794696899</v>
      </c>
      <c r="H38">
        <v>5524709.8600000003</v>
      </c>
      <c r="I38">
        <v>6239838.2266027667</v>
      </c>
      <c r="J38">
        <v>12403638.79469689</v>
      </c>
      <c r="K38">
        <v>12403638.794696899</v>
      </c>
      <c r="L38">
        <v>4690563.4773497982</v>
      </c>
      <c r="M38">
        <v>4690563.4773497982</v>
      </c>
    </row>
    <row r="39" spans="1:13">
      <c r="A39" t="s">
        <v>39</v>
      </c>
      <c r="B39" t="s">
        <v>106</v>
      </c>
      <c r="C39" t="s">
        <v>188</v>
      </c>
      <c r="D39">
        <v>1.0549489999999999</v>
      </c>
      <c r="E39">
        <v>1.0756E-2</v>
      </c>
      <c r="F39">
        <v>1354680.42</v>
      </c>
      <c r="G39">
        <v>1429119.268249562</v>
      </c>
      <c r="H39">
        <v>396419.8</v>
      </c>
      <c r="I39">
        <v>418202.82195828721</v>
      </c>
      <c r="J39">
        <v>1429119.268249562</v>
      </c>
      <c r="K39">
        <v>1429119.268249562</v>
      </c>
      <c r="L39">
        <v>801544.92607305117</v>
      </c>
      <c r="M39">
        <v>801544.92607305117</v>
      </c>
    </row>
    <row r="40" spans="1:13">
      <c r="A40" t="s">
        <v>40</v>
      </c>
      <c r="B40" t="s">
        <v>107</v>
      </c>
      <c r="C40" t="s">
        <v>189</v>
      </c>
      <c r="D40">
        <v>1.1704600000000001</v>
      </c>
      <c r="E40">
        <v>3.1980000000000001E-2</v>
      </c>
      <c r="F40">
        <v>1144816.28</v>
      </c>
      <c r="G40">
        <v>1339961.148753488</v>
      </c>
      <c r="H40">
        <v>494481.65</v>
      </c>
      <c r="I40">
        <v>578770.76990162965</v>
      </c>
      <c r="J40">
        <v>1339961.148753487</v>
      </c>
      <c r="K40">
        <v>1339961.148753488</v>
      </c>
      <c r="L40">
        <v>569719.77006019664</v>
      </c>
      <c r="M40">
        <v>569719.77006019664</v>
      </c>
    </row>
    <row r="41" spans="1:13">
      <c r="A41" t="s">
        <v>41</v>
      </c>
      <c r="B41" t="s">
        <v>108</v>
      </c>
      <c r="C41" t="s">
        <v>190</v>
      </c>
      <c r="D41">
        <v>1.559593</v>
      </c>
      <c r="E41">
        <v>9.2954999999999996E-2</v>
      </c>
      <c r="F41">
        <v>6584438.4699999997</v>
      </c>
      <c r="G41">
        <v>10269043.911097011</v>
      </c>
      <c r="H41">
        <v>2484948.6</v>
      </c>
      <c r="I41">
        <v>3875508.3529877728</v>
      </c>
      <c r="J41">
        <v>10269043.911097011</v>
      </c>
      <c r="K41">
        <v>10269043.911097011</v>
      </c>
      <c r="L41">
        <v>4548711.1632134309</v>
      </c>
      <c r="M41">
        <v>4548711.1632134318</v>
      </c>
    </row>
    <row r="42" spans="1:13">
      <c r="A42" t="s">
        <v>42</v>
      </c>
      <c r="B42" t="s">
        <v>109</v>
      </c>
      <c r="C42" t="s">
        <v>191</v>
      </c>
      <c r="D42">
        <v>1.3695189999999999</v>
      </c>
      <c r="E42">
        <v>6.4911999999999997E-2</v>
      </c>
      <c r="F42">
        <v>1853062.49</v>
      </c>
      <c r="G42">
        <v>2537804.7491165521</v>
      </c>
      <c r="H42">
        <v>1068440.24</v>
      </c>
      <c r="I42">
        <v>1463249.4747757949</v>
      </c>
      <c r="J42">
        <v>2537804.7491165502</v>
      </c>
      <c r="K42">
        <v>2537804.7491165521</v>
      </c>
      <c r="L42">
        <v>784188.43371011922</v>
      </c>
      <c r="M42">
        <v>784188.43371011922</v>
      </c>
    </row>
    <row r="43" spans="1:13">
      <c r="A43" t="s">
        <v>43</v>
      </c>
      <c r="B43" t="s">
        <v>110</v>
      </c>
      <c r="C43" t="s">
        <v>192</v>
      </c>
      <c r="D43">
        <v>1.626522</v>
      </c>
      <c r="E43">
        <v>0.10217900000000001</v>
      </c>
      <c r="F43">
        <v>1559930.95</v>
      </c>
      <c r="G43">
        <v>2537261.5215577371</v>
      </c>
      <c r="H43">
        <v>961542.86999999988</v>
      </c>
      <c r="I43">
        <v>1563970.3317503841</v>
      </c>
      <c r="J43">
        <v>2537261.5215577348</v>
      </c>
      <c r="K43">
        <v>2537261.5215577371</v>
      </c>
      <c r="L43">
        <v>787474.66843871865</v>
      </c>
      <c r="M43">
        <v>787474.66843871877</v>
      </c>
    </row>
    <row r="44" spans="1:13">
      <c r="A44" t="s">
        <v>44</v>
      </c>
      <c r="B44" t="s">
        <v>111</v>
      </c>
      <c r="C44" t="s">
        <v>193</v>
      </c>
      <c r="D44">
        <v>1.625111</v>
      </c>
      <c r="E44">
        <v>0.10198699999999999</v>
      </c>
      <c r="F44">
        <v>18656941.07</v>
      </c>
      <c r="G44">
        <v>30319603.769787949</v>
      </c>
      <c r="H44">
        <v>7633169.5600000015</v>
      </c>
      <c r="I44">
        <v>12404749.2940281</v>
      </c>
      <c r="J44">
        <v>30319603.769787911</v>
      </c>
      <c r="K44">
        <v>30319603.769787949</v>
      </c>
      <c r="L44">
        <v>14813130.329272229</v>
      </c>
      <c r="M44">
        <v>14813130.329272229</v>
      </c>
    </row>
    <row r="45" spans="1:13">
      <c r="A45" t="s">
        <v>45</v>
      </c>
      <c r="B45" t="s">
        <v>112</v>
      </c>
      <c r="C45" t="s">
        <v>194</v>
      </c>
      <c r="D45">
        <v>1.4080440000000001</v>
      </c>
      <c r="E45">
        <v>7.0836999999999997E-2</v>
      </c>
      <c r="F45">
        <v>24139728.07</v>
      </c>
      <c r="G45">
        <v>33989791.225843906</v>
      </c>
      <c r="H45">
        <v>14936509.689999999</v>
      </c>
      <c r="I45">
        <v>21031257.872238912</v>
      </c>
      <c r="J45">
        <v>33989791.225843877</v>
      </c>
      <c r="K45">
        <v>33989791.225843906</v>
      </c>
      <c r="L45">
        <v>8764045.488361448</v>
      </c>
      <c r="M45">
        <v>8764045.488361448</v>
      </c>
    </row>
    <row r="46" spans="1:13">
      <c r="A46" t="s">
        <v>46</v>
      </c>
      <c r="B46" t="s">
        <v>113</v>
      </c>
      <c r="C46" t="s">
        <v>195</v>
      </c>
      <c r="D46">
        <v>1.256718</v>
      </c>
      <c r="E46">
        <v>4.6760999999999997E-2</v>
      </c>
      <c r="F46">
        <v>7892463.7199999997</v>
      </c>
      <c r="G46">
        <v>9918604.5009072814</v>
      </c>
      <c r="H46">
        <v>6570831.5300000003</v>
      </c>
      <c r="I46">
        <v>8257684.9891634919</v>
      </c>
      <c r="J46">
        <v>9918604.5009072777</v>
      </c>
      <c r="K46">
        <v>9918604.5009072814</v>
      </c>
      <c r="L46">
        <v>984488.00952999748</v>
      </c>
      <c r="M46">
        <v>984488.00952999771</v>
      </c>
    </row>
    <row r="47" spans="1:13">
      <c r="A47" t="s">
        <v>47</v>
      </c>
      <c r="B47" t="s">
        <v>114</v>
      </c>
      <c r="C47" t="s">
        <v>196</v>
      </c>
      <c r="D47">
        <v>1.081836</v>
      </c>
      <c r="E47">
        <v>1.5855999999999999E-2</v>
      </c>
      <c r="F47">
        <v>4634809.8499999996</v>
      </c>
      <c r="G47">
        <v>5014105.0536787491</v>
      </c>
      <c r="H47">
        <v>3105622.1</v>
      </c>
      <c r="I47">
        <v>3359774.3964461451</v>
      </c>
      <c r="J47">
        <v>5014105.0536787435</v>
      </c>
      <c r="K47">
        <v>5014105.0536787491</v>
      </c>
      <c r="L47">
        <v>1145602.1953333409</v>
      </c>
      <c r="M47">
        <v>1145602.1953333409</v>
      </c>
    </row>
    <row r="48" spans="1:13">
      <c r="A48" t="s">
        <v>48</v>
      </c>
      <c r="B48" t="s">
        <v>115</v>
      </c>
      <c r="C48" t="s">
        <v>197</v>
      </c>
      <c r="D48">
        <v>1.3270230000000001</v>
      </c>
      <c r="E48">
        <v>5.8219E-2</v>
      </c>
      <c r="F48">
        <v>1843139.93</v>
      </c>
      <c r="G48">
        <v>2445888.5294781588</v>
      </c>
      <c r="H48">
        <v>1193768.1599999999</v>
      </c>
      <c r="I48">
        <v>1584157.4488597</v>
      </c>
      <c r="J48">
        <v>2445888.5294781579</v>
      </c>
      <c r="K48">
        <v>2445888.5294781588</v>
      </c>
      <c r="L48">
        <v>577473.25008547225</v>
      </c>
      <c r="M48">
        <v>577473.25008547225</v>
      </c>
    </row>
    <row r="49" spans="1:13">
      <c r="A49" t="s">
        <v>49</v>
      </c>
      <c r="B49" t="s">
        <v>116</v>
      </c>
      <c r="C49" t="s">
        <v>198</v>
      </c>
      <c r="D49">
        <v>1.2085109999999999</v>
      </c>
      <c r="E49">
        <v>3.8603999999999999E-2</v>
      </c>
      <c r="F49">
        <v>12947.25</v>
      </c>
      <c r="G49">
        <v>15646.88936170214</v>
      </c>
      <c r="H49">
        <v>8063.14</v>
      </c>
      <c r="I49">
        <v>9744.3904680851065</v>
      </c>
      <c r="J49">
        <v>15646.889361702129</v>
      </c>
      <c r="K49">
        <v>15646.88936170214</v>
      </c>
      <c r="L49">
        <v>3859.535829787234</v>
      </c>
      <c r="M49">
        <v>3859.535829787234</v>
      </c>
    </row>
    <row r="50" spans="1:13">
      <c r="A50" t="s">
        <v>50</v>
      </c>
      <c r="B50" t="s">
        <v>117</v>
      </c>
      <c r="C50" t="s">
        <v>199</v>
      </c>
      <c r="D50">
        <v>1.3537220000000001</v>
      </c>
      <c r="E50">
        <v>6.2444E-2</v>
      </c>
      <c r="F50">
        <v>18557839.469999999</v>
      </c>
      <c r="G50">
        <v>25122147.848843161</v>
      </c>
      <c r="H50">
        <v>15202630.98</v>
      </c>
      <c r="I50">
        <v>20580129.69604392</v>
      </c>
      <c r="J50">
        <v>25122147.848843131</v>
      </c>
      <c r="K50">
        <v>25122147.848843161</v>
      </c>
      <c r="L50">
        <v>3691875.515275239</v>
      </c>
      <c r="M50">
        <v>3691875.515275239</v>
      </c>
    </row>
    <row r="51" spans="1:13">
      <c r="A51" t="s">
        <v>51</v>
      </c>
      <c r="B51" t="s">
        <v>118</v>
      </c>
      <c r="C51" t="s">
        <v>200</v>
      </c>
      <c r="D51">
        <v>1.178841</v>
      </c>
      <c r="E51">
        <v>3.3453999999999998E-2</v>
      </c>
      <c r="F51">
        <v>1091958.22</v>
      </c>
      <c r="G51">
        <v>1287244.7671351989</v>
      </c>
      <c r="H51">
        <v>616521.12</v>
      </c>
      <c r="I51">
        <v>726780.17438096844</v>
      </c>
      <c r="J51">
        <v>1287244.7671351989</v>
      </c>
      <c r="K51">
        <v>1287244.7671351989</v>
      </c>
      <c r="L51">
        <v>361822.06405260519</v>
      </c>
      <c r="M51">
        <v>361822.06405260519</v>
      </c>
    </row>
    <row r="52" spans="1:13">
      <c r="A52" t="s">
        <v>52</v>
      </c>
      <c r="B52" t="s">
        <v>119</v>
      </c>
      <c r="C52" t="s">
        <v>201</v>
      </c>
      <c r="D52">
        <v>1.2634620000000001</v>
      </c>
      <c r="E52">
        <v>4.7882000000000001E-2</v>
      </c>
      <c r="F52">
        <v>21381628.440000001</v>
      </c>
      <c r="G52">
        <v>27014877.27790346</v>
      </c>
      <c r="H52">
        <v>13198712.26</v>
      </c>
      <c r="I52">
        <v>16676072.77578616</v>
      </c>
      <c r="J52">
        <v>27014877.277903412</v>
      </c>
      <c r="K52">
        <v>27014877.27790346</v>
      </c>
      <c r="L52">
        <v>7687397.953473283</v>
      </c>
      <c r="M52">
        <v>7687397.953473282</v>
      </c>
    </row>
    <row r="53" spans="1:13">
      <c r="A53" t="s">
        <v>53</v>
      </c>
      <c r="B53" t="s">
        <v>120</v>
      </c>
      <c r="C53" t="s">
        <v>202</v>
      </c>
      <c r="D53">
        <v>1.240008</v>
      </c>
      <c r="E53">
        <v>4.3962000000000001E-2</v>
      </c>
      <c r="F53">
        <v>16025158.24</v>
      </c>
      <c r="G53">
        <v>19871323.104005571</v>
      </c>
      <c r="H53">
        <v>10941941.310000001</v>
      </c>
      <c r="I53">
        <v>13568093.86214683</v>
      </c>
      <c r="J53">
        <v>19871323.104005542</v>
      </c>
      <c r="K53">
        <v>19871323.104005571</v>
      </c>
      <c r="L53">
        <v>4399730.1260498101</v>
      </c>
      <c r="M53">
        <v>4399730.1260498101</v>
      </c>
    </row>
    <row r="54" spans="1:13">
      <c r="A54" t="s">
        <v>54</v>
      </c>
      <c r="B54" t="s">
        <v>121</v>
      </c>
      <c r="C54" t="s">
        <v>203</v>
      </c>
      <c r="D54">
        <v>1.2490540000000001</v>
      </c>
      <c r="E54">
        <v>4.5481000000000001E-2</v>
      </c>
      <c r="F54">
        <v>6475853.4699999997</v>
      </c>
      <c r="G54">
        <v>8088689.3663875852</v>
      </c>
      <c r="H54">
        <v>3254868.38</v>
      </c>
      <c r="I54">
        <v>4065505.7092107348</v>
      </c>
      <c r="J54">
        <v>8088689.366387574</v>
      </c>
      <c r="K54">
        <v>8088689.3663875852</v>
      </c>
      <c r="L54">
        <v>3155962.7829650482</v>
      </c>
      <c r="M54">
        <v>3155962.7829650482</v>
      </c>
    </row>
    <row r="55" spans="1:13">
      <c r="A55" t="s">
        <v>55</v>
      </c>
      <c r="B55" t="s">
        <v>122</v>
      </c>
      <c r="C55" t="s">
        <v>204</v>
      </c>
      <c r="D55">
        <v>1.138226</v>
      </c>
      <c r="E55">
        <v>2.6231999999999998E-2</v>
      </c>
      <c r="F55">
        <v>5981671.3200000003</v>
      </c>
      <c r="G55">
        <v>6808496.7775789518</v>
      </c>
      <c r="H55">
        <v>3889292.46</v>
      </c>
      <c r="I55">
        <v>4426895.7226777356</v>
      </c>
      <c r="J55">
        <v>6808496.7775789443</v>
      </c>
      <c r="K55">
        <v>6808496.7775789518</v>
      </c>
      <c r="L55">
        <v>1760285.6674234259</v>
      </c>
      <c r="M55">
        <v>1760285.6674234259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27" workbookViewId="0">
      <selection activeCell="E57" sqref="E57"/>
    </sheetView>
  </sheetViews>
  <sheetFormatPr defaultRowHeight="14.5"/>
  <cols>
    <col min="3" max="3" width="11" bestFit="1" customWidth="1"/>
    <col min="4" max="4" width="12.1796875" bestFit="1" customWidth="1"/>
  </cols>
  <sheetData>
    <row r="1" spans="1:5" s="1" customFormat="1">
      <c r="A1" s="1" t="s">
        <v>0</v>
      </c>
      <c r="B1" s="1" t="s">
        <v>141</v>
      </c>
      <c r="C1" s="1" t="s">
        <v>205</v>
      </c>
      <c r="D1" s="1" t="s">
        <v>206</v>
      </c>
      <c r="E1" s="1" t="s">
        <v>207</v>
      </c>
    </row>
    <row r="2" spans="1:5">
      <c r="A2" t="s">
        <v>2</v>
      </c>
      <c r="B2" t="s">
        <v>69</v>
      </c>
      <c r="C2">
        <v>18628421.486304712</v>
      </c>
      <c r="D2">
        <v>18628421.48630473</v>
      </c>
      <c r="E2">
        <v>-2.2351741790771481E-8</v>
      </c>
    </row>
    <row r="3" spans="1:5">
      <c r="A3" t="s">
        <v>3</v>
      </c>
      <c r="B3" t="s">
        <v>70</v>
      </c>
      <c r="C3">
        <v>6978109.188948663</v>
      </c>
      <c r="D3">
        <v>6978109.1889486704</v>
      </c>
      <c r="E3">
        <v>-7.4505805969238281E-9</v>
      </c>
    </row>
    <row r="4" spans="1:5">
      <c r="A4" t="s">
        <v>4</v>
      </c>
      <c r="B4" t="s">
        <v>71</v>
      </c>
      <c r="C4">
        <v>12253206.87407265</v>
      </c>
      <c r="D4">
        <v>12253206.874072669</v>
      </c>
      <c r="E4">
        <v>-1.676380634307861E-8</v>
      </c>
    </row>
    <row r="5" spans="1:5">
      <c r="A5" t="s">
        <v>5</v>
      </c>
      <c r="B5" t="s">
        <v>72</v>
      </c>
      <c r="C5">
        <v>23671075.93223853</v>
      </c>
      <c r="D5">
        <v>23671075.93223856</v>
      </c>
      <c r="E5">
        <v>-2.6077032089233398E-8</v>
      </c>
    </row>
    <row r="6" spans="1:5">
      <c r="A6" t="s">
        <v>6</v>
      </c>
      <c r="B6" t="s">
        <v>73</v>
      </c>
      <c r="C6">
        <v>4848450.5025610151</v>
      </c>
      <c r="D6">
        <v>4848450.5025610086</v>
      </c>
      <c r="E6">
        <v>6.5192580223083496E-9</v>
      </c>
    </row>
    <row r="7" spans="1:5">
      <c r="A7" t="s">
        <v>7</v>
      </c>
      <c r="B7" t="s">
        <v>74</v>
      </c>
      <c r="C7">
        <v>13139019.312383</v>
      </c>
      <c r="D7">
        <v>13139019.31238299</v>
      </c>
      <c r="E7">
        <v>9.3132257461547852E-9</v>
      </c>
    </row>
    <row r="8" spans="1:5">
      <c r="A8" t="s">
        <v>8</v>
      </c>
      <c r="B8" t="s">
        <v>75</v>
      </c>
      <c r="C8">
        <v>2080977.348972114</v>
      </c>
      <c r="D8">
        <v>2080977.348972115</v>
      </c>
      <c r="E8">
        <v>-9.3132257461547852E-10</v>
      </c>
    </row>
    <row r="9" spans="1:5">
      <c r="A9" t="s">
        <v>9</v>
      </c>
      <c r="B9" t="s">
        <v>76</v>
      </c>
      <c r="C9">
        <v>9492768.0026131701</v>
      </c>
      <c r="D9">
        <v>9492768.0026131794</v>
      </c>
      <c r="E9">
        <v>-9.3132257461547852E-9</v>
      </c>
    </row>
    <row r="10" spans="1:5">
      <c r="A10" t="s">
        <v>10</v>
      </c>
      <c r="B10" t="s">
        <v>77</v>
      </c>
      <c r="C10">
        <v>17894195.133326489</v>
      </c>
      <c r="D10">
        <v>17894195.133326512</v>
      </c>
      <c r="E10">
        <v>-1.862645149230957E-8</v>
      </c>
    </row>
    <row r="11" spans="1:5">
      <c r="A11" t="s">
        <v>11</v>
      </c>
      <c r="B11" t="s">
        <v>78</v>
      </c>
      <c r="C11">
        <v>41478936.171601951</v>
      </c>
      <c r="D11">
        <v>41478936.171602003</v>
      </c>
      <c r="E11">
        <v>-4.4703483581542969E-8</v>
      </c>
    </row>
    <row r="12" spans="1:5">
      <c r="A12" t="s">
        <v>12</v>
      </c>
      <c r="B12" t="s">
        <v>79</v>
      </c>
      <c r="C12">
        <v>107418717.88712201</v>
      </c>
      <c r="D12">
        <v>107418717.88712209</v>
      </c>
      <c r="E12">
        <v>-1.3411045074462891E-7</v>
      </c>
    </row>
    <row r="13" spans="1:5">
      <c r="A13" t="s">
        <v>13</v>
      </c>
      <c r="B13" t="s">
        <v>80</v>
      </c>
      <c r="C13">
        <v>0</v>
      </c>
      <c r="D13">
        <v>0</v>
      </c>
      <c r="E13">
        <v>0</v>
      </c>
    </row>
    <row r="14" spans="1:5">
      <c r="A14" t="s">
        <v>14</v>
      </c>
      <c r="B14" t="s">
        <v>81</v>
      </c>
      <c r="C14">
        <v>43718756.439386822</v>
      </c>
      <c r="D14">
        <v>43718756.43938686</v>
      </c>
      <c r="E14">
        <v>-3.7252902984619141E-8</v>
      </c>
    </row>
    <row r="15" spans="1:5">
      <c r="A15" t="s">
        <v>15</v>
      </c>
      <c r="B15" t="s">
        <v>82</v>
      </c>
      <c r="C15">
        <v>31753633.941160861</v>
      </c>
      <c r="D15">
        <v>31753633.94116088</v>
      </c>
      <c r="E15">
        <v>-1.490116119384766E-8</v>
      </c>
    </row>
    <row r="16" spans="1:5">
      <c r="A16" t="s">
        <v>16</v>
      </c>
      <c r="B16" t="s">
        <v>83</v>
      </c>
      <c r="C16">
        <v>175150071.29578829</v>
      </c>
      <c r="D16">
        <v>175150071.2957885</v>
      </c>
      <c r="E16">
        <v>-2.0861625671386719E-7</v>
      </c>
    </row>
    <row r="17" spans="1:5">
      <c r="A17" t="s">
        <v>17</v>
      </c>
      <c r="B17" t="s">
        <v>84</v>
      </c>
      <c r="C17">
        <v>1823.563706896552</v>
      </c>
      <c r="D17">
        <v>1823.563706896553</v>
      </c>
      <c r="E17">
        <v>-1.364242052659392E-12</v>
      </c>
    </row>
    <row r="18" spans="1:5">
      <c r="A18" t="s">
        <v>18</v>
      </c>
      <c r="B18" t="s">
        <v>85</v>
      </c>
      <c r="C18">
        <v>753916.33482789865</v>
      </c>
      <c r="D18">
        <v>753916.33482789923</v>
      </c>
      <c r="E18">
        <v>-5.8207660913467407E-10</v>
      </c>
    </row>
    <row r="19" spans="1:5">
      <c r="A19" t="s">
        <v>19</v>
      </c>
      <c r="B19" t="s">
        <v>86</v>
      </c>
      <c r="C19">
        <v>3100.163839285713</v>
      </c>
      <c r="D19">
        <v>3100.163839285718</v>
      </c>
      <c r="E19">
        <v>-4.0927261579781771E-12</v>
      </c>
    </row>
    <row r="20" spans="1:5">
      <c r="A20" t="s">
        <v>20</v>
      </c>
      <c r="B20" t="s">
        <v>87</v>
      </c>
      <c r="C20">
        <v>2560600.4280387992</v>
      </c>
      <c r="D20">
        <v>2560600.428038802</v>
      </c>
      <c r="E20">
        <v>-3.2596290111541748E-9</v>
      </c>
    </row>
    <row r="21" spans="1:5">
      <c r="A21" t="s">
        <v>21</v>
      </c>
      <c r="B21" t="s">
        <v>88</v>
      </c>
      <c r="C21">
        <v>23130788.624359772</v>
      </c>
      <c r="D21">
        <v>23130788.62435979</v>
      </c>
      <c r="E21">
        <v>-2.2351741790771481E-8</v>
      </c>
    </row>
    <row r="22" spans="1:5">
      <c r="A22" t="s">
        <v>22</v>
      </c>
      <c r="B22" t="s">
        <v>89</v>
      </c>
      <c r="C22">
        <v>23019789.804717191</v>
      </c>
      <c r="D22">
        <v>23019789.804717209</v>
      </c>
      <c r="E22">
        <v>-1.862645149230957E-8</v>
      </c>
    </row>
    <row r="23" spans="1:5">
      <c r="A23" t="s">
        <v>23</v>
      </c>
      <c r="B23" t="s">
        <v>90</v>
      </c>
      <c r="C23">
        <v>42984829.183427691</v>
      </c>
      <c r="D23">
        <v>42984829.183427729</v>
      </c>
      <c r="E23">
        <v>-3.7252902984619141E-8</v>
      </c>
    </row>
    <row r="24" spans="1:5">
      <c r="A24" t="s">
        <v>24</v>
      </c>
      <c r="B24" t="s">
        <v>91</v>
      </c>
      <c r="C24">
        <v>3701881.5425475049</v>
      </c>
      <c r="D24">
        <v>3701881.5425475081</v>
      </c>
      <c r="E24">
        <v>-2.793967723846436E-9</v>
      </c>
    </row>
    <row r="25" spans="1:5">
      <c r="A25" t="s">
        <v>25</v>
      </c>
      <c r="B25" t="s">
        <v>92</v>
      </c>
      <c r="C25">
        <v>218975.65835579511</v>
      </c>
      <c r="D25">
        <v>218975.65835579531</v>
      </c>
      <c r="E25">
        <v>-1.164153218269348E-10</v>
      </c>
    </row>
    <row r="26" spans="1:5">
      <c r="A26" t="s">
        <v>26</v>
      </c>
      <c r="B26" t="s">
        <v>93</v>
      </c>
      <c r="C26">
        <v>1713341.9872254811</v>
      </c>
      <c r="D26">
        <v>1713341.9872254811</v>
      </c>
      <c r="E26">
        <v>-4.6566128730773926E-10</v>
      </c>
    </row>
    <row r="27" spans="1:5">
      <c r="A27" t="s">
        <v>27</v>
      </c>
      <c r="B27" t="s">
        <v>94</v>
      </c>
      <c r="C27">
        <v>52112.71962481962</v>
      </c>
      <c r="D27">
        <v>52112.719624819692</v>
      </c>
      <c r="E27">
        <v>-7.2759576141834259E-11</v>
      </c>
    </row>
    <row r="28" spans="1:5">
      <c r="A28" t="s">
        <v>28</v>
      </c>
      <c r="B28" t="s">
        <v>95</v>
      </c>
      <c r="C28">
        <v>1203081.907029703</v>
      </c>
      <c r="D28">
        <v>1203081.9070297009</v>
      </c>
      <c r="E28">
        <v>1.629814505577087E-9</v>
      </c>
    </row>
    <row r="29" spans="1:5">
      <c r="A29" t="s">
        <v>29</v>
      </c>
      <c r="B29" t="s">
        <v>96</v>
      </c>
      <c r="C29">
        <v>417377.68749184732</v>
      </c>
      <c r="D29">
        <v>417377.68749184668</v>
      </c>
      <c r="E29">
        <v>5.8207660913467407E-10</v>
      </c>
    </row>
    <row r="30" spans="1:5">
      <c r="A30" t="s">
        <v>30</v>
      </c>
      <c r="B30" t="s">
        <v>97</v>
      </c>
      <c r="C30">
        <v>788474.21500743378</v>
      </c>
      <c r="D30">
        <v>788474.21500743425</v>
      </c>
      <c r="E30">
        <v>-4.6566128730773926E-10</v>
      </c>
    </row>
    <row r="31" spans="1:5">
      <c r="A31" t="s">
        <v>31</v>
      </c>
      <c r="B31" t="s">
        <v>98</v>
      </c>
      <c r="C31">
        <v>6095669.9454020336</v>
      </c>
      <c r="D31">
        <v>6095669.9454020392</v>
      </c>
      <c r="E31">
        <v>-5.5879354476928711E-9</v>
      </c>
    </row>
    <row r="32" spans="1:5">
      <c r="A32" t="s">
        <v>32</v>
      </c>
      <c r="B32" t="s">
        <v>99</v>
      </c>
      <c r="C32">
        <v>176149.5772484366</v>
      </c>
      <c r="D32">
        <v>176149.57724843669</v>
      </c>
      <c r="E32">
        <v>-1.746229827404022E-10</v>
      </c>
    </row>
    <row r="33" spans="1:5">
      <c r="A33" t="s">
        <v>33</v>
      </c>
      <c r="B33" t="s">
        <v>100</v>
      </c>
      <c r="C33">
        <v>1048781.832436759</v>
      </c>
      <c r="D33">
        <v>1048781.832436759</v>
      </c>
      <c r="E33">
        <v>-9.3132257461547852E-10</v>
      </c>
    </row>
    <row r="34" spans="1:5">
      <c r="A34" t="s">
        <v>34</v>
      </c>
      <c r="B34" t="s">
        <v>101</v>
      </c>
      <c r="C34">
        <v>169584257.9167496</v>
      </c>
      <c r="D34">
        <v>169584257.9167487</v>
      </c>
      <c r="E34">
        <v>9.2387199401855469E-7</v>
      </c>
    </row>
    <row r="35" spans="1:5">
      <c r="A35" t="s">
        <v>35</v>
      </c>
      <c r="B35" t="s">
        <v>102</v>
      </c>
      <c r="C35">
        <v>15359154.100718871</v>
      </c>
      <c r="D35">
        <v>15359154.10071888</v>
      </c>
      <c r="E35">
        <v>-5.5879354476928711E-9</v>
      </c>
    </row>
    <row r="36" spans="1:5">
      <c r="A36" t="s">
        <v>36</v>
      </c>
      <c r="B36" t="s">
        <v>103</v>
      </c>
      <c r="C36">
        <v>122860022.470688</v>
      </c>
      <c r="D36">
        <v>122860022.470688</v>
      </c>
      <c r="E36">
        <v>1.490116119384766E-8</v>
      </c>
    </row>
    <row r="37" spans="1:5">
      <c r="A37" t="s">
        <v>37</v>
      </c>
      <c r="B37" t="s">
        <v>104</v>
      </c>
      <c r="C37">
        <v>3589335.4589810511</v>
      </c>
      <c r="D37">
        <v>3589335.4589810548</v>
      </c>
      <c r="E37">
        <v>-4.1909515857696533E-9</v>
      </c>
    </row>
    <row r="38" spans="1:5">
      <c r="A38" t="s">
        <v>38</v>
      </c>
      <c r="B38" t="s">
        <v>105</v>
      </c>
      <c r="C38">
        <v>12403638.79469689</v>
      </c>
      <c r="D38">
        <v>12403638.794696899</v>
      </c>
      <c r="E38">
        <v>-3.7252902984619141E-9</v>
      </c>
    </row>
    <row r="39" spans="1:5">
      <c r="A39" t="s">
        <v>39</v>
      </c>
      <c r="B39" t="s">
        <v>106</v>
      </c>
      <c r="C39">
        <v>1429119.268249562</v>
      </c>
      <c r="D39">
        <v>1429119.268249562</v>
      </c>
      <c r="E39">
        <v>-2.328306436538696E-10</v>
      </c>
    </row>
    <row r="40" spans="1:5">
      <c r="A40" t="s">
        <v>40</v>
      </c>
      <c r="B40" t="s">
        <v>107</v>
      </c>
      <c r="C40">
        <v>1339961.148753487</v>
      </c>
      <c r="D40">
        <v>1339961.148753488</v>
      </c>
      <c r="E40">
        <v>-6.9849193096160889E-10</v>
      </c>
    </row>
    <row r="41" spans="1:5">
      <c r="A41" t="s">
        <v>41</v>
      </c>
      <c r="B41" t="s">
        <v>108</v>
      </c>
      <c r="C41">
        <v>10269043.911097011</v>
      </c>
      <c r="D41">
        <v>10269043.911097011</v>
      </c>
      <c r="E41">
        <v>-3.7252902984619141E-9</v>
      </c>
    </row>
    <row r="42" spans="1:5">
      <c r="A42" t="s">
        <v>42</v>
      </c>
      <c r="B42" t="s">
        <v>109</v>
      </c>
      <c r="C42">
        <v>2537804.7491165502</v>
      </c>
      <c r="D42">
        <v>2537804.7491165521</v>
      </c>
      <c r="E42">
        <v>-1.862645149230957E-9</v>
      </c>
    </row>
    <row r="43" spans="1:5">
      <c r="A43" t="s">
        <v>43</v>
      </c>
      <c r="B43" t="s">
        <v>110</v>
      </c>
      <c r="C43">
        <v>2537261.5215577348</v>
      </c>
      <c r="D43">
        <v>2537261.5215577371</v>
      </c>
      <c r="E43">
        <v>-1.862645149230957E-9</v>
      </c>
    </row>
    <row r="44" spans="1:5">
      <c r="A44" t="s">
        <v>44</v>
      </c>
      <c r="B44" t="s">
        <v>111</v>
      </c>
      <c r="C44">
        <v>30319603.769787911</v>
      </c>
      <c r="D44">
        <v>30319603.769787949</v>
      </c>
      <c r="E44">
        <v>-4.0978193283081048E-8</v>
      </c>
    </row>
    <row r="45" spans="1:5">
      <c r="A45" t="s">
        <v>45</v>
      </c>
      <c r="B45" t="s">
        <v>112</v>
      </c>
      <c r="C45">
        <v>33989791.225843877</v>
      </c>
      <c r="D45">
        <v>33989791.225843906</v>
      </c>
      <c r="E45">
        <v>-2.9802322387695309E-8</v>
      </c>
    </row>
    <row r="46" spans="1:5">
      <c r="A46" t="s">
        <v>46</v>
      </c>
      <c r="B46" t="s">
        <v>113</v>
      </c>
      <c r="C46">
        <v>9918604.5009072777</v>
      </c>
      <c r="D46">
        <v>9918604.5009072814</v>
      </c>
      <c r="E46">
        <v>-3.7252902984619141E-9</v>
      </c>
    </row>
    <row r="47" spans="1:5">
      <c r="A47" t="s">
        <v>47</v>
      </c>
      <c r="B47" t="s">
        <v>114</v>
      </c>
      <c r="C47">
        <v>5014105.0536787435</v>
      </c>
      <c r="D47">
        <v>5014105.0536787491</v>
      </c>
      <c r="E47">
        <v>-4.6566128730773934E-9</v>
      </c>
    </row>
    <row r="48" spans="1:5">
      <c r="A48" t="s">
        <v>48</v>
      </c>
      <c r="B48" t="s">
        <v>115</v>
      </c>
      <c r="C48">
        <v>2445888.5294781579</v>
      </c>
      <c r="D48">
        <v>2445888.5294781588</v>
      </c>
      <c r="E48">
        <v>-9.3132257461547852E-10</v>
      </c>
    </row>
    <row r="49" spans="1:5">
      <c r="A49" t="s">
        <v>49</v>
      </c>
      <c r="B49" t="s">
        <v>116</v>
      </c>
      <c r="C49">
        <v>15646.889361702129</v>
      </c>
      <c r="D49">
        <v>15646.88936170214</v>
      </c>
      <c r="E49">
        <v>-1.455191522836685E-11</v>
      </c>
    </row>
    <row r="50" spans="1:5">
      <c r="A50" t="s">
        <v>50</v>
      </c>
      <c r="B50" t="s">
        <v>117</v>
      </c>
      <c r="C50">
        <v>25122147.848843131</v>
      </c>
      <c r="D50">
        <v>25122147.848843161</v>
      </c>
      <c r="E50">
        <v>-2.2351741790771481E-8</v>
      </c>
    </row>
    <row r="51" spans="1:5">
      <c r="A51" t="s">
        <v>51</v>
      </c>
      <c r="B51" t="s">
        <v>118</v>
      </c>
      <c r="C51">
        <v>1287244.7671351989</v>
      </c>
      <c r="D51">
        <v>1287244.7671351989</v>
      </c>
      <c r="E51">
        <v>-4.6566128730773926E-10</v>
      </c>
    </row>
    <row r="52" spans="1:5">
      <c r="A52" t="s">
        <v>52</v>
      </c>
      <c r="B52" t="s">
        <v>119</v>
      </c>
      <c r="C52">
        <v>27014877.277903412</v>
      </c>
      <c r="D52">
        <v>27014877.27790346</v>
      </c>
      <c r="E52">
        <v>-4.8428773880004883E-8</v>
      </c>
    </row>
    <row r="53" spans="1:5">
      <c r="A53" t="s">
        <v>53</v>
      </c>
      <c r="B53" t="s">
        <v>120</v>
      </c>
      <c r="C53">
        <v>19871323.104005542</v>
      </c>
      <c r="D53">
        <v>19871323.104005571</v>
      </c>
      <c r="E53">
        <v>-2.9802322387695309E-8</v>
      </c>
    </row>
    <row r="54" spans="1:5">
      <c r="A54" t="s">
        <v>54</v>
      </c>
      <c r="B54" t="s">
        <v>121</v>
      </c>
      <c r="C54">
        <v>8088689.366387574</v>
      </c>
      <c r="D54">
        <v>8088689.3663875852</v>
      </c>
      <c r="E54">
        <v>-1.1175870895385741E-8</v>
      </c>
    </row>
    <row r="55" spans="1:5">
      <c r="A55" t="s">
        <v>55</v>
      </c>
      <c r="B55" t="s">
        <v>122</v>
      </c>
      <c r="C55">
        <v>6808496.7775789443</v>
      </c>
      <c r="D55">
        <v>6808496.7775789518</v>
      </c>
      <c r="E55">
        <v>-7.4505805969238281E-9</v>
      </c>
    </row>
    <row r="56" spans="1:5">
      <c r="C56">
        <f>SUM(C2:C55)</f>
        <v>1128183053.1432879</v>
      </c>
      <c r="D56">
        <f>SUM(D2:D55)</f>
        <v>1128183053.1432879</v>
      </c>
      <c r="E56" t="b">
        <f>C56=D56</f>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6"/>
  <sheetViews>
    <sheetView topLeftCell="B29" workbookViewId="0">
      <selection activeCell="C56" sqref="C56:D56"/>
    </sheetView>
  </sheetViews>
  <sheetFormatPr defaultRowHeight="14.5"/>
  <cols>
    <col min="1" max="1" width="8.36328125" bestFit="1" customWidth="1"/>
    <col min="2" max="2" width="87.08984375" bestFit="1" customWidth="1"/>
    <col min="3" max="3" width="11" bestFit="1" customWidth="1"/>
    <col min="4" max="4" width="91.36328125" bestFit="1" customWidth="1"/>
  </cols>
  <sheetData>
    <row r="1" spans="1:4" s="1" customFormat="1">
      <c r="A1" s="1" t="s">
        <v>208</v>
      </c>
      <c r="B1" s="1" t="s">
        <v>209</v>
      </c>
      <c r="C1" s="1" t="s">
        <v>142</v>
      </c>
      <c r="D1" s="1" t="s">
        <v>210</v>
      </c>
    </row>
    <row r="2" spans="1:4">
      <c r="A2" t="s">
        <v>2</v>
      </c>
      <c r="B2" t="s">
        <v>69</v>
      </c>
      <c r="C2" t="s">
        <v>153</v>
      </c>
      <c r="D2" t="s">
        <v>211</v>
      </c>
    </row>
    <row r="3" spans="1:4">
      <c r="A3" t="s">
        <v>3</v>
      </c>
      <c r="B3" t="s">
        <v>70</v>
      </c>
      <c r="C3" t="s">
        <v>154</v>
      </c>
      <c r="D3" t="s">
        <v>212</v>
      </c>
    </row>
    <row r="4" spans="1:4">
      <c r="A4" t="s">
        <v>4</v>
      </c>
      <c r="B4" t="s">
        <v>71</v>
      </c>
      <c r="C4" t="s">
        <v>155</v>
      </c>
      <c r="D4" t="s">
        <v>213</v>
      </c>
    </row>
    <row r="5" spans="1:4">
      <c r="A5" t="s">
        <v>5</v>
      </c>
      <c r="B5" t="s">
        <v>72</v>
      </c>
      <c r="C5" t="s">
        <v>155</v>
      </c>
      <c r="D5" t="s">
        <v>213</v>
      </c>
    </row>
    <row r="6" spans="1:4">
      <c r="A6" t="s">
        <v>6</v>
      </c>
      <c r="B6" t="s">
        <v>73</v>
      </c>
      <c r="C6" t="s">
        <v>155</v>
      </c>
      <c r="D6" t="s">
        <v>213</v>
      </c>
    </row>
    <row r="7" spans="1:4">
      <c r="A7" t="s">
        <v>7</v>
      </c>
      <c r="B7" t="s">
        <v>74</v>
      </c>
      <c r="C7" t="s">
        <v>156</v>
      </c>
      <c r="D7" t="s">
        <v>214</v>
      </c>
    </row>
    <row r="8" spans="1:4">
      <c r="A8" t="s">
        <v>8</v>
      </c>
      <c r="B8" t="s">
        <v>75</v>
      </c>
      <c r="C8" t="s">
        <v>157</v>
      </c>
      <c r="D8" t="s">
        <v>215</v>
      </c>
    </row>
    <row r="9" spans="1:4">
      <c r="A9" t="s">
        <v>9</v>
      </c>
      <c r="B9" t="s">
        <v>76</v>
      </c>
      <c r="C9" t="s">
        <v>158</v>
      </c>
      <c r="D9" t="s">
        <v>216</v>
      </c>
    </row>
    <row r="10" spans="1:4">
      <c r="A10" t="s">
        <v>10</v>
      </c>
      <c r="B10" t="s">
        <v>77</v>
      </c>
      <c r="C10" t="s">
        <v>159</v>
      </c>
      <c r="D10" t="s">
        <v>217</v>
      </c>
    </row>
    <row r="11" spans="1:4">
      <c r="A11" t="s">
        <v>11</v>
      </c>
      <c r="B11" t="s">
        <v>78</v>
      </c>
      <c r="C11" t="s">
        <v>160</v>
      </c>
      <c r="D11" t="s">
        <v>218</v>
      </c>
    </row>
    <row r="12" spans="1:4">
      <c r="A12" t="s">
        <v>12</v>
      </c>
      <c r="B12" t="s">
        <v>79</v>
      </c>
      <c r="C12" t="s">
        <v>161</v>
      </c>
      <c r="D12" t="s">
        <v>219</v>
      </c>
    </row>
    <row r="13" spans="1:4">
      <c r="A13" t="s">
        <v>13</v>
      </c>
      <c r="B13" t="s">
        <v>80</v>
      </c>
      <c r="C13" t="s">
        <v>162</v>
      </c>
      <c r="D13" t="s">
        <v>220</v>
      </c>
    </row>
    <row r="14" spans="1:4">
      <c r="A14" t="s">
        <v>14</v>
      </c>
      <c r="B14" t="s">
        <v>81</v>
      </c>
      <c r="C14" t="s">
        <v>163</v>
      </c>
      <c r="D14" t="s">
        <v>221</v>
      </c>
    </row>
    <row r="15" spans="1:4">
      <c r="A15" t="s">
        <v>15</v>
      </c>
      <c r="B15" t="s">
        <v>82</v>
      </c>
      <c r="C15" t="s">
        <v>164</v>
      </c>
      <c r="D15" t="s">
        <v>222</v>
      </c>
    </row>
    <row r="16" spans="1:4">
      <c r="A16" t="s">
        <v>16</v>
      </c>
      <c r="B16" t="s">
        <v>83</v>
      </c>
      <c r="C16" t="s">
        <v>165</v>
      </c>
      <c r="D16" t="s">
        <v>223</v>
      </c>
    </row>
    <row r="17" spans="1:4">
      <c r="A17" t="s">
        <v>17</v>
      </c>
      <c r="B17" t="s">
        <v>84</v>
      </c>
      <c r="C17" t="s">
        <v>166</v>
      </c>
      <c r="D17" t="s">
        <v>224</v>
      </c>
    </row>
    <row r="18" spans="1:4">
      <c r="A18" t="s">
        <v>18</v>
      </c>
      <c r="B18" t="s">
        <v>85</v>
      </c>
      <c r="C18" t="s">
        <v>167</v>
      </c>
      <c r="D18" t="s">
        <v>225</v>
      </c>
    </row>
    <row r="19" spans="1:4">
      <c r="A19" t="s">
        <v>19</v>
      </c>
      <c r="B19" t="s">
        <v>86</v>
      </c>
      <c r="C19" t="s">
        <v>168</v>
      </c>
      <c r="D19" t="s">
        <v>226</v>
      </c>
    </row>
    <row r="20" spans="1:4">
      <c r="A20" t="s">
        <v>20</v>
      </c>
      <c r="B20" t="s">
        <v>87</v>
      </c>
      <c r="C20" t="s">
        <v>169</v>
      </c>
      <c r="D20" t="s">
        <v>227</v>
      </c>
    </row>
    <row r="21" spans="1:4">
      <c r="A21" t="s">
        <v>21</v>
      </c>
      <c r="B21" t="s">
        <v>88</v>
      </c>
      <c r="C21" t="s">
        <v>170</v>
      </c>
      <c r="D21" t="s">
        <v>228</v>
      </c>
    </row>
    <row r="22" spans="1:4">
      <c r="A22" t="s">
        <v>22</v>
      </c>
      <c r="B22" t="s">
        <v>89</v>
      </c>
      <c r="C22" t="s">
        <v>171</v>
      </c>
      <c r="D22" t="s">
        <v>229</v>
      </c>
    </row>
    <row r="23" spans="1:4">
      <c r="A23" t="s">
        <v>23</v>
      </c>
      <c r="B23" t="s">
        <v>90</v>
      </c>
      <c r="C23" t="s">
        <v>172</v>
      </c>
      <c r="D23" t="s">
        <v>230</v>
      </c>
    </row>
    <row r="24" spans="1:4">
      <c r="A24" t="s">
        <v>24</v>
      </c>
      <c r="B24" t="s">
        <v>91</v>
      </c>
      <c r="C24" t="s">
        <v>173</v>
      </c>
      <c r="D24" t="s">
        <v>231</v>
      </c>
    </row>
    <row r="25" spans="1:4">
      <c r="A25" t="s">
        <v>25</v>
      </c>
      <c r="B25" t="s">
        <v>92</v>
      </c>
      <c r="C25" t="s">
        <v>174</v>
      </c>
      <c r="D25" t="s">
        <v>232</v>
      </c>
    </row>
    <row r="26" spans="1:4">
      <c r="A26" t="s">
        <v>26</v>
      </c>
      <c r="B26" t="s">
        <v>93</v>
      </c>
      <c r="C26" t="s">
        <v>175</v>
      </c>
      <c r="D26" t="s">
        <v>233</v>
      </c>
    </row>
    <row r="27" spans="1:4">
      <c r="A27" t="s">
        <v>27</v>
      </c>
      <c r="B27" t="s">
        <v>94</v>
      </c>
      <c r="C27" t="s">
        <v>176</v>
      </c>
      <c r="D27" t="s">
        <v>234</v>
      </c>
    </row>
    <row r="28" spans="1:4">
      <c r="A28" t="s">
        <v>28</v>
      </c>
      <c r="B28" t="s">
        <v>95</v>
      </c>
      <c r="C28" t="s">
        <v>177</v>
      </c>
      <c r="D28" t="s">
        <v>235</v>
      </c>
    </row>
    <row r="29" spans="1:4">
      <c r="A29" t="s">
        <v>29</v>
      </c>
      <c r="B29" t="s">
        <v>96</v>
      </c>
      <c r="C29" t="s">
        <v>178</v>
      </c>
      <c r="D29" t="s">
        <v>236</v>
      </c>
    </row>
    <row r="30" spans="1:4">
      <c r="A30" t="s">
        <v>30</v>
      </c>
      <c r="B30" t="s">
        <v>97</v>
      </c>
      <c r="C30" t="s">
        <v>179</v>
      </c>
      <c r="D30" t="s">
        <v>237</v>
      </c>
    </row>
    <row r="31" spans="1:4">
      <c r="A31" t="s">
        <v>31</v>
      </c>
      <c r="B31" t="s">
        <v>98</v>
      </c>
      <c r="C31" t="s">
        <v>180</v>
      </c>
      <c r="D31" t="s">
        <v>238</v>
      </c>
    </row>
    <row r="32" spans="1:4">
      <c r="A32" t="s">
        <v>32</v>
      </c>
      <c r="B32" t="s">
        <v>99</v>
      </c>
      <c r="C32" t="s">
        <v>181</v>
      </c>
      <c r="D32" t="s">
        <v>239</v>
      </c>
    </row>
    <row r="33" spans="1:4">
      <c r="A33" t="s">
        <v>33</v>
      </c>
      <c r="B33" t="s">
        <v>100</v>
      </c>
      <c r="C33" t="s">
        <v>182</v>
      </c>
      <c r="D33" t="s">
        <v>240</v>
      </c>
    </row>
    <row r="34" spans="1:4">
      <c r="A34" t="s">
        <v>34</v>
      </c>
      <c r="B34" t="s">
        <v>101</v>
      </c>
      <c r="C34" t="s">
        <v>183</v>
      </c>
      <c r="D34" t="s">
        <v>241</v>
      </c>
    </row>
    <row r="35" spans="1:4">
      <c r="A35" t="s">
        <v>35</v>
      </c>
      <c r="B35" t="s">
        <v>102</v>
      </c>
      <c r="C35" t="s">
        <v>184</v>
      </c>
      <c r="D35" t="s">
        <v>242</v>
      </c>
    </row>
    <row r="36" spans="1:4">
      <c r="A36" t="s">
        <v>36</v>
      </c>
      <c r="B36" t="s">
        <v>103</v>
      </c>
      <c r="C36" t="s">
        <v>185</v>
      </c>
      <c r="D36" t="s">
        <v>243</v>
      </c>
    </row>
    <row r="37" spans="1:4">
      <c r="A37" t="s">
        <v>37</v>
      </c>
      <c r="B37" t="s">
        <v>104</v>
      </c>
      <c r="C37" t="s">
        <v>186</v>
      </c>
      <c r="D37" t="s">
        <v>244</v>
      </c>
    </row>
    <row r="38" spans="1:4">
      <c r="A38" t="s">
        <v>38</v>
      </c>
      <c r="B38" t="s">
        <v>105</v>
      </c>
      <c r="C38" t="s">
        <v>187</v>
      </c>
      <c r="D38" t="s">
        <v>245</v>
      </c>
    </row>
    <row r="39" spans="1:4">
      <c r="A39" t="s">
        <v>39</v>
      </c>
      <c r="B39" t="s">
        <v>106</v>
      </c>
      <c r="C39" t="s">
        <v>188</v>
      </c>
      <c r="D39" t="s">
        <v>246</v>
      </c>
    </row>
    <row r="40" spans="1:4">
      <c r="A40" t="s">
        <v>40</v>
      </c>
      <c r="B40" t="s">
        <v>107</v>
      </c>
      <c r="C40" t="s">
        <v>189</v>
      </c>
      <c r="D40" t="s">
        <v>247</v>
      </c>
    </row>
    <row r="41" spans="1:4">
      <c r="A41" t="s">
        <v>41</v>
      </c>
      <c r="B41" t="s">
        <v>108</v>
      </c>
      <c r="C41" t="s">
        <v>190</v>
      </c>
      <c r="D41" t="s">
        <v>248</v>
      </c>
    </row>
    <row r="42" spans="1:4">
      <c r="A42" t="s">
        <v>42</v>
      </c>
      <c r="B42" t="s">
        <v>109</v>
      </c>
      <c r="C42" t="s">
        <v>191</v>
      </c>
      <c r="D42" t="s">
        <v>249</v>
      </c>
    </row>
    <row r="43" spans="1:4">
      <c r="A43" t="s">
        <v>43</v>
      </c>
      <c r="B43" t="s">
        <v>110</v>
      </c>
      <c r="C43" t="s">
        <v>192</v>
      </c>
      <c r="D43" t="s">
        <v>250</v>
      </c>
    </row>
    <row r="44" spans="1:4">
      <c r="A44" t="s">
        <v>44</v>
      </c>
      <c r="B44" t="s">
        <v>111</v>
      </c>
      <c r="C44" t="s">
        <v>193</v>
      </c>
      <c r="D44" t="s">
        <v>251</v>
      </c>
    </row>
    <row r="45" spans="1:4">
      <c r="A45" t="s">
        <v>45</v>
      </c>
      <c r="B45" t="s">
        <v>112</v>
      </c>
      <c r="C45" t="s">
        <v>194</v>
      </c>
      <c r="D45" t="s">
        <v>252</v>
      </c>
    </row>
    <row r="46" spans="1:4">
      <c r="A46" t="s">
        <v>46</v>
      </c>
      <c r="B46" t="s">
        <v>113</v>
      </c>
      <c r="C46" t="s">
        <v>195</v>
      </c>
      <c r="D46" t="s">
        <v>253</v>
      </c>
    </row>
    <row r="47" spans="1:4">
      <c r="A47" t="s">
        <v>47</v>
      </c>
      <c r="B47" t="s">
        <v>114</v>
      </c>
      <c r="C47" t="s">
        <v>196</v>
      </c>
      <c r="D47" t="s">
        <v>254</v>
      </c>
    </row>
    <row r="48" spans="1:4">
      <c r="A48" t="s">
        <v>48</v>
      </c>
      <c r="B48" t="s">
        <v>115</v>
      </c>
      <c r="C48" t="s">
        <v>197</v>
      </c>
      <c r="D48" t="s">
        <v>255</v>
      </c>
    </row>
    <row r="49" spans="1:4">
      <c r="A49" t="s">
        <v>49</v>
      </c>
      <c r="B49" t="s">
        <v>116</v>
      </c>
      <c r="C49" t="s">
        <v>198</v>
      </c>
      <c r="D49" t="s">
        <v>256</v>
      </c>
    </row>
    <row r="50" spans="1:4">
      <c r="A50" t="s">
        <v>50</v>
      </c>
      <c r="B50" t="s">
        <v>117</v>
      </c>
      <c r="C50" t="s">
        <v>199</v>
      </c>
      <c r="D50" t="s">
        <v>257</v>
      </c>
    </row>
    <row r="51" spans="1:4">
      <c r="A51" t="s">
        <v>51</v>
      </c>
      <c r="B51" t="s">
        <v>118</v>
      </c>
      <c r="C51" t="s">
        <v>200</v>
      </c>
      <c r="D51" t="s">
        <v>258</v>
      </c>
    </row>
    <row r="52" spans="1:4">
      <c r="A52" t="s">
        <v>52</v>
      </c>
      <c r="B52" t="s">
        <v>119</v>
      </c>
      <c r="C52" t="s">
        <v>201</v>
      </c>
      <c r="D52" t="s">
        <v>259</v>
      </c>
    </row>
    <row r="53" spans="1:4">
      <c r="A53" t="s">
        <v>53</v>
      </c>
      <c r="B53" t="s">
        <v>120</v>
      </c>
      <c r="C53" t="s">
        <v>202</v>
      </c>
      <c r="D53" t="s">
        <v>260</v>
      </c>
    </row>
    <row r="54" spans="1:4">
      <c r="A54" t="s">
        <v>54</v>
      </c>
      <c r="B54" t="s">
        <v>121</v>
      </c>
      <c r="C54" t="s">
        <v>203</v>
      </c>
      <c r="D54" t="s">
        <v>261</v>
      </c>
    </row>
    <row r="55" spans="1:4">
      <c r="A55" t="s">
        <v>55</v>
      </c>
      <c r="B55" t="s">
        <v>122</v>
      </c>
      <c r="C55" t="s">
        <v>204</v>
      </c>
      <c r="D55" t="s">
        <v>262</v>
      </c>
    </row>
    <row r="56" spans="1:4">
      <c r="A56" t="s">
        <v>56</v>
      </c>
      <c r="B56" t="s">
        <v>123</v>
      </c>
      <c r="C56" t="s">
        <v>204</v>
      </c>
      <c r="D56" t="s">
        <v>262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35B88-9AE2-4105-B20E-CD1011224290}">
  <dimension ref="A1:N62"/>
  <sheetViews>
    <sheetView topLeftCell="A16" workbookViewId="0">
      <selection activeCell="M8" sqref="M8"/>
    </sheetView>
  </sheetViews>
  <sheetFormatPr defaultRowHeight="14.5"/>
  <cols>
    <col min="1" max="1" width="91.36328125" customWidth="1"/>
    <col min="2" max="7" width="13.453125" customWidth="1"/>
    <col min="8" max="12" width="11.6328125" customWidth="1"/>
    <col min="13" max="13" width="16.08984375" customWidth="1"/>
    <col min="14" max="14" width="19.54296875" bestFit="1" customWidth="1"/>
  </cols>
  <sheetData>
    <row r="1" spans="1:14">
      <c r="A1" t="s">
        <v>318</v>
      </c>
      <c r="B1">
        <v>2020</v>
      </c>
      <c r="C1">
        <v>2021</v>
      </c>
      <c r="D1">
        <v>2022</v>
      </c>
      <c r="E1">
        <v>2023</v>
      </c>
      <c r="F1">
        <v>2024</v>
      </c>
      <c r="G1">
        <v>2025</v>
      </c>
      <c r="H1" t="s">
        <v>319</v>
      </c>
      <c r="I1" t="s">
        <v>320</v>
      </c>
      <c r="J1" t="s">
        <v>321</v>
      </c>
      <c r="K1" t="s">
        <v>322</v>
      </c>
      <c r="L1" t="s">
        <v>323</v>
      </c>
      <c r="M1" t="s">
        <v>324</v>
      </c>
      <c r="N1" t="s">
        <v>325</v>
      </c>
    </row>
    <row r="2" spans="1:14">
      <c r="A2" t="s">
        <v>326</v>
      </c>
      <c r="B2" s="2">
        <v>53281530000</v>
      </c>
      <c r="C2" s="2">
        <v>54834530000</v>
      </c>
      <c r="D2" s="2">
        <v>56926730000</v>
      </c>
      <c r="E2" s="2">
        <v>58154460000</v>
      </c>
      <c r="F2" s="2">
        <v>59555280000</v>
      </c>
      <c r="G2" s="2">
        <v>63001260000</v>
      </c>
      <c r="H2" s="3">
        <f>IF(B2=0, 0, (C2/B2)-1)</f>
        <v>2.9147060904594957E-2</v>
      </c>
      <c r="I2" s="3">
        <f t="shared" ref="H2:L33" si="0">IF(C2=0, 0, (D2/C2)-1)</f>
        <v>3.8154790421291107E-2</v>
      </c>
      <c r="J2" s="3">
        <f t="shared" si="0"/>
        <v>2.1566845662837064E-2</v>
      </c>
      <c r="K2" s="3">
        <f t="shared" si="0"/>
        <v>2.408792034179319E-2</v>
      </c>
      <c r="L2" s="3">
        <f t="shared" si="0"/>
        <v>5.7861872196722119E-2</v>
      </c>
      <c r="M2" s="3">
        <f>AVERAGE(H2:L2)</f>
        <v>3.4163697905447689E-2</v>
      </c>
      <c r="N2" s="3">
        <f>IF(B2=0, 0, (G2/B2)^(1/5)-1)</f>
        <v>3.4080883413524665E-2</v>
      </c>
    </row>
    <row r="3" spans="1:14">
      <c r="A3" t="s">
        <v>327</v>
      </c>
      <c r="B3" s="2">
        <v>38528310000</v>
      </c>
      <c r="C3" s="2">
        <v>39746860000</v>
      </c>
      <c r="D3" s="2">
        <v>41737040000</v>
      </c>
      <c r="E3" s="2">
        <v>42923600000</v>
      </c>
      <c r="F3" s="2">
        <v>44181180000</v>
      </c>
      <c r="G3" s="2">
        <v>47555570000</v>
      </c>
      <c r="H3" s="3">
        <f>IF(B3=0, 0, (C3/B3)-1)</f>
        <v>3.1627392948198274E-2</v>
      </c>
      <c r="I3" s="3">
        <f t="shared" si="0"/>
        <v>5.0071376707493398E-2</v>
      </c>
      <c r="J3" s="3">
        <f t="shared" si="0"/>
        <v>2.8429423840310664E-2</v>
      </c>
      <c r="K3" s="3">
        <f t="shared" si="0"/>
        <v>2.9298101743562954E-2</v>
      </c>
      <c r="L3" s="3">
        <f t="shared" si="0"/>
        <v>7.6376185516095374E-2</v>
      </c>
      <c r="M3" s="3">
        <f t="shared" ref="M3:M62" si="1">AVERAGE(H3:L3)</f>
        <v>4.3160496151132134E-2</v>
      </c>
      <c r="N3" s="3">
        <f t="shared" ref="N3:N62" si="2">IF(B3=0, 0, (G3/B3)^(1/5)-1)</f>
        <v>4.2999947044876308E-2</v>
      </c>
    </row>
    <row r="4" spans="1:14">
      <c r="A4" t="s">
        <v>211</v>
      </c>
      <c r="B4" s="2">
        <v>8672690000</v>
      </c>
      <c r="C4" s="2">
        <v>8823530000</v>
      </c>
      <c r="D4" s="2">
        <v>8936280000</v>
      </c>
      <c r="E4" s="2">
        <v>8889850000</v>
      </c>
      <c r="F4" s="2">
        <v>8902880000</v>
      </c>
      <c r="G4" s="2">
        <v>10605840000</v>
      </c>
      <c r="H4" s="3">
        <f t="shared" si="0"/>
        <v>1.7392527577948735E-2</v>
      </c>
      <c r="I4" s="3">
        <f t="shared" si="0"/>
        <v>1.2778332481444554E-2</v>
      </c>
      <c r="J4" s="3">
        <f t="shared" si="0"/>
        <v>-5.195674262668537E-3</v>
      </c>
      <c r="K4" s="3">
        <f t="shared" si="0"/>
        <v>1.4657165194014166E-3</v>
      </c>
      <c r="L4" s="3">
        <f t="shared" si="0"/>
        <v>0.19128192225437157</v>
      </c>
      <c r="M4" s="3">
        <f t="shared" si="1"/>
        <v>4.3544564914099547E-2</v>
      </c>
      <c r="N4" s="3">
        <f t="shared" si="2"/>
        <v>4.106596748763347E-2</v>
      </c>
    </row>
    <row r="5" spans="1:14">
      <c r="A5" t="s">
        <v>212</v>
      </c>
      <c r="B5" s="2">
        <v>3483380000</v>
      </c>
      <c r="C5" s="2">
        <v>3723280000</v>
      </c>
      <c r="D5" s="2">
        <v>3841050000</v>
      </c>
      <c r="E5" s="2">
        <v>3861830000</v>
      </c>
      <c r="F5" s="2">
        <v>3795870000</v>
      </c>
      <c r="G5" s="2">
        <v>3831960000</v>
      </c>
      <c r="H5" s="3">
        <f t="shared" si="0"/>
        <v>6.886989073830585E-2</v>
      </c>
      <c r="I5" s="3">
        <f t="shared" si="0"/>
        <v>3.16307127049269E-2</v>
      </c>
      <c r="J5" s="3">
        <f t="shared" si="0"/>
        <v>5.4099790421890948E-3</v>
      </c>
      <c r="K5" s="3">
        <f t="shared" si="0"/>
        <v>-1.707998539552491E-2</v>
      </c>
      <c r="L5" s="3">
        <f t="shared" si="0"/>
        <v>9.5077017916840312E-3</v>
      </c>
      <c r="M5" s="3">
        <f t="shared" si="1"/>
        <v>1.9667659776316192E-2</v>
      </c>
      <c r="N5" s="3">
        <f t="shared" si="2"/>
        <v>1.9257750665865547E-2</v>
      </c>
    </row>
    <row r="6" spans="1:14">
      <c r="A6" t="s">
        <v>213</v>
      </c>
      <c r="B6" s="2">
        <v>20437060000</v>
      </c>
      <c r="C6" s="2">
        <v>21026190000</v>
      </c>
      <c r="D6" s="2">
        <v>22680220000</v>
      </c>
      <c r="E6" s="2">
        <v>23822170000</v>
      </c>
      <c r="F6" s="2">
        <v>24924260000</v>
      </c>
      <c r="G6" s="2">
        <v>26159080000</v>
      </c>
      <c r="H6" s="3">
        <f t="shared" si="0"/>
        <v>2.8826553330077775E-2</v>
      </c>
      <c r="I6" s="3">
        <f t="shared" si="0"/>
        <v>7.8665226557926182E-2</v>
      </c>
      <c r="J6" s="3">
        <f t="shared" si="0"/>
        <v>5.0350040696254261E-2</v>
      </c>
      <c r="K6" s="3">
        <f t="shared" si="0"/>
        <v>4.6263207759830394E-2</v>
      </c>
      <c r="L6" s="3">
        <f t="shared" si="0"/>
        <v>4.954289515516197E-2</v>
      </c>
      <c r="M6" s="3">
        <f t="shared" si="1"/>
        <v>5.0729584699850117E-2</v>
      </c>
      <c r="N6" s="3">
        <f t="shared" si="2"/>
        <v>5.0608255796950719E-2</v>
      </c>
    </row>
    <row r="7" spans="1:14">
      <c r="A7" t="s">
        <v>214</v>
      </c>
      <c r="B7" s="2">
        <v>5048020000</v>
      </c>
      <c r="C7" s="2">
        <v>5262190000</v>
      </c>
      <c r="D7" s="2">
        <v>5367120000</v>
      </c>
      <c r="E7" s="2">
        <v>5435780000</v>
      </c>
      <c r="F7" s="2">
        <v>5673810000</v>
      </c>
      <c r="G7" s="2">
        <v>6062230000</v>
      </c>
      <c r="H7" s="3">
        <f t="shared" si="0"/>
        <v>4.2426535552553268E-2</v>
      </c>
      <c r="I7" s="3">
        <f t="shared" si="0"/>
        <v>1.9940367033497441E-2</v>
      </c>
      <c r="J7" s="3">
        <f t="shared" si="0"/>
        <v>1.2792708193593683E-2</v>
      </c>
      <c r="K7" s="3">
        <f t="shared" si="0"/>
        <v>4.3789483753941427E-2</v>
      </c>
      <c r="L7" s="3">
        <f t="shared" si="0"/>
        <v>6.8458408018597705E-2</v>
      </c>
      <c r="M7" s="3">
        <f t="shared" si="1"/>
        <v>3.7481500510436708E-2</v>
      </c>
      <c r="N7" s="3">
        <f t="shared" si="2"/>
        <v>3.7294961786997316E-2</v>
      </c>
    </row>
    <row r="8" spans="1:14">
      <c r="A8" t="s">
        <v>215</v>
      </c>
      <c r="B8" s="2">
        <v>887160000</v>
      </c>
      <c r="C8" s="2">
        <v>911680000</v>
      </c>
      <c r="D8" s="2">
        <v>912360000</v>
      </c>
      <c r="E8" s="2">
        <v>913970000</v>
      </c>
      <c r="F8" s="2">
        <v>884360000</v>
      </c>
      <c r="G8" s="2">
        <v>896470000</v>
      </c>
      <c r="H8" s="3">
        <f t="shared" si="0"/>
        <v>2.7638757383110057E-2</v>
      </c>
      <c r="I8" s="3">
        <f t="shared" si="0"/>
        <v>7.4587574587581251E-4</v>
      </c>
      <c r="J8" s="3">
        <f t="shared" si="0"/>
        <v>1.7646543031260009E-3</v>
      </c>
      <c r="K8" s="3">
        <f t="shared" si="0"/>
        <v>-3.2397124632099539E-2</v>
      </c>
      <c r="L8" s="3">
        <f t="shared" si="0"/>
        <v>1.3693518476638467E-2</v>
      </c>
      <c r="M8" s="3">
        <f t="shared" si="1"/>
        <v>2.2891362553301596E-3</v>
      </c>
      <c r="N8" s="3">
        <f t="shared" si="2"/>
        <v>2.0900771043108612E-3</v>
      </c>
    </row>
    <row r="9" spans="1:14">
      <c r="A9" t="s">
        <v>216</v>
      </c>
      <c r="B9" s="2">
        <v>5612680000</v>
      </c>
      <c r="C9" s="2">
        <v>5613870000</v>
      </c>
      <c r="D9" s="2">
        <v>5730890000</v>
      </c>
      <c r="E9" s="2">
        <v>5766940000</v>
      </c>
      <c r="F9" s="2">
        <v>5770230000</v>
      </c>
      <c r="G9" s="2">
        <v>5898190000</v>
      </c>
      <c r="H9" s="3">
        <f t="shared" si="0"/>
        <v>2.1201992630981437E-4</v>
      </c>
      <c r="I9" s="3">
        <f t="shared" si="0"/>
        <v>2.0844800467413771E-2</v>
      </c>
      <c r="J9" s="3">
        <f t="shared" si="0"/>
        <v>6.2904714625477975E-3</v>
      </c>
      <c r="K9" s="3">
        <f t="shared" si="0"/>
        <v>5.7049319049617964E-4</v>
      </c>
      <c r="L9" s="3">
        <f t="shared" si="0"/>
        <v>2.2175892468757841E-2</v>
      </c>
      <c r="M9" s="3">
        <f t="shared" si="1"/>
        <v>1.0018735503105081E-2</v>
      </c>
      <c r="N9" s="3">
        <f t="shared" si="2"/>
        <v>9.9728406763031074E-3</v>
      </c>
    </row>
    <row r="10" spans="1:14">
      <c r="A10" t="s">
        <v>217</v>
      </c>
      <c r="B10" s="2">
        <v>9140530000</v>
      </c>
      <c r="C10" s="2">
        <v>9473800000</v>
      </c>
      <c r="D10" s="2">
        <v>9458800000</v>
      </c>
      <c r="E10" s="2">
        <v>9463930000</v>
      </c>
      <c r="F10" s="2">
        <v>9603870000</v>
      </c>
      <c r="G10" s="2">
        <v>9547510000</v>
      </c>
      <c r="H10" s="3">
        <f t="shared" si="0"/>
        <v>3.6460686634144812E-2</v>
      </c>
      <c r="I10" s="3">
        <f t="shared" si="0"/>
        <v>-1.5833139817179598E-3</v>
      </c>
      <c r="J10" s="3">
        <f t="shared" si="0"/>
        <v>5.4235209540332008E-4</v>
      </c>
      <c r="K10" s="3">
        <f t="shared" si="0"/>
        <v>1.4786668963105098E-2</v>
      </c>
      <c r="L10" s="3">
        <f t="shared" si="0"/>
        <v>-5.8684676073291753E-3</v>
      </c>
      <c r="M10" s="3">
        <f t="shared" si="1"/>
        <v>8.8675852207212198E-3</v>
      </c>
      <c r="N10" s="3">
        <f t="shared" si="2"/>
        <v>8.7504668184783529E-3</v>
      </c>
    </row>
    <row r="11" spans="1:14">
      <c r="A11" t="s">
        <v>328</v>
      </c>
      <c r="B11" s="2">
        <v>68330870000</v>
      </c>
      <c r="C11" s="2">
        <v>72071690000</v>
      </c>
      <c r="D11" s="2">
        <v>76596700000</v>
      </c>
      <c r="E11" s="2">
        <v>82688480000</v>
      </c>
      <c r="F11" s="2">
        <v>85424440000</v>
      </c>
      <c r="G11" s="2">
        <v>88347300000</v>
      </c>
      <c r="H11" s="3">
        <f t="shared" si="0"/>
        <v>5.4745680832104071E-2</v>
      </c>
      <c r="I11" s="3">
        <f t="shared" si="0"/>
        <v>6.2784846588167964E-2</v>
      </c>
      <c r="J11" s="3">
        <f t="shared" si="0"/>
        <v>7.9530580299151277E-2</v>
      </c>
      <c r="K11" s="3">
        <f t="shared" si="0"/>
        <v>3.3087559476241424E-2</v>
      </c>
      <c r="L11" s="3">
        <f t="shared" si="0"/>
        <v>3.4215734981698498E-2</v>
      </c>
      <c r="M11" s="3">
        <f t="shared" si="1"/>
        <v>5.2872880435472648E-2</v>
      </c>
      <c r="N11" s="3">
        <f t="shared" si="2"/>
        <v>5.2725798963738635E-2</v>
      </c>
    </row>
    <row r="12" spans="1:14">
      <c r="A12" t="s">
        <v>218</v>
      </c>
      <c r="B12" s="2">
        <v>29904310000</v>
      </c>
      <c r="C12" s="2">
        <v>29775780000</v>
      </c>
      <c r="D12" s="2">
        <v>28703740000</v>
      </c>
      <c r="E12" s="2">
        <v>28700470000</v>
      </c>
      <c r="F12" s="2">
        <v>28475630000</v>
      </c>
      <c r="G12" s="2">
        <v>28175930000</v>
      </c>
      <c r="H12" s="3">
        <f t="shared" si="0"/>
        <v>-4.2980426567273966E-3</v>
      </c>
      <c r="I12" s="3">
        <f t="shared" si="0"/>
        <v>-3.600375875963624E-2</v>
      </c>
      <c r="J12" s="3">
        <f t="shared" si="0"/>
        <v>-1.1392243658836509E-4</v>
      </c>
      <c r="K12" s="3">
        <f t="shared" si="0"/>
        <v>-7.8340180491818234E-3</v>
      </c>
      <c r="L12" s="3">
        <f t="shared" si="0"/>
        <v>-1.0524789091584608E-2</v>
      </c>
      <c r="M12" s="3">
        <f t="shared" si="1"/>
        <v>-1.1754906198743687E-2</v>
      </c>
      <c r="N12" s="3">
        <f t="shared" si="2"/>
        <v>-1.1836303221219868E-2</v>
      </c>
    </row>
    <row r="13" spans="1:14">
      <c r="A13" t="s">
        <v>219</v>
      </c>
      <c r="B13" s="2">
        <v>22300150000</v>
      </c>
      <c r="C13" s="2">
        <v>25808120000</v>
      </c>
      <c r="D13" s="2">
        <v>30834600000</v>
      </c>
      <c r="E13" s="2">
        <v>36834140000</v>
      </c>
      <c r="F13" s="2">
        <v>39114130000</v>
      </c>
      <c r="G13" s="2">
        <v>41894820000</v>
      </c>
      <c r="H13" s="3">
        <f t="shared" si="0"/>
        <v>0.15730701362995325</v>
      </c>
      <c r="I13" s="3">
        <f t="shared" si="0"/>
        <v>0.19476350853917301</v>
      </c>
      <c r="J13" s="3">
        <f t="shared" si="0"/>
        <v>0.19457168246061252</v>
      </c>
      <c r="K13" s="3">
        <f t="shared" si="0"/>
        <v>6.1898825383190692E-2</v>
      </c>
      <c r="L13" s="3">
        <f t="shared" si="0"/>
        <v>7.1091700109397804E-2</v>
      </c>
      <c r="M13" s="3">
        <f t="shared" si="1"/>
        <v>0.13592654602446547</v>
      </c>
      <c r="N13" s="3">
        <f t="shared" si="2"/>
        <v>0.13441120854473998</v>
      </c>
    </row>
    <row r="14" spans="1:14">
      <c r="A14" t="s">
        <v>220</v>
      </c>
      <c r="B14">
        <v>0</v>
      </c>
      <c r="C14">
        <v>0</v>
      </c>
      <c r="D14">
        <v>0</v>
      </c>
      <c r="E14">
        <v>0</v>
      </c>
      <c r="F14">
        <v>0</v>
      </c>
      <c r="G14">
        <v>0</v>
      </c>
      <c r="H14" s="3">
        <f t="shared" si="0"/>
        <v>0</v>
      </c>
      <c r="I14" s="3">
        <f t="shared" si="0"/>
        <v>0</v>
      </c>
      <c r="J14" s="3">
        <f t="shared" si="0"/>
        <v>0</v>
      </c>
      <c r="K14" s="3">
        <f t="shared" si="0"/>
        <v>0</v>
      </c>
      <c r="L14" s="3">
        <f t="shared" si="0"/>
        <v>0</v>
      </c>
      <c r="M14" s="3">
        <f t="shared" si="1"/>
        <v>0</v>
      </c>
      <c r="N14" s="3">
        <f t="shared" si="2"/>
        <v>0</v>
      </c>
    </row>
    <row r="15" spans="1:14">
      <c r="A15" t="s">
        <v>221</v>
      </c>
      <c r="B15" s="2">
        <v>16126410000</v>
      </c>
      <c r="C15" s="2">
        <v>16487790000</v>
      </c>
      <c r="D15" s="2">
        <v>17058350000</v>
      </c>
      <c r="E15" s="2">
        <v>17153870000</v>
      </c>
      <c r="F15" s="2">
        <v>17834680000</v>
      </c>
      <c r="G15" s="2">
        <v>18276550000</v>
      </c>
      <c r="H15" s="3">
        <f t="shared" si="0"/>
        <v>2.2409203288270563E-2</v>
      </c>
      <c r="I15" s="3">
        <f t="shared" si="0"/>
        <v>3.4605001640608091E-2</v>
      </c>
      <c r="J15" s="3">
        <f t="shared" si="0"/>
        <v>5.5996037131376131E-3</v>
      </c>
      <c r="K15" s="3">
        <f t="shared" si="0"/>
        <v>3.9688420164079696E-2</v>
      </c>
      <c r="L15" s="3">
        <f t="shared" si="0"/>
        <v>2.4775886082621046E-2</v>
      </c>
      <c r="M15" s="3">
        <f t="shared" si="1"/>
        <v>2.5415622977743402E-2</v>
      </c>
      <c r="N15" s="3">
        <f t="shared" si="2"/>
        <v>2.5348037080659136E-2</v>
      </c>
    </row>
    <row r="16" spans="1:14">
      <c r="A16" t="s">
        <v>329</v>
      </c>
      <c r="B16" s="2">
        <v>59276640000</v>
      </c>
      <c r="C16" s="2">
        <v>60571420000</v>
      </c>
      <c r="D16" s="2">
        <v>63307610000</v>
      </c>
      <c r="E16" s="2">
        <v>65761470000</v>
      </c>
      <c r="F16" s="2">
        <v>68741770000</v>
      </c>
      <c r="G16" s="2">
        <v>71873300000</v>
      </c>
      <c r="H16" s="3">
        <f t="shared" si="0"/>
        <v>2.1843005946355909E-2</v>
      </c>
      <c r="I16" s="3">
        <f t="shared" si="0"/>
        <v>4.5172954505606766E-2</v>
      </c>
      <c r="J16" s="3">
        <f t="shared" si="0"/>
        <v>3.8760900940661092E-2</v>
      </c>
      <c r="K16" s="3">
        <f t="shared" si="0"/>
        <v>4.5319850666355244E-2</v>
      </c>
      <c r="L16" s="3">
        <f t="shared" si="0"/>
        <v>4.5554980618043528E-2</v>
      </c>
      <c r="M16" s="3">
        <f t="shared" si="1"/>
        <v>3.9330338535404505E-2</v>
      </c>
      <c r="N16" s="3">
        <f t="shared" si="2"/>
        <v>3.92901265686878E-2</v>
      </c>
    </row>
    <row r="17" spans="1:14">
      <c r="A17" t="s">
        <v>222</v>
      </c>
      <c r="B17" s="2">
        <v>13841970000</v>
      </c>
      <c r="C17" s="2">
        <v>14118320000</v>
      </c>
      <c r="D17" s="2">
        <v>14775400000</v>
      </c>
      <c r="E17" s="2">
        <v>15308240000</v>
      </c>
      <c r="F17" s="2">
        <v>15606870000</v>
      </c>
      <c r="G17" s="2">
        <v>15820610000</v>
      </c>
      <c r="H17" s="3">
        <f t="shared" si="0"/>
        <v>1.9964643760967515E-2</v>
      </c>
      <c r="I17" s="3">
        <f t="shared" si="0"/>
        <v>4.6540948214801814E-2</v>
      </c>
      <c r="J17" s="3">
        <f t="shared" si="0"/>
        <v>3.6062644666134291E-2</v>
      </c>
      <c r="K17" s="3">
        <f t="shared" si="0"/>
        <v>1.9507794494990849E-2</v>
      </c>
      <c r="L17" s="3">
        <f t="shared" si="0"/>
        <v>1.3695250873493547E-2</v>
      </c>
      <c r="M17" s="3">
        <f t="shared" si="1"/>
        <v>2.7154256402077602E-2</v>
      </c>
      <c r="N17" s="3">
        <f t="shared" si="2"/>
        <v>2.708187252982186E-2</v>
      </c>
    </row>
    <row r="18" spans="1:14">
      <c r="A18" t="s">
        <v>223</v>
      </c>
      <c r="B18" s="2">
        <v>23726230000</v>
      </c>
      <c r="C18" s="2">
        <v>24141880000</v>
      </c>
      <c r="D18" s="2">
        <v>25267060000</v>
      </c>
      <c r="E18" s="2">
        <v>26891650000</v>
      </c>
      <c r="F18" s="2">
        <v>28311610000</v>
      </c>
      <c r="G18" s="2">
        <v>30648220000</v>
      </c>
      <c r="H18" s="3">
        <f t="shared" si="0"/>
        <v>1.7518585970042411E-2</v>
      </c>
      <c r="I18" s="3">
        <f t="shared" si="0"/>
        <v>4.6606975098873793E-2</v>
      </c>
      <c r="J18" s="3">
        <f t="shared" si="0"/>
        <v>6.4296756330178395E-2</v>
      </c>
      <c r="K18" s="3">
        <f t="shared" si="0"/>
        <v>5.2803007625043419E-2</v>
      </c>
      <c r="L18" s="3">
        <f t="shared" si="0"/>
        <v>8.2531865902363055E-2</v>
      </c>
      <c r="M18" s="3">
        <f t="shared" si="1"/>
        <v>5.2751438185300217E-2</v>
      </c>
      <c r="N18" s="3">
        <f t="shared" si="2"/>
        <v>5.2531989241665356E-2</v>
      </c>
    </row>
    <row r="19" spans="1:14">
      <c r="A19" t="s">
        <v>224</v>
      </c>
      <c r="B19" s="2">
        <v>1160000</v>
      </c>
      <c r="C19" s="2">
        <v>1150000</v>
      </c>
      <c r="D19" s="2">
        <v>1130000</v>
      </c>
      <c r="E19" s="2">
        <v>1070000</v>
      </c>
      <c r="F19" s="2">
        <v>990000</v>
      </c>
      <c r="G19" s="2">
        <v>1010000</v>
      </c>
      <c r="H19" s="3">
        <f t="shared" si="0"/>
        <v>-8.6206896551723755E-3</v>
      </c>
      <c r="I19" s="3">
        <f t="shared" si="0"/>
        <v>-1.7391304347826098E-2</v>
      </c>
      <c r="J19" s="3">
        <f t="shared" si="0"/>
        <v>-5.3097345132743334E-2</v>
      </c>
      <c r="K19" s="3">
        <f t="shared" si="0"/>
        <v>-7.4766355140186924E-2</v>
      </c>
      <c r="L19" s="3">
        <f t="shared" si="0"/>
        <v>2.020202020202011E-2</v>
      </c>
      <c r="M19" s="3">
        <f t="shared" si="1"/>
        <v>-2.6734734814781724E-2</v>
      </c>
      <c r="N19" s="3">
        <f t="shared" si="2"/>
        <v>-2.7313973461035368E-2</v>
      </c>
    </row>
    <row r="20" spans="1:14">
      <c r="A20" t="s">
        <v>225</v>
      </c>
      <c r="B20" s="2">
        <v>110400000</v>
      </c>
      <c r="C20" s="2">
        <v>113400000</v>
      </c>
      <c r="D20" s="2">
        <v>119790000</v>
      </c>
      <c r="E20" s="2">
        <v>115590000</v>
      </c>
      <c r="F20" s="2">
        <v>117160000</v>
      </c>
      <c r="G20" s="2">
        <v>122750000</v>
      </c>
      <c r="H20" s="3">
        <f t="shared" si="0"/>
        <v>2.7173913043478271E-2</v>
      </c>
      <c r="I20" s="3">
        <f t="shared" si="0"/>
        <v>5.6349206349206371E-2</v>
      </c>
      <c r="J20" s="3">
        <f t="shared" si="0"/>
        <v>-3.5061357375406943E-2</v>
      </c>
      <c r="K20" s="3">
        <f t="shared" si="0"/>
        <v>1.3582489834760736E-2</v>
      </c>
      <c r="L20" s="3">
        <f t="shared" si="0"/>
        <v>4.7712529873676912E-2</v>
      </c>
      <c r="M20" s="3">
        <f t="shared" si="1"/>
        <v>2.1951356345143069E-2</v>
      </c>
      <c r="N20" s="3">
        <f t="shared" si="2"/>
        <v>2.1434412909193012E-2</v>
      </c>
    </row>
    <row r="21" spans="1:14">
      <c r="A21" t="s">
        <v>226</v>
      </c>
      <c r="B21" s="2">
        <v>1120000</v>
      </c>
      <c r="C21" s="2">
        <v>1170000</v>
      </c>
      <c r="D21" s="2">
        <v>1140000</v>
      </c>
      <c r="E21" s="2">
        <v>1140000</v>
      </c>
      <c r="F21" s="2">
        <v>1140000</v>
      </c>
      <c r="G21" s="2">
        <v>1150000</v>
      </c>
      <c r="H21" s="3">
        <f t="shared" si="0"/>
        <v>4.4642857142857206E-2</v>
      </c>
      <c r="I21" s="3">
        <f t="shared" si="0"/>
        <v>-2.5641025641025661E-2</v>
      </c>
      <c r="J21" s="3">
        <f t="shared" si="0"/>
        <v>0</v>
      </c>
      <c r="K21" s="3">
        <f t="shared" si="0"/>
        <v>0</v>
      </c>
      <c r="L21" s="3">
        <f t="shared" si="0"/>
        <v>8.7719298245614308E-3</v>
      </c>
      <c r="M21" s="3">
        <f t="shared" si="1"/>
        <v>5.5547522652785956E-3</v>
      </c>
      <c r="N21" s="3">
        <f t="shared" si="2"/>
        <v>5.3006504136214883E-3</v>
      </c>
    </row>
    <row r="22" spans="1:14">
      <c r="A22" t="s">
        <v>227</v>
      </c>
      <c r="B22" s="2">
        <v>630430000</v>
      </c>
      <c r="C22" s="2">
        <v>641930000</v>
      </c>
      <c r="D22" s="2">
        <v>658920000</v>
      </c>
      <c r="E22" s="2">
        <v>666190000</v>
      </c>
      <c r="F22" s="2">
        <v>679890000</v>
      </c>
      <c r="G22" s="2">
        <v>697850000</v>
      </c>
      <c r="H22" s="3">
        <f t="shared" si="0"/>
        <v>1.8241517694272069E-2</v>
      </c>
      <c r="I22" s="3">
        <f t="shared" si="0"/>
        <v>2.6467060271369247E-2</v>
      </c>
      <c r="J22" s="3">
        <f t="shared" si="0"/>
        <v>1.1033205852000183E-2</v>
      </c>
      <c r="K22" s="3">
        <f t="shared" si="0"/>
        <v>2.0564703763190639E-2</v>
      </c>
      <c r="L22" s="3">
        <f t="shared" si="0"/>
        <v>2.6416037888481902E-2</v>
      </c>
      <c r="M22" s="3">
        <f t="shared" si="1"/>
        <v>2.0544505093862808E-2</v>
      </c>
      <c r="N22" s="3">
        <f t="shared" si="2"/>
        <v>2.0528275869349244E-2</v>
      </c>
    </row>
    <row r="23" spans="1:14">
      <c r="A23" t="s">
        <v>228</v>
      </c>
      <c r="B23" s="2">
        <v>4063470000</v>
      </c>
      <c r="C23" s="2">
        <v>4216600000</v>
      </c>
      <c r="D23" s="2">
        <v>4419810000</v>
      </c>
      <c r="E23" s="2">
        <v>4618640000</v>
      </c>
      <c r="F23" s="2">
        <v>4984630000</v>
      </c>
      <c r="G23" s="2">
        <v>5157040000</v>
      </c>
      <c r="H23" s="3">
        <f t="shared" si="0"/>
        <v>3.7684540552778811E-2</v>
      </c>
      <c r="I23" s="3">
        <f t="shared" si="0"/>
        <v>4.8192856804060158E-2</v>
      </c>
      <c r="J23" s="3">
        <f t="shared" si="0"/>
        <v>4.4986096687414268E-2</v>
      </c>
      <c r="K23" s="3">
        <f t="shared" si="0"/>
        <v>7.9241941350700618E-2</v>
      </c>
      <c r="L23" s="3">
        <f t="shared" si="0"/>
        <v>3.4588324509542412E-2</v>
      </c>
      <c r="M23" s="3">
        <f t="shared" si="1"/>
        <v>4.8938751980899253E-2</v>
      </c>
      <c r="N23" s="3">
        <f t="shared" si="2"/>
        <v>4.8819343356976574E-2</v>
      </c>
    </row>
    <row r="24" spans="1:14">
      <c r="A24" t="s">
        <v>229</v>
      </c>
      <c r="B24" s="2">
        <v>5292550000</v>
      </c>
      <c r="C24" s="2">
        <v>5517430000</v>
      </c>
      <c r="D24" s="2">
        <v>6081480000</v>
      </c>
      <c r="E24" s="2">
        <v>6056920000</v>
      </c>
      <c r="F24" s="2">
        <v>6396870000</v>
      </c>
      <c r="G24" s="2">
        <v>6640100000</v>
      </c>
      <c r="H24" s="3">
        <f t="shared" si="0"/>
        <v>4.2489915069295447E-2</v>
      </c>
      <c r="I24" s="3">
        <f t="shared" si="0"/>
        <v>0.10223056749247394</v>
      </c>
      <c r="J24" s="3">
        <f t="shared" si="0"/>
        <v>-4.0384906305701573E-3</v>
      </c>
      <c r="K24" s="3">
        <f t="shared" si="0"/>
        <v>5.6125885763721461E-2</v>
      </c>
      <c r="L24" s="3">
        <f t="shared" si="0"/>
        <v>3.8023283261970242E-2</v>
      </c>
      <c r="M24" s="3">
        <f t="shared" si="1"/>
        <v>4.6966232191378188E-2</v>
      </c>
      <c r="N24" s="3">
        <f t="shared" si="2"/>
        <v>4.6410117418139496E-2</v>
      </c>
    </row>
    <row r="25" spans="1:14">
      <c r="A25" t="s">
        <v>230</v>
      </c>
      <c r="B25" s="2">
        <v>9620740000</v>
      </c>
      <c r="C25" s="2">
        <v>9819760000</v>
      </c>
      <c r="D25" s="2">
        <v>9974910000</v>
      </c>
      <c r="E25" s="2">
        <v>10059660000</v>
      </c>
      <c r="F25" s="2">
        <v>10598880000</v>
      </c>
      <c r="G25" s="2">
        <v>10711240000</v>
      </c>
      <c r="H25" s="3">
        <f t="shared" si="0"/>
        <v>2.0686558414425571E-2</v>
      </c>
      <c r="I25" s="3">
        <f t="shared" si="0"/>
        <v>1.5799775147254058E-2</v>
      </c>
      <c r="J25" s="3">
        <f t="shared" si="0"/>
        <v>8.4963172600054371E-3</v>
      </c>
      <c r="K25" s="3">
        <f t="shared" si="0"/>
        <v>5.360220921979475E-2</v>
      </c>
      <c r="L25" s="3">
        <f t="shared" si="0"/>
        <v>1.0601120118352236E-2</v>
      </c>
      <c r="M25" s="3">
        <f t="shared" si="1"/>
        <v>2.1837196031966412E-2</v>
      </c>
      <c r="N25" s="3">
        <f t="shared" si="2"/>
        <v>2.1706730885851622E-2</v>
      </c>
    </row>
    <row r="26" spans="1:14">
      <c r="A26" t="s">
        <v>231</v>
      </c>
      <c r="B26" s="2">
        <v>976720000</v>
      </c>
      <c r="C26" s="2">
        <v>986700000</v>
      </c>
      <c r="D26" s="2">
        <v>1005820000</v>
      </c>
      <c r="E26" s="2">
        <v>1042890000</v>
      </c>
      <c r="F26" s="2">
        <v>1042270000</v>
      </c>
      <c r="G26" s="2">
        <v>1071550000</v>
      </c>
      <c r="H26" s="3">
        <f t="shared" si="0"/>
        <v>1.0217872061593969E-2</v>
      </c>
      <c r="I26" s="3">
        <f t="shared" si="0"/>
        <v>1.9377723725549911E-2</v>
      </c>
      <c r="J26" s="3">
        <f t="shared" si="0"/>
        <v>3.6855500984271483E-2</v>
      </c>
      <c r="K26" s="3">
        <f t="shared" si="0"/>
        <v>-5.9450181706599547E-4</v>
      </c>
      <c r="L26" s="3">
        <f t="shared" si="0"/>
        <v>2.8092528807314832E-2</v>
      </c>
      <c r="M26" s="3">
        <f t="shared" si="1"/>
        <v>1.8789824752332838E-2</v>
      </c>
      <c r="N26" s="3">
        <f t="shared" si="2"/>
        <v>1.8705080259516338E-2</v>
      </c>
    </row>
    <row r="27" spans="1:14">
      <c r="A27" t="s">
        <v>232</v>
      </c>
      <c r="B27" s="2">
        <v>51940000</v>
      </c>
      <c r="C27" s="2">
        <v>51040000</v>
      </c>
      <c r="D27" s="2">
        <v>51120000</v>
      </c>
      <c r="E27" s="2">
        <v>50510000</v>
      </c>
      <c r="F27" s="2">
        <v>50720000</v>
      </c>
      <c r="G27" s="2">
        <v>50460000</v>
      </c>
      <c r="H27" s="3">
        <f t="shared" si="0"/>
        <v>-1.732768579129762E-2</v>
      </c>
      <c r="I27" s="3">
        <f t="shared" si="0"/>
        <v>1.5673981191222097E-3</v>
      </c>
      <c r="J27" s="3">
        <f t="shared" si="0"/>
        <v>-1.1932707355242544E-2</v>
      </c>
      <c r="K27" s="3">
        <f t="shared" si="0"/>
        <v>4.1575925559296234E-3</v>
      </c>
      <c r="L27" s="3">
        <f t="shared" si="0"/>
        <v>-5.1261829652996527E-3</v>
      </c>
      <c r="M27" s="3">
        <f t="shared" si="1"/>
        <v>-5.7323170873575966E-3</v>
      </c>
      <c r="N27" s="3">
        <f t="shared" si="2"/>
        <v>-5.7649710154537015E-3</v>
      </c>
    </row>
    <row r="28" spans="1:14">
      <c r="A28" t="s">
        <v>233</v>
      </c>
      <c r="B28" s="2">
        <v>526830000</v>
      </c>
      <c r="C28" s="2">
        <v>528110000</v>
      </c>
      <c r="D28" s="2">
        <v>512730000</v>
      </c>
      <c r="E28" s="2">
        <v>512320000</v>
      </c>
      <c r="F28" s="2">
        <v>514670000</v>
      </c>
      <c r="G28" s="2">
        <v>516100000</v>
      </c>
      <c r="H28" s="3">
        <f t="shared" si="0"/>
        <v>2.4296262551486425E-3</v>
      </c>
      <c r="I28" s="3">
        <f t="shared" si="0"/>
        <v>-2.9122720645320066E-2</v>
      </c>
      <c r="J28" s="3">
        <f t="shared" si="0"/>
        <v>-7.9964113666064485E-4</v>
      </c>
      <c r="K28" s="3">
        <f t="shared" si="0"/>
        <v>4.5869768894442053E-3</v>
      </c>
      <c r="L28" s="3">
        <f t="shared" si="0"/>
        <v>2.77847941399334E-3</v>
      </c>
      <c r="M28" s="3">
        <f t="shared" si="1"/>
        <v>-4.0254558446789048E-3</v>
      </c>
      <c r="N28" s="3">
        <f t="shared" si="2"/>
        <v>-4.1070171819808099E-3</v>
      </c>
    </row>
    <row r="29" spans="1:14">
      <c r="A29" t="s">
        <v>234</v>
      </c>
      <c r="B29" s="2">
        <v>13860000</v>
      </c>
      <c r="C29" s="2">
        <v>13940000</v>
      </c>
      <c r="D29" s="2">
        <v>14340000</v>
      </c>
      <c r="E29" s="2">
        <v>14690000</v>
      </c>
      <c r="F29" s="2">
        <v>14340000</v>
      </c>
      <c r="G29" s="2">
        <v>14600000</v>
      </c>
      <c r="H29" s="3">
        <f t="shared" si="0"/>
        <v>5.7720057720058726E-3</v>
      </c>
      <c r="I29" s="3">
        <f t="shared" si="0"/>
        <v>2.8694404591104838E-2</v>
      </c>
      <c r="J29" s="3">
        <f t="shared" si="0"/>
        <v>2.440725244072528E-2</v>
      </c>
      <c r="K29" s="3">
        <f t="shared" si="0"/>
        <v>-2.3825731790333537E-2</v>
      </c>
      <c r="L29" s="3">
        <f t="shared" si="0"/>
        <v>1.8131101813110284E-2</v>
      </c>
      <c r="M29" s="3">
        <f t="shared" si="1"/>
        <v>1.0635806565322547E-2</v>
      </c>
      <c r="N29" s="3">
        <f t="shared" si="2"/>
        <v>1.0457205351023902E-2</v>
      </c>
    </row>
    <row r="30" spans="1:14">
      <c r="A30" t="s">
        <v>235</v>
      </c>
      <c r="B30" s="2">
        <v>72720000</v>
      </c>
      <c r="C30" s="2">
        <v>73400000</v>
      </c>
      <c r="D30" s="2">
        <v>74950000</v>
      </c>
      <c r="E30" s="2">
        <v>74930000</v>
      </c>
      <c r="F30" s="2">
        <v>77150000</v>
      </c>
      <c r="G30" s="2">
        <v>76440000</v>
      </c>
      <c r="H30" s="3">
        <f t="shared" si="0"/>
        <v>9.3509350935092606E-3</v>
      </c>
      <c r="I30" s="3">
        <f t="shared" si="0"/>
        <v>2.1117166212534011E-2</v>
      </c>
      <c r="J30" s="3">
        <f t="shared" si="0"/>
        <v>-2.6684456304204573E-4</v>
      </c>
      <c r="K30" s="3">
        <f t="shared" si="0"/>
        <v>2.9627652475644028E-2</v>
      </c>
      <c r="L30" s="3">
        <f t="shared" si="0"/>
        <v>-9.2028515878159745E-3</v>
      </c>
      <c r="M30" s="3">
        <f t="shared" si="1"/>
        <v>1.0125211526165856E-2</v>
      </c>
      <c r="N30" s="3">
        <f t="shared" si="2"/>
        <v>1.0027879462652933E-2</v>
      </c>
    </row>
    <row r="31" spans="1:14">
      <c r="A31" t="s">
        <v>236</v>
      </c>
      <c r="B31" s="2">
        <v>137990000</v>
      </c>
      <c r="C31" s="2">
        <v>138520000</v>
      </c>
      <c r="D31" s="2">
        <v>139420000</v>
      </c>
      <c r="E31" s="2">
        <v>139310000</v>
      </c>
      <c r="F31" s="2">
        <v>136930000</v>
      </c>
      <c r="G31" s="2">
        <v>141860000</v>
      </c>
      <c r="H31" s="3">
        <f t="shared" si="0"/>
        <v>3.840858033190786E-3</v>
      </c>
      <c r="I31" s="3">
        <f t="shared" si="0"/>
        <v>6.4972567138319448E-3</v>
      </c>
      <c r="J31" s="3">
        <f t="shared" si="0"/>
        <v>-7.8898292927842562E-4</v>
      </c>
      <c r="K31" s="3">
        <f t="shared" si="0"/>
        <v>-1.7084200703467056E-2</v>
      </c>
      <c r="L31" s="3">
        <f t="shared" si="0"/>
        <v>3.6003797560797413E-2</v>
      </c>
      <c r="M31" s="3">
        <f t="shared" si="1"/>
        <v>5.6937457350149327E-3</v>
      </c>
      <c r="N31" s="3">
        <f t="shared" si="2"/>
        <v>5.5472165445382693E-3</v>
      </c>
    </row>
    <row r="32" spans="1:14">
      <c r="A32" t="s">
        <v>237</v>
      </c>
      <c r="B32" s="2">
        <v>208510000</v>
      </c>
      <c r="C32" s="2">
        <v>208070000</v>
      </c>
      <c r="D32" s="2">
        <v>209590000</v>
      </c>
      <c r="E32" s="2">
        <v>207740000</v>
      </c>
      <c r="F32" s="2">
        <v>207650000</v>
      </c>
      <c r="G32" s="2">
        <v>202320000</v>
      </c>
      <c r="H32" s="3">
        <f t="shared" si="0"/>
        <v>-2.1102105414608774E-3</v>
      </c>
      <c r="I32" s="3">
        <f t="shared" si="0"/>
        <v>7.305233815542822E-3</v>
      </c>
      <c r="J32" s="3">
        <f t="shared" si="0"/>
        <v>-8.826757001765384E-3</v>
      </c>
      <c r="K32" s="3">
        <f t="shared" si="0"/>
        <v>-4.3323385000482162E-4</v>
      </c>
      <c r="L32" s="3">
        <f t="shared" si="0"/>
        <v>-2.566819166867329E-2</v>
      </c>
      <c r="M32" s="3">
        <f t="shared" si="1"/>
        <v>-5.9466318492723104E-3</v>
      </c>
      <c r="N32" s="3">
        <f t="shared" si="2"/>
        <v>-6.0091522585700163E-3</v>
      </c>
    </row>
    <row r="33" spans="1:14">
      <c r="A33" t="s">
        <v>330</v>
      </c>
      <c r="B33" s="2">
        <v>395090000</v>
      </c>
      <c r="C33" s="2">
        <v>417840000</v>
      </c>
      <c r="D33" s="2">
        <v>423940000</v>
      </c>
      <c r="E33" s="2">
        <v>442180000</v>
      </c>
      <c r="F33" s="2">
        <v>480120000</v>
      </c>
      <c r="G33" s="2">
        <v>513140000</v>
      </c>
      <c r="H33" s="3">
        <f t="shared" si="0"/>
        <v>5.7581816801235197E-2</v>
      </c>
      <c r="I33" s="3">
        <f t="shared" si="0"/>
        <v>1.4598889527091652E-2</v>
      </c>
      <c r="J33" s="3">
        <f t="shared" si="0"/>
        <v>4.30249563617493E-2</v>
      </c>
      <c r="K33" s="3">
        <f t="shared" si="0"/>
        <v>8.5802162015468753E-2</v>
      </c>
      <c r="L33" s="3">
        <f t="shared" si="0"/>
        <v>6.8774473048404561E-2</v>
      </c>
      <c r="M33" s="3">
        <f t="shared" si="1"/>
        <v>5.3956459550789891E-2</v>
      </c>
      <c r="N33" s="3">
        <f t="shared" si="2"/>
        <v>5.36781311590524E-2</v>
      </c>
    </row>
    <row r="34" spans="1:14">
      <c r="A34" t="s">
        <v>238</v>
      </c>
      <c r="B34" s="2">
        <v>359920000</v>
      </c>
      <c r="C34" s="2">
        <v>383140000</v>
      </c>
      <c r="D34" s="2">
        <v>388140000</v>
      </c>
      <c r="E34" s="2">
        <v>397520000</v>
      </c>
      <c r="F34" s="2">
        <v>428610000</v>
      </c>
      <c r="G34" s="2">
        <v>455010000</v>
      </c>
      <c r="H34" s="3">
        <f t="shared" ref="H34:L62" si="3">IF(B34=0, 0, (C34/B34)-1)</f>
        <v>6.4514336519226445E-2</v>
      </c>
      <c r="I34" s="3">
        <f t="shared" si="3"/>
        <v>1.3050060030276089E-2</v>
      </c>
      <c r="J34" s="3">
        <f t="shared" si="3"/>
        <v>2.416653784716849E-2</v>
      </c>
      <c r="K34" s="3">
        <f t="shared" si="3"/>
        <v>7.8209901388609282E-2</v>
      </c>
      <c r="L34" s="3">
        <f t="shared" si="3"/>
        <v>6.159445649891504E-2</v>
      </c>
      <c r="M34" s="3">
        <f t="shared" si="1"/>
        <v>4.8307058456839067E-2</v>
      </c>
      <c r="N34" s="3">
        <f t="shared" si="2"/>
        <v>4.8004125502930206E-2</v>
      </c>
    </row>
    <row r="35" spans="1:14">
      <c r="A35" t="s">
        <v>239</v>
      </c>
      <c r="B35" s="2">
        <v>35180000</v>
      </c>
      <c r="C35" s="2">
        <v>34700000</v>
      </c>
      <c r="D35" s="2">
        <v>35800000</v>
      </c>
      <c r="E35" s="2">
        <v>44670000</v>
      </c>
      <c r="F35" s="2">
        <v>51510000</v>
      </c>
      <c r="G35" s="2">
        <v>58120000</v>
      </c>
      <c r="H35" s="3">
        <f t="shared" si="3"/>
        <v>-1.3644115974985827E-2</v>
      </c>
      <c r="I35" s="3">
        <f t="shared" si="3"/>
        <v>3.170028818443793E-2</v>
      </c>
      <c r="J35" s="3">
        <f t="shared" si="3"/>
        <v>0.24776536312849151</v>
      </c>
      <c r="K35" s="3">
        <f t="shared" si="3"/>
        <v>0.15312290127602424</v>
      </c>
      <c r="L35" s="3">
        <f t="shared" si="3"/>
        <v>0.12832459716559885</v>
      </c>
      <c r="M35" s="3">
        <f t="shared" si="1"/>
        <v>0.10945380675591335</v>
      </c>
      <c r="N35" s="3">
        <f t="shared" si="2"/>
        <v>0.10562017279277125</v>
      </c>
    </row>
    <row r="36" spans="1:14">
      <c r="A36" t="s">
        <v>240</v>
      </c>
      <c r="B36" s="2">
        <v>381080000</v>
      </c>
      <c r="C36" s="2">
        <v>363220000</v>
      </c>
      <c r="D36" s="2">
        <v>365630000</v>
      </c>
      <c r="E36" s="2">
        <v>366020000</v>
      </c>
      <c r="F36" s="2">
        <v>376570000</v>
      </c>
      <c r="G36" s="2">
        <v>380900000</v>
      </c>
      <c r="H36" s="3">
        <f t="shared" si="3"/>
        <v>-4.6866799622126587E-2</v>
      </c>
      <c r="I36" s="3">
        <f t="shared" si="3"/>
        <v>6.6350971862783048E-3</v>
      </c>
      <c r="J36" s="3">
        <f t="shared" si="3"/>
        <v>1.0666520799715862E-3</v>
      </c>
      <c r="K36" s="3">
        <f t="shared" si="3"/>
        <v>2.8823561554013333E-2</v>
      </c>
      <c r="L36" s="3">
        <f t="shared" si="3"/>
        <v>1.149852617043301E-2</v>
      </c>
      <c r="M36" s="3">
        <f t="shared" si="1"/>
        <v>2.3140747371392935E-4</v>
      </c>
      <c r="N36" s="3">
        <f t="shared" si="2"/>
        <v>-9.4486206701271946E-5</v>
      </c>
    </row>
    <row r="37" spans="1:14">
      <c r="A37" t="s">
        <v>241</v>
      </c>
      <c r="B37" s="2">
        <v>36678560000</v>
      </c>
      <c r="C37" s="2">
        <v>36671660000</v>
      </c>
      <c r="D37" s="2">
        <v>37136080000</v>
      </c>
      <c r="E37" s="2">
        <v>38455690000</v>
      </c>
      <c r="F37" s="2">
        <v>40721530000</v>
      </c>
      <c r="G37" s="2">
        <v>43177270000</v>
      </c>
      <c r="H37" s="3">
        <f t="shared" si="3"/>
        <v>-1.881207986355049E-4</v>
      </c>
      <c r="I37" s="3">
        <f t="shared" si="3"/>
        <v>1.2664275355956045E-2</v>
      </c>
      <c r="J37" s="3">
        <f t="shared" si="3"/>
        <v>3.5534445208002641E-2</v>
      </c>
      <c r="K37" s="3">
        <f t="shared" si="3"/>
        <v>5.8920799496771536E-2</v>
      </c>
      <c r="L37" s="3">
        <f t="shared" si="3"/>
        <v>6.0305690871634843E-2</v>
      </c>
      <c r="M37" s="3">
        <f t="shared" si="1"/>
        <v>3.3447418026745911E-2</v>
      </c>
      <c r="N37" s="3">
        <f t="shared" si="2"/>
        <v>3.3162371543155489E-2</v>
      </c>
    </row>
    <row r="38" spans="1:14">
      <c r="A38" t="s">
        <v>331</v>
      </c>
      <c r="B38" s="2">
        <v>33117580000</v>
      </c>
      <c r="C38" s="2">
        <v>35035240000</v>
      </c>
      <c r="D38" s="2">
        <v>38634850000</v>
      </c>
      <c r="E38" s="2">
        <v>41413670000</v>
      </c>
      <c r="F38" s="2">
        <v>44514930000</v>
      </c>
      <c r="G38" s="2">
        <v>48291850000</v>
      </c>
      <c r="H38" s="3">
        <f t="shared" si="3"/>
        <v>5.7904593270402094E-2</v>
      </c>
      <c r="I38" s="3">
        <f t="shared" si="3"/>
        <v>0.10274255292671031</v>
      </c>
      <c r="J38" s="3">
        <f t="shared" si="3"/>
        <v>7.1925217776178663E-2</v>
      </c>
      <c r="K38" s="3">
        <f t="shared" si="3"/>
        <v>7.4884935336568814E-2</v>
      </c>
      <c r="L38" s="3">
        <f t="shared" si="3"/>
        <v>8.4846140384810198E-2</v>
      </c>
      <c r="M38" s="3">
        <f t="shared" si="1"/>
        <v>7.8460687938934015E-2</v>
      </c>
      <c r="N38" s="3">
        <f t="shared" si="2"/>
        <v>7.8358211573104519E-2</v>
      </c>
    </row>
    <row r="39" spans="1:14">
      <c r="A39" t="s">
        <v>242</v>
      </c>
      <c r="B39" s="2">
        <v>6221650000</v>
      </c>
      <c r="C39" s="2">
        <v>6616690000</v>
      </c>
      <c r="D39" s="2">
        <v>6822800000</v>
      </c>
      <c r="E39" s="2">
        <v>7000160000</v>
      </c>
      <c r="F39" s="2">
        <v>7169340000</v>
      </c>
      <c r="G39" s="2">
        <v>7252440000</v>
      </c>
      <c r="H39" s="3">
        <f t="shared" si="3"/>
        <v>6.3494410646693478E-2</v>
      </c>
      <c r="I39" s="3">
        <f t="shared" si="3"/>
        <v>3.1150016095661037E-2</v>
      </c>
      <c r="J39" s="3">
        <f t="shared" si="3"/>
        <v>2.599519258955274E-2</v>
      </c>
      <c r="K39" s="3">
        <f t="shared" si="3"/>
        <v>2.4168019016708175E-2</v>
      </c>
      <c r="L39" s="3">
        <f t="shared" si="3"/>
        <v>1.1591025115282649E-2</v>
      </c>
      <c r="M39" s="3">
        <f t="shared" si="1"/>
        <v>3.1279732692779616E-2</v>
      </c>
      <c r="N39" s="3">
        <f t="shared" si="2"/>
        <v>3.1135439799967912E-2</v>
      </c>
    </row>
    <row r="40" spans="1:14">
      <c r="A40" t="s">
        <v>243</v>
      </c>
      <c r="B40" s="2">
        <v>26895930000</v>
      </c>
      <c r="C40" s="2">
        <v>28418540000</v>
      </c>
      <c r="D40" s="2">
        <v>31812050000</v>
      </c>
      <c r="E40" s="2">
        <v>34413510000</v>
      </c>
      <c r="F40" s="2">
        <v>37345590000</v>
      </c>
      <c r="G40" s="2">
        <v>41039400000</v>
      </c>
      <c r="H40" s="3">
        <f t="shared" si="3"/>
        <v>5.6611167563270781E-2</v>
      </c>
      <c r="I40" s="3">
        <f t="shared" si="3"/>
        <v>0.11941183466849448</v>
      </c>
      <c r="J40" s="3">
        <f t="shared" si="3"/>
        <v>8.1775930818667852E-2</v>
      </c>
      <c r="K40" s="3">
        <f t="shared" si="3"/>
        <v>8.5201422348374134E-2</v>
      </c>
      <c r="L40" s="3">
        <f t="shared" si="3"/>
        <v>9.8908867151382474E-2</v>
      </c>
      <c r="M40" s="3">
        <f t="shared" si="1"/>
        <v>8.8381844510037944E-2</v>
      </c>
      <c r="N40" s="3">
        <f t="shared" si="2"/>
        <v>8.8185381541231678E-2</v>
      </c>
    </row>
    <row r="41" spans="1:14">
      <c r="A41" t="s">
        <v>332</v>
      </c>
      <c r="B41" s="2">
        <v>6106400000</v>
      </c>
      <c r="C41" s="2">
        <v>5972040000</v>
      </c>
      <c r="D41" s="2">
        <v>6666770000</v>
      </c>
      <c r="E41" s="2">
        <v>7166940000</v>
      </c>
      <c r="F41" s="2">
        <v>7412990000</v>
      </c>
      <c r="G41" s="2">
        <v>7785810000</v>
      </c>
      <c r="H41" s="3">
        <f t="shared" si="3"/>
        <v>-2.2003144242106587E-2</v>
      </c>
      <c r="I41" s="3">
        <f t="shared" si="3"/>
        <v>0.1163304331518209</v>
      </c>
      <c r="J41" s="3">
        <f t="shared" si="3"/>
        <v>7.5024337122774565E-2</v>
      </c>
      <c r="K41" s="3">
        <f t="shared" si="3"/>
        <v>3.4331248761675148E-2</v>
      </c>
      <c r="L41" s="3">
        <f t="shared" si="3"/>
        <v>5.0292796833666387E-2</v>
      </c>
      <c r="M41" s="3">
        <f t="shared" si="1"/>
        <v>5.079513432556608E-2</v>
      </c>
      <c r="N41" s="3">
        <f t="shared" si="2"/>
        <v>4.9793091380027077E-2</v>
      </c>
    </row>
    <row r="42" spans="1:14">
      <c r="A42" t="s">
        <v>244</v>
      </c>
      <c r="B42" s="2">
        <v>309240000</v>
      </c>
      <c r="C42" s="2">
        <v>341260000</v>
      </c>
      <c r="D42" s="2">
        <v>443080000</v>
      </c>
      <c r="E42" s="2">
        <v>533270000</v>
      </c>
      <c r="F42" s="2">
        <v>620090000</v>
      </c>
      <c r="G42" s="2">
        <v>667130000</v>
      </c>
      <c r="H42" s="3">
        <f t="shared" si="3"/>
        <v>0.10354417281076178</v>
      </c>
      <c r="I42" s="3">
        <f t="shared" si="3"/>
        <v>0.29836488308034936</v>
      </c>
      <c r="J42" s="3">
        <f t="shared" si="3"/>
        <v>0.20355240588607026</v>
      </c>
      <c r="K42" s="3">
        <f t="shared" si="3"/>
        <v>0.16280683331145585</v>
      </c>
      <c r="L42" s="3">
        <f t="shared" si="3"/>
        <v>7.5859955812865865E-2</v>
      </c>
      <c r="M42" s="3">
        <f t="shared" si="1"/>
        <v>0.16882565018030063</v>
      </c>
      <c r="N42" s="3">
        <f t="shared" si="2"/>
        <v>0.16622664937192932</v>
      </c>
    </row>
    <row r="43" spans="1:14">
      <c r="A43" t="s">
        <v>245</v>
      </c>
      <c r="B43" s="2">
        <v>3549240000</v>
      </c>
      <c r="C43" s="2">
        <v>3451920000</v>
      </c>
      <c r="D43" s="2">
        <v>3722140000</v>
      </c>
      <c r="E43" s="2">
        <v>3863810000</v>
      </c>
      <c r="F43" s="2">
        <v>3862720000</v>
      </c>
      <c r="G43" s="2">
        <v>4008660000</v>
      </c>
      <c r="H43" s="3">
        <f t="shared" si="3"/>
        <v>-2.7419954694526183E-2</v>
      </c>
      <c r="I43" s="3">
        <f t="shared" si="3"/>
        <v>7.8281072562516041E-2</v>
      </c>
      <c r="J43" s="3">
        <f t="shared" si="3"/>
        <v>3.806143777504345E-2</v>
      </c>
      <c r="K43" s="3">
        <f t="shared" si="3"/>
        <v>-2.8210496892966397E-4</v>
      </c>
      <c r="L43" s="3">
        <f t="shared" si="3"/>
        <v>3.7781666804738601E-2</v>
      </c>
      <c r="M43" s="3">
        <f t="shared" si="1"/>
        <v>2.5284423495768447E-2</v>
      </c>
      <c r="N43" s="3">
        <f t="shared" si="2"/>
        <v>2.4643456709368072E-2</v>
      </c>
    </row>
    <row r="44" spans="1:14">
      <c r="A44" t="s">
        <v>246</v>
      </c>
      <c r="B44" s="2">
        <v>279530000</v>
      </c>
      <c r="C44" s="2">
        <v>283360000</v>
      </c>
      <c r="D44" s="2">
        <v>290780000</v>
      </c>
      <c r="E44" s="2">
        <v>284120000</v>
      </c>
      <c r="F44" s="2">
        <v>282060000</v>
      </c>
      <c r="G44" s="2">
        <v>294890000</v>
      </c>
      <c r="H44" s="3">
        <f t="shared" si="3"/>
        <v>1.3701570493328097E-2</v>
      </c>
      <c r="I44" s="3">
        <f t="shared" si="3"/>
        <v>2.6185770750988047E-2</v>
      </c>
      <c r="J44" s="3">
        <f t="shared" si="3"/>
        <v>-2.2903913611665216E-2</v>
      </c>
      <c r="K44" s="3">
        <f t="shared" si="3"/>
        <v>-7.250457553146572E-3</v>
      </c>
      <c r="L44" s="3">
        <f t="shared" si="3"/>
        <v>4.5486775863291529E-2</v>
      </c>
      <c r="M44" s="3">
        <f t="shared" si="1"/>
        <v>1.1043949188559176E-2</v>
      </c>
      <c r="N44" s="3">
        <f t="shared" si="2"/>
        <v>1.0755991014292254E-2</v>
      </c>
    </row>
    <row r="45" spans="1:14">
      <c r="A45" t="s">
        <v>247</v>
      </c>
      <c r="B45" s="2">
        <v>340550000</v>
      </c>
      <c r="C45" s="2">
        <v>317560000</v>
      </c>
      <c r="D45" s="2">
        <v>366840000</v>
      </c>
      <c r="E45" s="2">
        <v>375180000</v>
      </c>
      <c r="F45" s="2">
        <v>377310000</v>
      </c>
      <c r="G45" s="2">
        <v>398600000</v>
      </c>
      <c r="H45" s="3">
        <f t="shared" si="3"/>
        <v>-6.7508442225811205E-2</v>
      </c>
      <c r="I45" s="3">
        <f t="shared" si="3"/>
        <v>0.15518327245245001</v>
      </c>
      <c r="J45" s="3">
        <f t="shared" si="3"/>
        <v>2.2734707229309814E-2</v>
      </c>
      <c r="K45" s="3">
        <f t="shared" si="3"/>
        <v>5.6772749080440388E-3</v>
      </c>
      <c r="L45" s="3">
        <f t="shared" si="3"/>
        <v>5.6425750708966049E-2</v>
      </c>
      <c r="M45" s="3">
        <f t="shared" si="1"/>
        <v>3.4502512614591738E-2</v>
      </c>
      <c r="N45" s="3">
        <f t="shared" si="2"/>
        <v>3.198000308732829E-2</v>
      </c>
    </row>
    <row r="46" spans="1:14">
      <c r="A46" t="s">
        <v>248</v>
      </c>
      <c r="B46" s="2">
        <v>984680000</v>
      </c>
      <c r="C46" s="2">
        <v>914470000</v>
      </c>
      <c r="D46" s="2">
        <v>1141040000</v>
      </c>
      <c r="E46" s="2">
        <v>1360860000</v>
      </c>
      <c r="F46" s="2">
        <v>1456690000</v>
      </c>
      <c r="G46" s="2">
        <v>1535700000</v>
      </c>
      <c r="H46" s="3">
        <f t="shared" si="3"/>
        <v>-7.1302352033147831E-2</v>
      </c>
      <c r="I46" s="3">
        <f t="shared" si="3"/>
        <v>0.24776099817380559</v>
      </c>
      <c r="J46" s="3">
        <f t="shared" si="3"/>
        <v>0.19264881161046055</v>
      </c>
      <c r="K46" s="3">
        <f t="shared" si="3"/>
        <v>7.0418705818379612E-2</v>
      </c>
      <c r="L46" s="3">
        <f t="shared" si="3"/>
        <v>5.4239405776108862E-2</v>
      </c>
      <c r="M46" s="3">
        <f t="shared" si="1"/>
        <v>9.8753113869121362E-2</v>
      </c>
      <c r="N46" s="3">
        <f t="shared" si="2"/>
        <v>9.2954930170711547E-2</v>
      </c>
    </row>
    <row r="47" spans="1:14">
      <c r="A47" t="s">
        <v>249</v>
      </c>
      <c r="B47" s="2">
        <v>643160000</v>
      </c>
      <c r="C47" s="2">
        <v>663480000</v>
      </c>
      <c r="D47" s="2">
        <v>702880000</v>
      </c>
      <c r="E47" s="2">
        <v>749700000</v>
      </c>
      <c r="F47" s="2">
        <v>814130000</v>
      </c>
      <c r="G47" s="2">
        <v>880820000</v>
      </c>
      <c r="H47" s="3">
        <f t="shared" si="3"/>
        <v>3.1594004602276238E-2</v>
      </c>
      <c r="I47" s="3">
        <f t="shared" si="3"/>
        <v>5.9383854826068561E-2</v>
      </c>
      <c r="J47" s="3">
        <f t="shared" si="3"/>
        <v>6.6611654905531559E-2</v>
      </c>
      <c r="K47" s="3">
        <f t="shared" si="3"/>
        <v>8.594104308390027E-2</v>
      </c>
      <c r="L47" s="3">
        <f t="shared" si="3"/>
        <v>8.191566457445365E-2</v>
      </c>
      <c r="M47" s="3">
        <f t="shared" si="1"/>
        <v>6.5089244398446058E-2</v>
      </c>
      <c r="N47" s="3">
        <f t="shared" si="2"/>
        <v>6.4911772472551865E-2</v>
      </c>
    </row>
    <row r="48" spans="1:14">
      <c r="A48" t="s">
        <v>333</v>
      </c>
      <c r="B48" s="2">
        <v>4363550000</v>
      </c>
      <c r="C48" s="2">
        <v>4556740000</v>
      </c>
      <c r="D48" s="2">
        <v>5225370000</v>
      </c>
      <c r="E48" s="2">
        <v>5912060000</v>
      </c>
      <c r="F48" s="2">
        <v>6467360000</v>
      </c>
      <c r="G48" s="2">
        <v>7091970000</v>
      </c>
      <c r="H48" s="3">
        <f t="shared" si="3"/>
        <v>4.4273584581361547E-2</v>
      </c>
      <c r="I48" s="3">
        <f t="shared" si="3"/>
        <v>0.14673428810948175</v>
      </c>
      <c r="J48" s="3">
        <f t="shared" si="3"/>
        <v>0.13141461752947636</v>
      </c>
      <c r="K48" s="3">
        <f t="shared" si="3"/>
        <v>9.3926651623968738E-2</v>
      </c>
      <c r="L48" s="3">
        <f t="shared" si="3"/>
        <v>9.6578820415130773E-2</v>
      </c>
      <c r="M48" s="3">
        <f t="shared" si="1"/>
        <v>0.10258559245188384</v>
      </c>
      <c r="N48" s="3">
        <f t="shared" si="2"/>
        <v>0.10200962230575428</v>
      </c>
    </row>
    <row r="49" spans="1:14">
      <c r="A49" t="s">
        <v>250</v>
      </c>
      <c r="B49" s="2">
        <v>507660000</v>
      </c>
      <c r="C49" s="2">
        <v>527700000</v>
      </c>
      <c r="D49" s="2">
        <v>614480000</v>
      </c>
      <c r="E49" s="2">
        <v>708600000</v>
      </c>
      <c r="F49" s="2">
        <v>799230000</v>
      </c>
      <c r="G49" s="2">
        <v>825720000</v>
      </c>
      <c r="H49" s="3">
        <f t="shared" si="3"/>
        <v>3.9475239333412127E-2</v>
      </c>
      <c r="I49" s="3">
        <f t="shared" si="3"/>
        <v>0.16444949782073137</v>
      </c>
      <c r="J49" s="3">
        <f t="shared" si="3"/>
        <v>0.15317016013539897</v>
      </c>
      <c r="K49" s="3">
        <f t="shared" si="3"/>
        <v>0.12790008467400504</v>
      </c>
      <c r="L49" s="3">
        <f t="shared" si="3"/>
        <v>3.3144401486430608E-2</v>
      </c>
      <c r="M49" s="3">
        <f t="shared" si="1"/>
        <v>0.10362787668999562</v>
      </c>
      <c r="N49" s="3">
        <f t="shared" si="2"/>
        <v>0.10217859294947473</v>
      </c>
    </row>
    <row r="50" spans="1:14">
      <c r="A50" t="s">
        <v>251</v>
      </c>
      <c r="B50" s="2">
        <v>3855890000</v>
      </c>
      <c r="C50" s="2">
        <v>4029030000</v>
      </c>
      <c r="D50" s="2">
        <v>4610880000</v>
      </c>
      <c r="E50" s="2">
        <v>5203450000</v>
      </c>
      <c r="F50" s="2">
        <v>5668130000</v>
      </c>
      <c r="G50" s="2">
        <v>6266250000</v>
      </c>
      <c r="H50" s="3">
        <f t="shared" si="3"/>
        <v>4.4902733221124036E-2</v>
      </c>
      <c r="I50" s="3">
        <f t="shared" si="3"/>
        <v>0.1444144124019926</v>
      </c>
      <c r="J50" s="3">
        <f t="shared" si="3"/>
        <v>0.1285155978902075</v>
      </c>
      <c r="K50" s="3">
        <f t="shared" si="3"/>
        <v>8.9302289826941772E-2</v>
      </c>
      <c r="L50" s="3">
        <f t="shared" si="3"/>
        <v>0.10552333838497008</v>
      </c>
      <c r="M50" s="3">
        <f t="shared" si="1"/>
        <v>0.1025316743450472</v>
      </c>
      <c r="N50" s="3">
        <f t="shared" si="2"/>
        <v>0.10198736819276033</v>
      </c>
    </row>
    <row r="51" spans="1:14">
      <c r="A51" t="s">
        <v>252</v>
      </c>
      <c r="B51" s="2">
        <v>12214330000</v>
      </c>
      <c r="C51" s="2">
        <v>12951750000</v>
      </c>
      <c r="D51" s="2">
        <v>14003880000</v>
      </c>
      <c r="E51" s="2">
        <v>14892480000</v>
      </c>
      <c r="F51" s="2">
        <v>16209520000</v>
      </c>
      <c r="G51" s="2">
        <v>17198310000</v>
      </c>
      <c r="H51" s="3">
        <f t="shared" si="3"/>
        <v>6.0373348353941703E-2</v>
      </c>
      <c r="I51" s="3">
        <f t="shared" si="3"/>
        <v>8.1234582199316785E-2</v>
      </c>
      <c r="J51" s="3">
        <f t="shared" si="3"/>
        <v>6.3453842792140502E-2</v>
      </c>
      <c r="K51" s="3">
        <f t="shared" si="3"/>
        <v>8.8436580072627224E-2</v>
      </c>
      <c r="L51" s="3">
        <f t="shared" si="3"/>
        <v>6.1000572503072226E-2</v>
      </c>
      <c r="M51" s="3">
        <f t="shared" si="1"/>
        <v>7.0899785184219688E-2</v>
      </c>
      <c r="N51" s="3">
        <f t="shared" si="2"/>
        <v>7.0836644954802352E-2</v>
      </c>
    </row>
    <row r="52" spans="1:14">
      <c r="A52" t="s">
        <v>334</v>
      </c>
      <c r="B52" s="2">
        <v>7477610000</v>
      </c>
      <c r="C52" s="2">
        <v>7790890000</v>
      </c>
      <c r="D52" s="2">
        <v>7744090000</v>
      </c>
      <c r="E52" s="2">
        <v>8100350000</v>
      </c>
      <c r="F52" s="2">
        <v>8672330000</v>
      </c>
      <c r="G52" s="2">
        <v>9060050000</v>
      </c>
      <c r="H52" s="3">
        <f t="shared" si="3"/>
        <v>4.1895739414064215E-2</v>
      </c>
      <c r="I52" s="3">
        <f t="shared" si="3"/>
        <v>-6.0070158865033196E-3</v>
      </c>
      <c r="J52" s="3">
        <f t="shared" si="3"/>
        <v>4.6004114105078875E-2</v>
      </c>
      <c r="K52" s="3">
        <f t="shared" si="3"/>
        <v>7.0611763689223395E-2</v>
      </c>
      <c r="L52" s="3">
        <f t="shared" si="3"/>
        <v>4.4707708309070338E-2</v>
      </c>
      <c r="M52" s="3">
        <f t="shared" si="1"/>
        <v>3.9442461926186702E-2</v>
      </c>
      <c r="N52" s="3">
        <f t="shared" si="2"/>
        <v>3.9138789746826275E-2</v>
      </c>
    </row>
    <row r="53" spans="1:14">
      <c r="A53" t="s">
        <v>253</v>
      </c>
      <c r="B53" s="2">
        <v>4363380000</v>
      </c>
      <c r="C53" s="2">
        <v>4646540000</v>
      </c>
      <c r="D53" s="2">
        <v>4587360000</v>
      </c>
      <c r="E53" s="2">
        <v>4823530000</v>
      </c>
      <c r="F53" s="2">
        <v>5258130000</v>
      </c>
      <c r="G53" s="2">
        <v>5483540000</v>
      </c>
      <c r="H53" s="3">
        <f t="shared" si="3"/>
        <v>6.4894645893779579E-2</v>
      </c>
      <c r="I53" s="3">
        <f t="shared" si="3"/>
        <v>-1.2736358666879055E-2</v>
      </c>
      <c r="J53" s="3">
        <f t="shared" si="3"/>
        <v>5.1482770046388238E-2</v>
      </c>
      <c r="K53" s="3">
        <f t="shared" si="3"/>
        <v>9.0099989012196513E-2</v>
      </c>
      <c r="L53" s="3">
        <f t="shared" si="3"/>
        <v>4.286885261490303E-2</v>
      </c>
      <c r="M53" s="3">
        <f t="shared" si="1"/>
        <v>4.7321979780077662E-2</v>
      </c>
      <c r="N53" s="3">
        <f t="shared" si="2"/>
        <v>4.6761150424206699E-2</v>
      </c>
    </row>
    <row r="54" spans="1:14">
      <c r="A54" t="s">
        <v>254</v>
      </c>
      <c r="B54" s="2">
        <v>2265990000</v>
      </c>
      <c r="C54" s="2">
        <v>2277300000</v>
      </c>
      <c r="D54" s="2">
        <v>2247140000</v>
      </c>
      <c r="E54" s="2">
        <v>2293440000</v>
      </c>
      <c r="F54" s="2">
        <v>2362170000</v>
      </c>
      <c r="G54" s="2">
        <v>2451430000</v>
      </c>
      <c r="H54" s="3">
        <f t="shared" si="3"/>
        <v>4.9911959011292861E-3</v>
      </c>
      <c r="I54" s="3">
        <f t="shared" si="3"/>
        <v>-1.3243753567821592E-2</v>
      </c>
      <c r="J54" s="3">
        <f t="shared" si="3"/>
        <v>2.0603967710067117E-2</v>
      </c>
      <c r="K54" s="3">
        <f t="shared" si="3"/>
        <v>2.9968082879866076E-2</v>
      </c>
      <c r="L54" s="3">
        <f t="shared" si="3"/>
        <v>3.7787288806478747E-2</v>
      </c>
      <c r="M54" s="3">
        <f t="shared" si="1"/>
        <v>1.6021356345943927E-2</v>
      </c>
      <c r="N54" s="3">
        <f t="shared" si="2"/>
        <v>1.5856354347339785E-2</v>
      </c>
    </row>
    <row r="55" spans="1:14">
      <c r="A55" t="s">
        <v>255</v>
      </c>
      <c r="B55" s="2">
        <v>843550000</v>
      </c>
      <c r="C55" s="2">
        <v>862140000</v>
      </c>
      <c r="D55" s="2">
        <v>904440000</v>
      </c>
      <c r="E55" s="2">
        <v>978190000</v>
      </c>
      <c r="F55" s="2">
        <v>1046420000</v>
      </c>
      <c r="G55" s="2">
        <v>1119410000</v>
      </c>
      <c r="H55" s="3">
        <f t="shared" si="3"/>
        <v>2.2037816371287988E-2</v>
      </c>
      <c r="I55" s="3">
        <f t="shared" si="3"/>
        <v>4.9063957129932501E-2</v>
      </c>
      <c r="J55" s="3">
        <f t="shared" si="3"/>
        <v>8.1542169740391746E-2</v>
      </c>
      <c r="K55" s="3">
        <f t="shared" si="3"/>
        <v>6.9751275314611672E-2</v>
      </c>
      <c r="L55" s="3">
        <f t="shared" si="3"/>
        <v>6.975210718449576E-2</v>
      </c>
      <c r="M55" s="3">
        <f t="shared" si="1"/>
        <v>5.8429465148143934E-2</v>
      </c>
      <c r="N55" s="3">
        <f t="shared" si="2"/>
        <v>5.821928169777224E-2</v>
      </c>
    </row>
    <row r="56" spans="1:14">
      <c r="A56" t="s">
        <v>256</v>
      </c>
      <c r="B56" s="2">
        <v>4700000</v>
      </c>
      <c r="C56" s="2">
        <v>4910000</v>
      </c>
      <c r="D56" s="2">
        <v>5160000</v>
      </c>
      <c r="E56" s="2">
        <v>5190000</v>
      </c>
      <c r="F56" s="2">
        <v>5610000</v>
      </c>
      <c r="G56" s="2">
        <v>5680000</v>
      </c>
      <c r="H56" s="3">
        <f t="shared" si="3"/>
        <v>4.4680851063829685E-2</v>
      </c>
      <c r="I56" s="3">
        <f t="shared" si="3"/>
        <v>5.0916496945010215E-2</v>
      </c>
      <c r="J56" s="3">
        <f t="shared" si="3"/>
        <v>5.8139534883721034E-3</v>
      </c>
      <c r="K56" s="3">
        <f t="shared" si="3"/>
        <v>8.092485549132955E-2</v>
      </c>
      <c r="L56" s="3">
        <f t="shared" si="3"/>
        <v>1.2477718360071277E-2</v>
      </c>
      <c r="M56" s="3">
        <f t="shared" si="1"/>
        <v>3.8962775069722566E-2</v>
      </c>
      <c r="N56" s="3">
        <f t="shared" si="2"/>
        <v>3.8604250349712599E-2</v>
      </c>
    </row>
    <row r="57" spans="1:14">
      <c r="A57" t="s">
        <v>257</v>
      </c>
      <c r="B57" s="2">
        <v>10214870000</v>
      </c>
      <c r="C57" s="2">
        <v>10807860000</v>
      </c>
      <c r="D57" s="2">
        <v>11373070000</v>
      </c>
      <c r="E57" s="2">
        <v>11860290000</v>
      </c>
      <c r="F57" s="2">
        <v>12829260000</v>
      </c>
      <c r="G57" s="2">
        <v>13828090000</v>
      </c>
      <c r="H57" s="3">
        <f t="shared" si="3"/>
        <v>5.8051644318527718E-2</v>
      </c>
      <c r="I57" s="3">
        <f t="shared" si="3"/>
        <v>5.2296199247584552E-2</v>
      </c>
      <c r="J57" s="3">
        <f t="shared" si="3"/>
        <v>4.283979611485722E-2</v>
      </c>
      <c r="K57" s="3">
        <f t="shared" si="3"/>
        <v>8.169867684516996E-2</v>
      </c>
      <c r="L57" s="3">
        <f t="shared" si="3"/>
        <v>7.7855620667131253E-2</v>
      </c>
      <c r="M57" s="3">
        <f t="shared" si="1"/>
        <v>6.2548387438654138E-2</v>
      </c>
      <c r="N57" s="3">
        <f t="shared" si="2"/>
        <v>6.2443565681562729E-2</v>
      </c>
    </row>
    <row r="58" spans="1:14">
      <c r="A58" t="s">
        <v>258</v>
      </c>
      <c r="B58" s="2">
        <v>358140000</v>
      </c>
      <c r="C58" s="2">
        <v>360300000</v>
      </c>
      <c r="D58" s="2">
        <v>370750000</v>
      </c>
      <c r="E58" s="2">
        <v>378280000</v>
      </c>
      <c r="F58" s="2">
        <v>397880000</v>
      </c>
      <c r="G58" s="2">
        <v>422190000</v>
      </c>
      <c r="H58" s="3">
        <f t="shared" si="3"/>
        <v>6.0311609984922132E-3</v>
      </c>
      <c r="I58" s="3">
        <f t="shared" si="3"/>
        <v>2.9003608104357426E-2</v>
      </c>
      <c r="J58" s="3">
        <f t="shared" si="3"/>
        <v>2.0310182063385085E-2</v>
      </c>
      <c r="K58" s="3">
        <f t="shared" si="3"/>
        <v>5.1813471502590636E-2</v>
      </c>
      <c r="L58" s="3">
        <f t="shared" si="3"/>
        <v>6.1098823765959542E-2</v>
      </c>
      <c r="M58" s="3">
        <f t="shared" si="1"/>
        <v>3.3651449286956979E-2</v>
      </c>
      <c r="N58" s="3">
        <f t="shared" si="2"/>
        <v>3.3453695600954791E-2</v>
      </c>
    </row>
    <row r="59" spans="1:14">
      <c r="A59" t="s">
        <v>259</v>
      </c>
      <c r="B59" s="2">
        <v>9877170000</v>
      </c>
      <c r="C59" s="2">
        <v>10260460000</v>
      </c>
      <c r="D59" s="2">
        <v>10639940000</v>
      </c>
      <c r="E59" s="2">
        <v>11036990000</v>
      </c>
      <c r="F59" s="2">
        <v>12068770000</v>
      </c>
      <c r="G59" s="2">
        <v>12479430000</v>
      </c>
      <c r="H59" s="3">
        <f t="shared" si="3"/>
        <v>3.8805649796449737E-2</v>
      </c>
      <c r="I59" s="3">
        <f t="shared" si="3"/>
        <v>3.6984696592550437E-2</v>
      </c>
      <c r="J59" s="3">
        <f t="shared" si="3"/>
        <v>3.7316939757179091E-2</v>
      </c>
      <c r="K59" s="3">
        <f t="shared" si="3"/>
        <v>9.3483821222996477E-2</v>
      </c>
      <c r="L59" s="3">
        <f t="shared" si="3"/>
        <v>3.4026665517695731E-2</v>
      </c>
      <c r="M59" s="3">
        <f t="shared" si="1"/>
        <v>4.8123554577374293E-2</v>
      </c>
      <c r="N59" s="3">
        <f t="shared" si="2"/>
        <v>4.7882153963462626E-2</v>
      </c>
    </row>
    <row r="60" spans="1:14">
      <c r="A60" t="s">
        <v>260</v>
      </c>
      <c r="B60" s="2">
        <v>8082900000</v>
      </c>
      <c r="C60" s="2">
        <v>8613700000</v>
      </c>
      <c r="D60" s="2">
        <v>8806970000</v>
      </c>
      <c r="E60" s="2">
        <v>9003080000</v>
      </c>
      <c r="F60" s="2">
        <v>9611460000</v>
      </c>
      <c r="G60" s="2">
        <v>10022860000</v>
      </c>
      <c r="H60" s="3">
        <f t="shared" si="3"/>
        <v>6.5669499808237219E-2</v>
      </c>
      <c r="I60" s="3">
        <f t="shared" si="3"/>
        <v>2.2437512335001131E-2</v>
      </c>
      <c r="J60" s="3">
        <f t="shared" si="3"/>
        <v>2.2267590329023479E-2</v>
      </c>
      <c r="K60" s="3">
        <f t="shared" si="3"/>
        <v>6.7574652230125709E-2</v>
      </c>
      <c r="L60" s="3">
        <f t="shared" si="3"/>
        <v>4.2803070501255869E-2</v>
      </c>
      <c r="M60" s="3">
        <f t="shared" si="1"/>
        <v>4.4150465040728684E-2</v>
      </c>
      <c r="N60" s="3">
        <f t="shared" si="2"/>
        <v>4.3962483017825793E-2</v>
      </c>
    </row>
    <row r="61" spans="1:14">
      <c r="A61" t="s">
        <v>261</v>
      </c>
      <c r="B61" s="2">
        <v>2272240000</v>
      </c>
      <c r="C61" s="2">
        <v>2400140000</v>
      </c>
      <c r="D61" s="2">
        <v>2499670000</v>
      </c>
      <c r="E61" s="2">
        <v>2499190000</v>
      </c>
      <c r="F61" s="2">
        <v>2682720000</v>
      </c>
      <c r="G61" s="2">
        <v>2838150000</v>
      </c>
      <c r="H61" s="3">
        <f t="shared" si="3"/>
        <v>5.6288068161813865E-2</v>
      </c>
      <c r="I61" s="3">
        <f t="shared" si="3"/>
        <v>4.1468414342496596E-2</v>
      </c>
      <c r="J61" s="3">
        <f t="shared" si="3"/>
        <v>-1.9202534734585885E-4</v>
      </c>
      <c r="K61" s="3">
        <f t="shared" si="3"/>
        <v>7.343579319699578E-2</v>
      </c>
      <c r="L61" s="3">
        <f t="shared" si="3"/>
        <v>5.7937466451959185E-2</v>
      </c>
      <c r="M61" s="3">
        <f t="shared" si="1"/>
        <v>4.5787543361183916E-2</v>
      </c>
      <c r="N61" s="3">
        <f t="shared" si="2"/>
        <v>4.5481202695434986E-2</v>
      </c>
    </row>
    <row r="62" spans="1:14">
      <c r="A62" t="s">
        <v>262</v>
      </c>
      <c r="B62" s="2">
        <v>2700640000</v>
      </c>
      <c r="C62" s="2">
        <v>2725730000</v>
      </c>
      <c r="D62" s="2">
        <v>2781580000</v>
      </c>
      <c r="E62" s="2">
        <v>2835790000</v>
      </c>
      <c r="F62" s="2">
        <v>2952690000</v>
      </c>
      <c r="G62" s="2">
        <v>3073940000</v>
      </c>
      <c r="H62" s="3">
        <f t="shared" si="3"/>
        <v>9.2903904259731274E-3</v>
      </c>
      <c r="I62" s="3">
        <f t="shared" si="3"/>
        <v>2.0489923800229626E-2</v>
      </c>
      <c r="J62" s="3">
        <f t="shared" si="3"/>
        <v>1.9488923561429061E-2</v>
      </c>
      <c r="K62" s="3">
        <f t="shared" si="3"/>
        <v>4.1223080693563396E-2</v>
      </c>
      <c r="L62" s="3">
        <f t="shared" si="3"/>
        <v>4.1064249887390769E-2</v>
      </c>
      <c r="M62" s="3">
        <f t="shared" si="1"/>
        <v>2.6311313673717196E-2</v>
      </c>
      <c r="N62" s="3">
        <f t="shared" si="2"/>
        <v>2.6232438037118389E-2</v>
      </c>
    </row>
  </sheetData>
  <pageMargins left="0.7" right="0.7" top="0.75" bottom="0.75" header="0.3" footer="0.3"/>
</worksheet>
</file>

<file path=docMetadata/LabelInfo.xml><?xml version="1.0" encoding="utf-8"?>
<clbl:labelList xmlns:clbl="http://schemas.microsoft.com/office/2020/mipLabelMetadata">
  <clbl:label id="{747e98d3-0e70-4db5-a56b-cae542e688be}" enabled="0" method="" siteId="{747e98d3-0e70-4db5-a56b-cae542e688b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IO_Table_2025(RAW)</vt:lpstr>
      <vt:lpstr>IO_Table_2025(CEK)</vt:lpstr>
      <vt:lpstr>DeskripsiSektor</vt:lpstr>
      <vt:lpstr>LDC Draft</vt:lpstr>
      <vt:lpstr>BAU_Lahan</vt:lpstr>
      <vt:lpstr>LAS_Lahan</vt:lpstr>
      <vt:lpstr>Populasi</vt:lpstr>
      <vt:lpstr>Linkage</vt:lpstr>
      <vt:lpstr>LDM</vt:lpstr>
      <vt:lpstr>Stype1</vt:lpstr>
      <vt:lpstr>Stype2</vt:lpstr>
      <vt:lpstr>populasiPenduduk</vt:lpstr>
      <vt:lpstr>Stype3</vt:lpstr>
      <vt:lpstr>Technical_Coeffs_A_2025</vt:lpstr>
      <vt:lpstr>Technical_Coeffs_A_2020</vt:lpstr>
      <vt:lpstr>Leontief_Inverse_L_2025</vt:lpstr>
      <vt:lpstr>Margins_Check</vt:lpstr>
      <vt:lpstr>Balance_Check</vt:lpstr>
      <vt:lpstr>Concordance</vt:lpstr>
      <vt:lpstr>growth pdrb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Maghfiroh, Fajrina</cp:lastModifiedBy>
  <dcterms:created xsi:type="dcterms:W3CDTF">2026-10-12T05:05:01Z</dcterms:created>
  <dcterms:modified xsi:type="dcterms:W3CDTF">2026-10-15T09:15:19Z</dcterms:modified>
</cp:coreProperties>
</file>