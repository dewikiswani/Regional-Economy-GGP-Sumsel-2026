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1" documentId="8_{78DC3045-C62F-4D97-9EB6-917DC13AA35B}" xr6:coauthVersionLast="47" xr6:coauthVersionMax="47" xr10:uidLastSave="{28CA46D2-5521-44F3-94B7-EC5A72386E78}"/>
  <bookViews>
    <workbookView xWindow="-28920" yWindow="-120" windowWidth="29040" windowHeight="15720" activeTab="1" xr2:uid="{8960EC9A-78CD-43CE-A156-85849C7CEC2C}"/>
  </bookViews>
  <sheets>
    <sheet name="I-O Sumsel 2020" sheetId="8" r:id="rId1"/>
    <sheet name="Estimasi Tenga Kerja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6" i="8" l="1"/>
  <c r="BN56" i="8"/>
  <c r="BM56" i="8"/>
  <c r="BJ56" i="8"/>
  <c r="BI56" i="8"/>
  <c r="BH56" i="8"/>
  <c r="BG56" i="8"/>
  <c r="BF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J56" i="8"/>
  <c r="AH56" i="8"/>
  <c r="AG56" i="8"/>
  <c r="AF56" i="8"/>
  <c r="AE56" i="8"/>
  <c r="AD56" i="8"/>
  <c r="AC56" i="8"/>
  <c r="AB56" i="8"/>
  <c r="AA56" i="8"/>
  <c r="Z56" i="8"/>
  <c r="Y56" i="8"/>
  <c r="U56" i="8"/>
  <c r="T56" i="8"/>
  <c r="S56" i="8"/>
  <c r="R56" i="8"/>
  <c r="P56" i="8"/>
  <c r="N56" i="8"/>
  <c r="L56" i="8"/>
  <c r="K56" i="8"/>
  <c r="J56" i="8"/>
  <c r="I56" i="8"/>
  <c r="H56" i="8"/>
  <c r="D56" i="8"/>
  <c r="BK21" i="8"/>
  <c r="BK11" i="8"/>
  <c r="BK20" i="8"/>
  <c r="BK6" i="8"/>
  <c r="BK3" i="8"/>
  <c r="BK4" i="8"/>
  <c r="BK5" i="8"/>
  <c r="BK7" i="8"/>
  <c r="BK8" i="8"/>
  <c r="BK9" i="8"/>
  <c r="BK10" i="8"/>
  <c r="BK12" i="8"/>
  <c r="BK13" i="8"/>
  <c r="BK14" i="8"/>
  <c r="BK15" i="8"/>
  <c r="BK16" i="8"/>
  <c r="BK17" i="8"/>
  <c r="BK18" i="8"/>
  <c r="BK19" i="8"/>
  <c r="BK22" i="8"/>
  <c r="BK23" i="8"/>
  <c r="BL23" i="8" s="1"/>
  <c r="BK24" i="8"/>
  <c r="BL24" i="8" s="1"/>
  <c r="BK25" i="8"/>
  <c r="BL25" i="8" s="1"/>
  <c r="BK26" i="8"/>
  <c r="BL26" i="8" s="1"/>
  <c r="BK27" i="8"/>
  <c r="BL27" i="8" s="1"/>
  <c r="BK28" i="8"/>
  <c r="BL28" i="8" s="1"/>
  <c r="BK29" i="8"/>
  <c r="BL29" i="8" s="1"/>
  <c r="BK30" i="8"/>
  <c r="BL30" i="8" s="1"/>
  <c r="BK31" i="8"/>
  <c r="BL31" i="8" s="1"/>
  <c r="BK32" i="8"/>
  <c r="BL32" i="8" s="1"/>
  <c r="BK33" i="8"/>
  <c r="BL33" i="8" s="1"/>
  <c r="BK34" i="8"/>
  <c r="BL34" i="8" s="1"/>
  <c r="BK35" i="8"/>
  <c r="BL35" i="8" s="1"/>
  <c r="BK36" i="8"/>
  <c r="BL36" i="8" s="1"/>
  <c r="BK37" i="8"/>
  <c r="BK38" i="8"/>
  <c r="BK39" i="8"/>
  <c r="BK40" i="8"/>
  <c r="BK41" i="8"/>
  <c r="BK42" i="8"/>
  <c r="BK43" i="8"/>
  <c r="BK44" i="8"/>
  <c r="BK45" i="8"/>
  <c r="BK46" i="8"/>
  <c r="BK47" i="8"/>
  <c r="BK48" i="8"/>
  <c r="BK49" i="8"/>
  <c r="BK50" i="8"/>
  <c r="BK51" i="8"/>
  <c r="BK52" i="8"/>
  <c r="BK53" i="8"/>
  <c r="BK54" i="8"/>
  <c r="BK55" i="8"/>
  <c r="X4" i="8"/>
  <c r="X56" i="8" s="1"/>
  <c r="X63" i="8" s="1"/>
  <c r="Q5" i="8"/>
  <c r="F5" i="8"/>
  <c r="BE5" i="8" s="1"/>
  <c r="E4" i="8"/>
  <c r="E56" i="8"/>
  <c r="G6" i="8"/>
  <c r="F49" i="8"/>
  <c r="BE49" i="8"/>
  <c r="BL49" i="8"/>
  <c r="G8" i="8"/>
  <c r="G56" i="8"/>
  <c r="F8" i="8"/>
  <c r="BE4" i="8"/>
  <c r="BL4" i="8"/>
  <c r="BP4" i="8"/>
  <c r="BP5" i="8"/>
  <c r="BP6" i="8"/>
  <c r="BP7" i="8"/>
  <c r="BP8" i="8"/>
  <c r="BP9" i="8"/>
  <c r="BP10" i="8"/>
  <c r="BP11" i="8"/>
  <c r="BP12" i="8"/>
  <c r="G62" i="8"/>
  <c r="F62" i="8"/>
  <c r="E62" i="8"/>
  <c r="E63" i="8" s="1"/>
  <c r="E1" i="8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J62" i="8"/>
  <c r="BD62" i="8"/>
  <c r="BD63" i="8" s="1"/>
  <c r="BC62" i="8"/>
  <c r="BC63" i="8" s="1"/>
  <c r="BB62" i="8"/>
  <c r="BB63" i="8" s="1"/>
  <c r="BA62" i="8"/>
  <c r="BA63" i="8" s="1"/>
  <c r="AZ62" i="8"/>
  <c r="AZ63" i="8" s="1"/>
  <c r="AY62" i="8"/>
  <c r="AY63" i="8" s="1"/>
  <c r="AX62" i="8"/>
  <c r="AX63" i="8"/>
  <c r="AW62" i="8"/>
  <c r="AW63" i="8" s="1"/>
  <c r="AV62" i="8"/>
  <c r="AV63" i="8" s="1"/>
  <c r="AU62" i="8"/>
  <c r="AU63" i="8" s="1"/>
  <c r="AT62" i="8"/>
  <c r="AT63" i="8" s="1"/>
  <c r="AS62" i="8"/>
  <c r="AS63" i="8" s="1"/>
  <c r="AR62" i="8"/>
  <c r="AR63" i="8"/>
  <c r="AQ62" i="8"/>
  <c r="AQ63" i="8" s="1"/>
  <c r="AP62" i="8"/>
  <c r="AP63" i="8" s="1"/>
  <c r="AO62" i="8"/>
  <c r="AO63" i="8"/>
  <c r="AN62" i="8"/>
  <c r="AN63" i="8" s="1"/>
  <c r="AM62" i="8"/>
  <c r="AM63" i="8" s="1"/>
  <c r="AL62" i="8"/>
  <c r="AL63" i="8" s="1"/>
  <c r="AK62" i="8"/>
  <c r="AJ62" i="8"/>
  <c r="AJ63" i="8" s="1"/>
  <c r="AI62" i="8"/>
  <c r="AH62" i="8"/>
  <c r="AH63" i="8"/>
  <c r="AG62" i="8"/>
  <c r="AG63" i="8" s="1"/>
  <c r="AF62" i="8"/>
  <c r="AF63" i="8" s="1"/>
  <c r="AE62" i="8"/>
  <c r="AE63" i="8"/>
  <c r="AD62" i="8"/>
  <c r="AD63" i="8"/>
  <c r="AC62" i="8"/>
  <c r="AC63" i="8" s="1"/>
  <c r="AB62" i="8"/>
  <c r="AB63" i="8"/>
  <c r="AA62" i="8"/>
  <c r="AA63" i="8"/>
  <c r="Z62" i="8"/>
  <c r="Z63" i="8" s="1"/>
  <c r="Y62" i="8"/>
  <c r="Y63" i="8" s="1"/>
  <c r="X62" i="8"/>
  <c r="W62" i="8"/>
  <c r="V62" i="8"/>
  <c r="V63" i="8" s="1"/>
  <c r="U62" i="8"/>
  <c r="U63" i="8"/>
  <c r="T62" i="8"/>
  <c r="T63" i="8" s="1"/>
  <c r="S62" i="8"/>
  <c r="S63" i="8" s="1"/>
  <c r="R62" i="8"/>
  <c r="R63" i="8" s="1"/>
  <c r="Q62" i="8"/>
  <c r="P62" i="8"/>
  <c r="P63" i="8"/>
  <c r="O62" i="8"/>
  <c r="N62" i="8"/>
  <c r="N63" i="8" s="1"/>
  <c r="M62" i="8"/>
  <c r="L62" i="8"/>
  <c r="L63" i="8"/>
  <c r="K62" i="8"/>
  <c r="K63" i="8" s="1"/>
  <c r="J62" i="8"/>
  <c r="J63" i="8" s="1"/>
  <c r="I62" i="8"/>
  <c r="I63" i="8" s="1"/>
  <c r="H62" i="8"/>
  <c r="H63" i="8"/>
  <c r="D62" i="8"/>
  <c r="D63" i="8" s="1"/>
  <c r="C62" i="8"/>
  <c r="BE61" i="8"/>
  <c r="BE60" i="8"/>
  <c r="BE58" i="8"/>
  <c r="A58" i="8"/>
  <c r="A59" i="8" s="1"/>
  <c r="A60" i="8" s="1"/>
  <c r="A61" i="8" s="1"/>
  <c r="BK57" i="8"/>
  <c r="BE57" i="8"/>
  <c r="C56" i="8"/>
  <c r="BP55" i="8"/>
  <c r="BE55" i="8"/>
  <c r="BL55" i="8" s="1"/>
  <c r="BP54" i="8"/>
  <c r="BE54" i="8"/>
  <c r="BL54" i="8" s="1"/>
  <c r="BP53" i="8"/>
  <c r="BE53" i="8"/>
  <c r="BL53" i="8" s="1"/>
  <c r="BP52" i="8"/>
  <c r="BE52" i="8"/>
  <c r="BL52" i="8" s="1"/>
  <c r="BP51" i="8"/>
  <c r="BE51" i="8"/>
  <c r="BL51" i="8" s="1"/>
  <c r="BP50" i="8"/>
  <c r="BE50" i="8"/>
  <c r="BL50" i="8" s="1"/>
  <c r="BP49" i="8"/>
  <c r="BP48" i="8"/>
  <c r="BE48" i="8"/>
  <c r="BL48" i="8" s="1"/>
  <c r="BP47" i="8"/>
  <c r="AK47" i="8"/>
  <c r="BE47" i="8"/>
  <c r="BL47" i="8" s="1"/>
  <c r="BP46" i="8"/>
  <c r="BE46" i="8"/>
  <c r="BL46" i="8" s="1"/>
  <c r="BP45" i="8"/>
  <c r="BE45" i="8"/>
  <c r="BL45" i="8" s="1"/>
  <c r="BP44" i="8"/>
  <c r="BE44" i="8"/>
  <c r="BL44" i="8" s="1"/>
  <c r="BP43" i="8"/>
  <c r="BE43" i="8"/>
  <c r="BL43" i="8" s="1"/>
  <c r="BP42" i="8"/>
  <c r="BE42" i="8"/>
  <c r="BL42" i="8" s="1"/>
  <c r="BP41" i="8"/>
  <c r="BE41" i="8"/>
  <c r="BL41" i="8" s="1"/>
  <c r="BP40" i="8"/>
  <c r="BE40" i="8"/>
  <c r="BL40" i="8" s="1"/>
  <c r="BP39" i="8"/>
  <c r="BE39" i="8"/>
  <c r="BL39" i="8" s="1"/>
  <c r="BP38" i="8"/>
  <c r="AK38" i="8"/>
  <c r="AK56" i="8" s="1"/>
  <c r="AK63" i="8" s="1"/>
  <c r="Q38" i="8"/>
  <c r="Q56" i="8" s="1"/>
  <c r="Q63" i="8" s="1"/>
  <c r="M38" i="8"/>
  <c r="M56" i="8"/>
  <c r="M63" i="8" s="1"/>
  <c r="BP37" i="8"/>
  <c r="BE37" i="8"/>
  <c r="BL37" i="8"/>
  <c r="BP36" i="8"/>
  <c r="BP56" i="8" s="1"/>
  <c r="BE36" i="8"/>
  <c r="BP35" i="8"/>
  <c r="BE35" i="8"/>
  <c r="BP34" i="8"/>
  <c r="BE34" i="8"/>
  <c r="BP33" i="8"/>
  <c r="BE33" i="8"/>
  <c r="BP32" i="8"/>
  <c r="BE32" i="8"/>
  <c r="BP31" i="8"/>
  <c r="BE31" i="8"/>
  <c r="BP30" i="8"/>
  <c r="BE30" i="8"/>
  <c r="BP29" i="8"/>
  <c r="BE29" i="8"/>
  <c r="BP28" i="8"/>
  <c r="BE28" i="8"/>
  <c r="BP27" i="8"/>
  <c r="BE27" i="8"/>
  <c r="BP26" i="8"/>
  <c r="BE26" i="8"/>
  <c r="BP25" i="8"/>
  <c r="AI25" i="8"/>
  <c r="BE25" i="8"/>
  <c r="BP24" i="8"/>
  <c r="AI24" i="8"/>
  <c r="BE24" i="8"/>
  <c r="BP23" i="8"/>
  <c r="BE23" i="8"/>
  <c r="BP22" i="8"/>
  <c r="AI22" i="8"/>
  <c r="X22" i="8"/>
  <c r="W22" i="8"/>
  <c r="W56" i="8"/>
  <c r="V22" i="8"/>
  <c r="V56" i="8"/>
  <c r="O22" i="8"/>
  <c r="O56" i="8"/>
  <c r="BP21" i="8"/>
  <c r="BE21" i="8"/>
  <c r="BL21" i="8"/>
  <c r="BP20" i="8"/>
  <c r="BE20" i="8"/>
  <c r="BL20" i="8"/>
  <c r="BP19" i="8"/>
  <c r="BE19" i="8"/>
  <c r="BL19" i="8"/>
  <c r="BP18" i="8"/>
  <c r="BE18" i="8"/>
  <c r="BL18" i="8"/>
  <c r="BP17" i="8"/>
  <c r="BE17" i="8"/>
  <c r="BL17" i="8"/>
  <c r="BP16" i="8"/>
  <c r="BE16" i="8"/>
  <c r="BL16" i="8"/>
  <c r="BP15" i="8"/>
  <c r="BE15" i="8"/>
  <c r="BL15" i="8"/>
  <c r="BP14" i="8"/>
  <c r="BE14" i="8"/>
  <c r="BL14" i="8"/>
  <c r="BP13" i="8"/>
  <c r="BE13" i="8"/>
  <c r="BL13" i="8"/>
  <c r="BE12" i="8"/>
  <c r="BL12" i="8"/>
  <c r="BE11" i="8"/>
  <c r="BL11" i="8"/>
  <c r="BE10" i="8"/>
  <c r="BL10" i="8"/>
  <c r="BE9" i="8"/>
  <c r="BL9" i="8"/>
  <c r="BE7" i="8"/>
  <c r="BL7" i="8"/>
  <c r="BP3" i="8"/>
  <c r="BE3" i="8"/>
  <c r="BL3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BP2" i="8"/>
  <c r="BK2" i="8"/>
  <c r="BK56" i="8"/>
  <c r="Q2" i="8"/>
  <c r="BE2" i="8"/>
  <c r="BL2" i="8"/>
  <c r="O63" i="8"/>
  <c r="W63" i="8"/>
  <c r="G63" i="8"/>
  <c r="AI56" i="8"/>
  <c r="AI63" i="8"/>
  <c r="BE8" i="8"/>
  <c r="BL8" i="8"/>
  <c r="F56" i="8"/>
  <c r="F63" i="8"/>
  <c r="BE38" i="8"/>
  <c r="BL38" i="8"/>
  <c r="C63" i="8"/>
  <c r="BE6" i="8"/>
  <c r="BL6" i="8"/>
  <c r="BE59" i="8"/>
  <c r="BE62" i="8" s="1"/>
  <c r="BL57" i="8"/>
  <c r="BM57" i="8" s="1"/>
  <c r="BP57" i="8" s="1"/>
  <c r="BE22" i="8"/>
  <c r="BL2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BL5" i="8" l="1"/>
  <c r="BL56" i="8" s="1"/>
  <c r="BE56" i="8"/>
  <c r="BE63" i="8" s="1"/>
</calcChain>
</file>

<file path=xl/sharedStrings.xml><?xml version="1.0" encoding="utf-8"?>
<sst xmlns="http://schemas.openxmlformats.org/spreadsheetml/2006/main" count="122" uniqueCount="67">
  <si>
    <t>Kode I-O</t>
  </si>
  <si>
    <t>Deskripsi</t>
  </si>
  <si>
    <t xml:space="preserve">Pertanian Tanaman Pangan </t>
  </si>
  <si>
    <t>Pertanian Tanaman Hortikultura Semusim, Hortikultura Tahunan, dan Lainnya</t>
  </si>
  <si>
    <t>Karet</t>
  </si>
  <si>
    <t>Kelapa Sawit</t>
  </si>
  <si>
    <t>Tanaman Perkebunan lainnya</t>
  </si>
  <si>
    <t xml:space="preserve">Peternakan </t>
  </si>
  <si>
    <t xml:space="preserve">Jasa Pertanian dan Perburuan  </t>
  </si>
  <si>
    <t>Kehutanan dan Penebangan Kayu</t>
  </si>
  <si>
    <t xml:space="preserve">Perikanan </t>
  </si>
  <si>
    <t>Pertambangan Minyak, Gas dan Panas Bumi</t>
  </si>
  <si>
    <t>Pertambangan Batubara dan Lignit</t>
  </si>
  <si>
    <t>Pertambangan Bijih Logam</t>
  </si>
  <si>
    <t>Pertambangan dan Penggalian Lainnya</t>
  </si>
  <si>
    <t>Industri Batubara dan Pengilangan Migas</t>
  </si>
  <si>
    <t xml:space="preserve">Industri Makanan dan Minuman </t>
  </si>
  <si>
    <t>Industri 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</si>
  <si>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</si>
  <si>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</si>
  <si>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</si>
  <si>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</si>
  <si>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</si>
  <si>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</si>
  <si>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</si>
  <si>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</si>
  <si>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</si>
  <si>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</si>
  <si>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</si>
  <si>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</si>
  <si>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</si>
  <si>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 xml:space="preserve">Ketenagalistrikan </t>
  </si>
  <si>
    <t>Pengadaan Gas dan Produksi Es</t>
  </si>
  <si>
    <t>Pengadaan Air, Pengelolaan Sampah, Limbah, dan Daur Ulang</t>
  </si>
  <si>
    <t>Konstruksi</t>
  </si>
  <si>
    <t>Perdagangan Mobil, Sepeda Motor dan Reparasinya</t>
  </si>
  <si>
    <t>Perdagangan Besar dan Eceran, Bukan Mobil dan Sepeda Motor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</si>
  <si>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</si>
  <si>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</si>
  <si>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</si>
  <si>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</si>
  <si>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</si>
  <si>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</si>
  <si>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 xml:space="preserve">Penyediaan Akomodasi </t>
  </si>
  <si>
    <t>Penyediaan Makan Minum</t>
  </si>
  <si>
    <t xml:space="preserve">Jasa Informasi dan Komunikasi </t>
  </si>
  <si>
    <t>Jasa Perantara Keuangan Selain Bank Sentral</t>
  </si>
  <si>
    <t>Asuransi dan Dana Pensiun</t>
  </si>
  <si>
    <t>Jasa Keuangan Lainnya</t>
  </si>
  <si>
    <t>Jasa Penunjang Keuangan</t>
  </si>
  <si>
    <t>Real Estate</t>
  </si>
  <si>
    <t>Jasa Perusahaan</t>
  </si>
  <si>
    <t>Administrasi Pemerintahan, Pertahanan dan Jaminan Sosial Wajib</t>
  </si>
  <si>
    <t xml:space="preserve">Jasa Pendidikan </t>
  </si>
  <si>
    <t xml:space="preserve">Jasa Kesehatan dan Kegiatan Sosial </t>
  </si>
  <si>
    <t>Jasa  Lainnya</t>
  </si>
  <si>
    <t>Input Antara</t>
  </si>
  <si>
    <t xml:space="preserve">Input Antara Impor </t>
  </si>
  <si>
    <t>Kompensasi Tenaga Kerja</t>
  </si>
  <si>
    <t>Surplus Usaha (termasuk pendapatan campuran) Bruto</t>
  </si>
  <si>
    <t>Pajak Atas Produksi Lainnya</t>
  </si>
  <si>
    <t>Subsidi Atas Produksi Lainnya (-)</t>
  </si>
  <si>
    <t>Nilai Tambah Bruto</t>
  </si>
  <si>
    <t>456647.86</t>
  </si>
  <si>
    <t>Total Input</t>
  </si>
  <si>
    <t>Nama Sektor</t>
  </si>
  <si>
    <t>Perkiraan Jumlah Tenaga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</si>
</sst>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5" fillId="3" borderId="6" xfId="7" applyFont="1" applyFill="1" applyBorder="1" applyAlignment="1">
      <alignment vertical="center"/>
    </xf>
    <xf numFmtId="0" fontId="2" fillId="4" borderId="2" xfId="7" applyFont="1" applyFill="1" applyBorder="1" applyAlignment="1">
      <alignment horizontal="center" vertical="center"/>
    </xf>
    <xf numFmtId="0" fontId="1" fillId="4" borderId="9" xfId="7" applyFill="1" applyBorder="1" applyAlignment="1">
      <alignment horizontal="left" vertical="center"/>
    </xf>
    <xf numFmtId="0" fontId="2" fillId="4" borderId="2" xfId="7" applyFont="1" applyFill="1" applyBorder="1" applyAlignment="1">
      <alignment horizontal="left" vertical="center"/>
    </xf>
    <xf numFmtId="0" fontId="1" fillId="4" borderId="11" xfId="7" applyFill="1" applyBorder="1" applyAlignment="1">
      <alignment horizontal="left" vertical="center" wrapText="1"/>
    </xf>
    <xf numFmtId="0" fontId="6" fillId="0" borderId="1" xfId="0" applyFont="1" applyBorder="1"/>
    <xf numFmtId="0" fontId="6" fillId="0" borderId="10" xfId="0" applyFont="1" applyBorder="1"/>
    <xf numFmtId="41" fontId="3" fillId="0" borderId="0" xfId="2" applyFont="1" applyFill="1" applyBorder="1" applyAlignment="1">
      <alignment horizontal="center" vertical="center"/>
    </xf>
    <xf numFmtId="0" fontId="3" fillId="0" borderId="0" xfId="7" applyFont="1" applyAlignment="1">
      <alignment horizontal="left"/>
    </xf>
    <xf numFmtId="0" fontId="1" fillId="0" borderId="0" xfId="7"/>
    <xf numFmtId="0" fontId="2" fillId="0" borderId="3" xfId="7" applyFont="1" applyBorder="1" applyAlignment="1">
      <alignment vertical="center"/>
    </xf>
    <xf numFmtId="0" fontId="1" fillId="0" borderId="4" xfId="7" applyBorder="1"/>
    <xf numFmtId="0" fontId="1" fillId="5" borderId="2" xfId="7" applyFill="1" applyBorder="1"/>
    <xf numFmtId="0" fontId="1" fillId="0" borderId="0" xfId="7" applyAlignment="1">
      <alignment horizontal="center"/>
    </xf>
    <xf numFmtId="0" fontId="1" fillId="4" borderId="12" xfId="1" applyFill="1" applyBorder="1" applyAlignment="1">
      <alignment horizontal="left" vertical="center"/>
    </xf>
    <xf numFmtId="0" fontId="1" fillId="4" borderId="13" xfId="1" applyFill="1" applyBorder="1" applyAlignment="1">
      <alignment horizontal="left" vertical="center"/>
    </xf>
    <xf numFmtId="0" fontId="1" fillId="4" borderId="14" xfId="1" applyFill="1" applyBorder="1" applyAlignment="1">
      <alignment horizontal="left" vertical="center"/>
    </xf>
    <xf numFmtId="0" fontId="1" fillId="0" borderId="3" xfId="7" applyBorder="1" applyAlignment="1">
      <alignment horizontal="center"/>
    </xf>
    <xf numFmtId="0" fontId="1" fillId="0" borderId="0" xfId="7" applyAlignment="1">
      <alignment horizontal="left"/>
    </xf>
    <xf numFmtId="4" fontId="1" fillId="0" borderId="0" xfId="2" applyNumberFormat="1" applyFont="1" applyFill="1" applyBorder="1" applyAlignment="1">
      <alignment horizontal="right" vertical="center"/>
    </xf>
    <xf numFmtId="4" fontId="1" fillId="0" borderId="5" xfId="2" applyNumberFormat="1" applyFont="1" applyFill="1" applyBorder="1" applyAlignment="1">
      <alignment horizontal="right" vertical="center"/>
    </xf>
    <xf numFmtId="4" fontId="1" fillId="0" borderId="10" xfId="2" applyNumberFormat="1" applyFont="1" applyFill="1" applyBorder="1" applyAlignment="1">
      <alignment horizontal="right" vertical="center"/>
    </xf>
    <xf numFmtId="4" fontId="1" fillId="5" borderId="7" xfId="2" applyNumberFormat="1" applyFont="1" applyFill="1" applyBorder="1" applyAlignment="1">
      <alignment horizontal="right" vertical="center"/>
    </xf>
    <xf numFmtId="4" fontId="1" fillId="0" borderId="0" xfId="7" applyNumberFormat="1" applyAlignment="1">
      <alignment horizontal="right"/>
    </xf>
    <xf numFmtId="4" fontId="1" fillId="5" borderId="7" xfId="7" applyNumberFormat="1" applyFill="1" applyBorder="1" applyAlignment="1">
      <alignment horizontal="right"/>
    </xf>
    <xf numFmtId="4" fontId="1" fillId="0" borderId="7" xfId="2" applyNumberFormat="1" applyFont="1" applyFill="1" applyBorder="1" applyAlignment="1">
      <alignment horizontal="right" vertical="center"/>
    </xf>
    <xf numFmtId="4" fontId="1" fillId="0" borderId="1" xfId="2" applyNumberFormat="1" applyFont="1" applyFill="1" applyBorder="1" applyAlignment="1">
      <alignment horizontal="right" vertical="center"/>
    </xf>
    <xf numFmtId="4" fontId="1" fillId="0" borderId="3" xfId="2" applyNumberFormat="1" applyFont="1" applyFill="1" applyBorder="1" applyAlignment="1">
      <alignment horizontal="right" vertical="center"/>
    </xf>
    <xf numFmtId="4" fontId="1" fillId="2" borderId="7" xfId="2" applyNumberFormat="1" applyFont="1" applyFill="1" applyBorder="1" applyAlignment="1">
      <alignment horizontal="right" vertical="center"/>
    </xf>
    <xf numFmtId="4" fontId="3" fillId="0" borderId="0" xfId="2" applyNumberFormat="1" applyFont="1" applyFill="1" applyBorder="1" applyAlignment="1">
      <alignment horizontal="right" vertical="center"/>
    </xf>
    <xf numFmtId="4" fontId="3" fillId="0" borderId="0" xfId="7" applyNumberFormat="1" applyFont="1" applyAlignment="1">
      <alignment horizontal="right"/>
    </xf>
    <xf numFmtId="4" fontId="1" fillId="0" borderId="4" xfId="7" applyNumberFormat="1" applyBorder="1" applyAlignment="1">
      <alignment horizontal="right"/>
    </xf>
    <xf numFmtId="4" fontId="0" fillId="0" borderId="5" xfId="2" applyNumberFormat="1" applyFont="1" applyFill="1" applyBorder="1" applyAlignment="1">
      <alignment horizontal="right" vertical="center"/>
    </xf>
    <xf numFmtId="4" fontId="0" fillId="0" borderId="7" xfId="2" applyNumberFormat="1" applyFont="1" applyFill="1" applyBorder="1" applyAlignment="1">
      <alignment horizontal="right" vertical="center"/>
    </xf>
    <xf numFmtId="4" fontId="5" fillId="0" borderId="0" xfId="2" applyNumberFormat="1" applyFont="1" applyFill="1" applyBorder="1" applyAlignment="1">
      <alignment horizontal="right" vertical="center"/>
    </xf>
    <xf numFmtId="4" fontId="1" fillId="0" borderId="3" xfId="7" applyNumberFormat="1" applyBorder="1" applyAlignment="1">
      <alignment horizontal="right"/>
    </xf>
    <xf numFmtId="4" fontId="1" fillId="0" borderId="8" xfId="2" applyNumberFormat="1" applyFont="1" applyFill="1" applyBorder="1" applyAlignment="1">
      <alignment horizontal="right" vertical="center"/>
    </xf>
    <xf numFmtId="4" fontId="0" fillId="0" borderId="8" xfId="2" applyNumberFormat="1" applyFont="1" applyFill="1" applyBorder="1" applyAlignment="1">
      <alignment horizontal="right" vertical="center"/>
    </xf>
    <xf numFmtId="4" fontId="1" fillId="0" borderId="15" xfId="2" applyNumberFormat="1" applyFont="1" applyFill="1" applyBorder="1" applyAlignment="1">
      <alignment horizontal="right" vertical="center"/>
    </xf>
    <xf numFmtId="0" fontId="5" fillId="3" borderId="2" xfId="7" applyFont="1" applyFill="1" applyBorder="1" applyAlignment="1">
      <alignment horizontal="right" vertical="center" wrapText="1"/>
    </xf>
    <xf numFmtId="0" fontId="5" fillId="5" borderId="2" xfId="7" applyFont="1" applyFill="1" applyBorder="1" applyAlignment="1">
      <alignment horizontal="right" vertical="center" wrapText="1"/>
    </xf>
    <xf numFmtId="0" fontId="5" fillId="3" borderId="16" xfId="7" applyFont="1" applyFill="1" applyBorder="1" applyAlignment="1">
      <alignment vertical="center"/>
    </xf>
    <xf numFmtId="0" fontId="1" fillId="0" borderId="2" xfId="7" applyBorder="1"/>
    <xf numFmtId="0" fontId="0" fillId="4" borderId="13" xfId="1" applyFont="1" applyFill="1" applyBorder="1" applyAlignment="1">
      <alignment horizontal="left" vertical="center"/>
    </xf>
    <xf numFmtId="4" fontId="1" fillId="0" borderId="0" xfId="7" applyNumberFormat="1"/>
    <xf numFmtId="4" fontId="0" fillId="0" borderId="0" xfId="7" applyNumberFormat="1" applyFont="1"/>
    <xf numFmtId="4" fontId="1" fillId="2" borderId="2" xfId="2" applyNumberFormat="1" applyFont="1" applyFill="1" applyBorder="1" applyAlignment="1">
      <alignment horizontal="right" vertical="center"/>
    </xf>
    <xf numFmtId="3" fontId="1" fillId="2" borderId="2" xfId="2" applyNumberFormat="1" applyFont="1" applyFill="1" applyBorder="1" applyAlignment="1">
      <alignment horizontal="right" vertical="center"/>
    </xf>
    <xf numFmtId="0" fontId="5" fillId="3" borderId="2" xfId="7" applyFont="1" applyFill="1" applyBorder="1" applyAlignment="1">
      <alignment horizontal="center" vertical="center" wrapText="1"/>
    </xf>
    <xf numFmtId="0" fontId="5" fillId="3" borderId="4" xfId="7" applyFont="1" applyFill="1" applyBorder="1" applyAlignment="1">
      <alignment horizontal="center" vertical="center" wrapText="1"/>
    </xf>
    <xf numFmtId="3" fontId="0" fillId="0" borderId="0" xfId="0" applyNumberFormat="1"/>
  </cellXfs>
  <cellStyles count="9">
    <cellStyle name="Comma [0] 3" xfId="2" xr:uid="{6AB4B25D-4ABA-416B-A29F-DA303C771095}"/>
    <cellStyle name="Comma 2" xfId="8" xr:uid="{00000000-0005-0000-0000-000036000000}"/>
    <cellStyle name="Normal" xfId="0" builtinId="0"/>
    <cellStyle name="Normal 11" xfId="5" xr:uid="{95259B6E-BCF4-49E4-8362-08C188D59DD3}"/>
    <cellStyle name="Normal 11 2" xfId="4" xr:uid="{43EF1867-9C07-462E-8269-C8798C2555A4}"/>
    <cellStyle name="Normal 2 2" xfId="3" xr:uid="{3FD01355-5F01-4E9E-BADD-29D4A8108AD4}"/>
    <cellStyle name="Normal 2 3" xfId="6" xr:uid="{C756B3AB-5EAC-4FA6-A5B0-274DE54DD670}"/>
    <cellStyle name="Normal 2 5 4" xfId="1" xr:uid="{F268FD4F-EAA8-404E-8678-43473608B32E}"/>
    <cellStyle name="Normal 3 2" xfId="7" xr:uid="{3F704495-981C-47D0-95F0-936B5A87B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E778-B26A-4A0F-823F-FA1F0B14B239}">
  <dimension ref="A1:BW63"/>
  <sheetViews>
    <sheetView workbookViewId="0">
      <pane xSplit="2" ySplit="1" topLeftCell="AJ2" activePane="bottomRight" state="frozen"/>
      <selection pane="topRight" activeCell="C1" sqref="C1"/>
      <selection pane="bottomLeft" activeCell="A4" sqref="A4"/>
      <selection pane="bottomRight" activeCell="A2" sqref="A1:XFD2"/>
    </sheetView>
  </sheetViews>
  <sheetFormatPr defaultRowHeight="14.4" x14ac:dyDescent="0.3"/>
  <cols>
    <col min="1" max="1" width="11.5546875" style="10" bestFit="1" customWidth="1"/>
    <col min="2" max="2" width="58.33203125" style="10" customWidth="1"/>
    <col min="3" max="3" width="13.88671875" style="10" bestFit="1" customWidth="1"/>
    <col min="4" max="4" width="12.88671875" style="10" bestFit="1" customWidth="1"/>
    <col min="5" max="6" width="12.88671875" style="10" customWidth="1"/>
    <col min="7" max="8" width="13.6640625" style="10" bestFit="1" customWidth="1"/>
    <col min="9" max="9" width="12.5546875" style="10" bestFit="1" customWidth="1"/>
    <col min="10" max="10" width="12.88671875" style="10" bestFit="1" customWidth="1"/>
    <col min="11" max="12" width="13.6640625" style="10" bestFit="1" customWidth="1"/>
    <col min="13" max="13" width="12.5546875" style="10" customWidth="1"/>
    <col min="14" max="14" width="12.88671875" style="10" bestFit="1" customWidth="1"/>
    <col min="15" max="16" width="13.6640625" style="10" bestFit="1" customWidth="1"/>
    <col min="17" max="17" width="14.6640625" style="10" bestFit="1" customWidth="1"/>
    <col min="18" max="21" width="12.88671875" style="10" bestFit="1" customWidth="1"/>
    <col min="22" max="24" width="13.6640625" style="10" bestFit="1" customWidth="1"/>
    <col min="25" max="29" width="12.88671875" style="10" bestFit="1" customWidth="1"/>
    <col min="30" max="30" width="11.88671875" style="10" bestFit="1" customWidth="1"/>
    <col min="31" max="32" width="12.88671875" style="10" bestFit="1" customWidth="1"/>
    <col min="33" max="33" width="11.88671875" style="10" bestFit="1" customWidth="1"/>
    <col min="34" max="34" width="12.5546875" style="10" bestFit="1" customWidth="1"/>
    <col min="35" max="35" width="14.6640625" style="10" bestFit="1" customWidth="1"/>
    <col min="36" max="36" width="13.6640625" style="10" bestFit="1" customWidth="1"/>
    <col min="37" max="37" width="14.5546875" style="10" bestFit="1" customWidth="1"/>
    <col min="38" max="38" width="12.5546875" style="10" bestFit="1" customWidth="1"/>
    <col min="39" max="39" width="13.6640625" style="10" bestFit="1" customWidth="1"/>
    <col min="40" max="40" width="12.88671875" style="10" bestFit="1" customWidth="1"/>
    <col min="41" max="41" width="12.5546875" style="10" bestFit="1" customWidth="1"/>
    <col min="42" max="44" width="12.88671875" style="10" bestFit="1" customWidth="1"/>
    <col min="45" max="46" width="13.6640625" style="10" bestFit="1" customWidth="1"/>
    <col min="47" max="48" width="12.88671875" style="10" bestFit="1" customWidth="1"/>
    <col min="49" max="49" width="12.5546875" style="10" bestFit="1" customWidth="1"/>
    <col min="50" max="50" width="11.88671875" style="10" bestFit="1" customWidth="1"/>
    <col min="51" max="51" width="13.6640625" style="10" bestFit="1" customWidth="1"/>
    <col min="52" max="52" width="12.88671875" style="10" bestFit="1" customWidth="1"/>
    <col min="53" max="54" width="13.6640625" style="10" bestFit="1" customWidth="1"/>
    <col min="55" max="55" width="12.88671875" style="10" bestFit="1" customWidth="1"/>
    <col min="56" max="56" width="12.5546875" style="10" customWidth="1"/>
    <col min="57" max="57" width="15.44140625" style="10" customWidth="1"/>
    <col min="58" max="58" width="17.88671875" style="10" customWidth="1"/>
    <col min="59" max="59" width="13.44140625" style="10" bestFit="1" customWidth="1"/>
    <col min="60" max="60" width="14" style="10" bestFit="1" customWidth="1"/>
    <col min="61" max="61" width="12.6640625" style="10" bestFit="1" customWidth="1"/>
    <col min="62" max="62" width="14" style="10" bestFit="1" customWidth="1"/>
    <col min="63" max="63" width="19.33203125" style="10" customWidth="1"/>
    <col min="64" max="64" width="14.88671875" style="10" customWidth="1"/>
    <col min="65" max="65" width="20.88671875" style="10" customWidth="1"/>
    <col min="66" max="67" width="13.44140625" style="10" customWidth="1"/>
    <col min="68" max="68" width="13.6640625" style="10" customWidth="1"/>
    <col min="69" max="252" width="8.77734375" style="10"/>
    <col min="253" max="253" width="4.6640625" style="10" customWidth="1"/>
    <col min="254" max="254" width="58.33203125" style="10" customWidth="1"/>
    <col min="255" max="255" width="12.6640625" style="10" customWidth="1"/>
    <col min="256" max="259" width="12.6640625" style="10" bestFit="1" customWidth="1"/>
    <col min="260" max="260" width="11.6640625" style="10" bestFit="1" customWidth="1"/>
    <col min="261" max="263" width="12.6640625" style="10" bestFit="1" customWidth="1"/>
    <col min="264" max="264" width="12.5546875" style="10" customWidth="1"/>
    <col min="265" max="267" width="12.6640625" style="10" bestFit="1" customWidth="1"/>
    <col min="268" max="268" width="14.44140625" style="10" bestFit="1" customWidth="1"/>
    <col min="269" max="280" width="12.6640625" style="10" bestFit="1" customWidth="1"/>
    <col min="281" max="281" width="11.6640625" style="10" bestFit="1" customWidth="1"/>
    <col min="282" max="283" width="12.6640625" style="10" bestFit="1" customWidth="1"/>
    <col min="284" max="285" width="11.6640625" style="10" bestFit="1" customWidth="1"/>
    <col min="286" max="286" width="14.44140625" style="10" bestFit="1" customWidth="1"/>
    <col min="287" max="287" width="12.6640625" style="10" bestFit="1" customWidth="1"/>
    <col min="288" max="288" width="14.44140625" style="10" bestFit="1" customWidth="1"/>
    <col min="289" max="289" width="11.6640625" style="10" bestFit="1" customWidth="1"/>
    <col min="290" max="291" width="12.6640625" style="10" bestFit="1" customWidth="1"/>
    <col min="292" max="292" width="11.6640625" style="10" bestFit="1" customWidth="1"/>
    <col min="293" max="299" width="12.6640625" style="10" bestFit="1" customWidth="1"/>
    <col min="300" max="301" width="11.6640625" style="10" bestFit="1" customWidth="1"/>
    <col min="302" max="306" width="12.6640625" style="10" bestFit="1" customWidth="1"/>
    <col min="307" max="307" width="12.5546875" style="10" customWidth="1"/>
    <col min="308" max="308" width="15.44140625" style="10" customWidth="1"/>
    <col min="309" max="309" width="13.88671875" style="10" bestFit="1" customWidth="1"/>
    <col min="310" max="310" width="12.109375" style="10" bestFit="1" customWidth="1"/>
    <col min="311" max="312" width="13.88671875" style="10" bestFit="1" customWidth="1"/>
    <col min="313" max="313" width="12.5546875" style="10" bestFit="1" customWidth="1"/>
    <col min="314" max="314" width="13.88671875" style="10" bestFit="1" customWidth="1"/>
    <col min="315" max="315" width="16.109375" style="10" customWidth="1"/>
    <col min="316" max="316" width="13.88671875" style="10" bestFit="1" customWidth="1"/>
    <col min="317" max="317" width="19.109375" style="10" bestFit="1" customWidth="1"/>
    <col min="318" max="318" width="14.77734375" style="10" bestFit="1" customWidth="1"/>
    <col min="319" max="319" width="20.88671875" style="10" customWidth="1"/>
    <col min="320" max="508" width="8.77734375" style="10"/>
    <col min="509" max="509" width="4.6640625" style="10" customWidth="1"/>
    <col min="510" max="510" width="58.33203125" style="10" customWidth="1"/>
    <col min="511" max="511" width="12.6640625" style="10" customWidth="1"/>
    <col min="512" max="515" width="12.6640625" style="10" bestFit="1" customWidth="1"/>
    <col min="516" max="516" width="11.6640625" style="10" bestFit="1" customWidth="1"/>
    <col min="517" max="519" width="12.6640625" style="10" bestFit="1" customWidth="1"/>
    <col min="520" max="520" width="12.5546875" style="10" customWidth="1"/>
    <col min="521" max="523" width="12.6640625" style="10" bestFit="1" customWidth="1"/>
    <col min="524" max="524" width="14.44140625" style="10" bestFit="1" customWidth="1"/>
    <col min="525" max="536" width="12.6640625" style="10" bestFit="1" customWidth="1"/>
    <col min="537" max="537" width="11.6640625" style="10" bestFit="1" customWidth="1"/>
    <col min="538" max="539" width="12.6640625" style="10" bestFit="1" customWidth="1"/>
    <col min="540" max="541" width="11.6640625" style="10" bestFit="1" customWidth="1"/>
    <col min="542" max="542" width="14.44140625" style="10" bestFit="1" customWidth="1"/>
    <col min="543" max="543" width="12.6640625" style="10" bestFit="1" customWidth="1"/>
    <col min="544" max="544" width="14.44140625" style="10" bestFit="1" customWidth="1"/>
    <col min="545" max="545" width="11.6640625" style="10" bestFit="1" customWidth="1"/>
    <col min="546" max="547" width="12.6640625" style="10" bestFit="1" customWidth="1"/>
    <col min="548" max="548" width="11.6640625" style="10" bestFit="1" customWidth="1"/>
    <col min="549" max="555" width="12.6640625" style="10" bestFit="1" customWidth="1"/>
    <col min="556" max="557" width="11.6640625" style="10" bestFit="1" customWidth="1"/>
    <col min="558" max="562" width="12.6640625" style="10" bestFit="1" customWidth="1"/>
    <col min="563" max="563" width="12.5546875" style="10" customWidth="1"/>
    <col min="564" max="564" width="15.44140625" style="10" customWidth="1"/>
    <col min="565" max="565" width="13.88671875" style="10" bestFit="1" customWidth="1"/>
    <col min="566" max="566" width="12.109375" style="10" bestFit="1" customWidth="1"/>
    <col min="567" max="568" width="13.88671875" style="10" bestFit="1" customWidth="1"/>
    <col min="569" max="569" width="12.5546875" style="10" bestFit="1" customWidth="1"/>
    <col min="570" max="570" width="13.88671875" style="10" bestFit="1" customWidth="1"/>
    <col min="571" max="571" width="16.109375" style="10" customWidth="1"/>
    <col min="572" max="572" width="13.88671875" style="10" bestFit="1" customWidth="1"/>
    <col min="573" max="573" width="19.109375" style="10" bestFit="1" customWidth="1"/>
    <col min="574" max="574" width="14.77734375" style="10" bestFit="1" customWidth="1"/>
    <col min="575" max="575" width="20.88671875" style="10" customWidth="1"/>
    <col min="576" max="764" width="8.77734375" style="10"/>
    <col min="765" max="765" width="4.6640625" style="10" customWidth="1"/>
    <col min="766" max="766" width="58.33203125" style="10" customWidth="1"/>
    <col min="767" max="767" width="12.6640625" style="10" customWidth="1"/>
    <col min="768" max="771" width="12.6640625" style="10" bestFit="1" customWidth="1"/>
    <col min="772" max="772" width="11.6640625" style="10" bestFit="1" customWidth="1"/>
    <col min="773" max="775" width="12.6640625" style="10" bestFit="1" customWidth="1"/>
    <col min="776" max="776" width="12.5546875" style="10" customWidth="1"/>
    <col min="777" max="779" width="12.6640625" style="10" bestFit="1" customWidth="1"/>
    <col min="780" max="780" width="14.44140625" style="10" bestFit="1" customWidth="1"/>
    <col min="781" max="792" width="12.6640625" style="10" bestFit="1" customWidth="1"/>
    <col min="793" max="793" width="11.6640625" style="10" bestFit="1" customWidth="1"/>
    <col min="794" max="795" width="12.6640625" style="10" bestFit="1" customWidth="1"/>
    <col min="796" max="797" width="11.6640625" style="10" bestFit="1" customWidth="1"/>
    <col min="798" max="798" width="14.44140625" style="10" bestFit="1" customWidth="1"/>
    <col min="799" max="799" width="12.6640625" style="10" bestFit="1" customWidth="1"/>
    <col min="800" max="800" width="14.44140625" style="10" bestFit="1" customWidth="1"/>
    <col min="801" max="801" width="11.6640625" style="10" bestFit="1" customWidth="1"/>
    <col min="802" max="803" width="12.6640625" style="10" bestFit="1" customWidth="1"/>
    <col min="804" max="804" width="11.6640625" style="10" bestFit="1" customWidth="1"/>
    <col min="805" max="811" width="12.6640625" style="10" bestFit="1" customWidth="1"/>
    <col min="812" max="813" width="11.6640625" style="10" bestFit="1" customWidth="1"/>
    <col min="814" max="818" width="12.6640625" style="10" bestFit="1" customWidth="1"/>
    <col min="819" max="819" width="12.5546875" style="10" customWidth="1"/>
    <col min="820" max="820" width="15.44140625" style="10" customWidth="1"/>
    <col min="821" max="821" width="13.88671875" style="10" bestFit="1" customWidth="1"/>
    <col min="822" max="822" width="12.109375" style="10" bestFit="1" customWidth="1"/>
    <col min="823" max="824" width="13.88671875" style="10" bestFit="1" customWidth="1"/>
    <col min="825" max="825" width="12.5546875" style="10" bestFit="1" customWidth="1"/>
    <col min="826" max="826" width="13.88671875" style="10" bestFit="1" customWidth="1"/>
    <col min="827" max="827" width="16.109375" style="10" customWidth="1"/>
    <col min="828" max="828" width="13.88671875" style="10" bestFit="1" customWidth="1"/>
    <col min="829" max="829" width="19.109375" style="10" bestFit="1" customWidth="1"/>
    <col min="830" max="830" width="14.77734375" style="10" bestFit="1" customWidth="1"/>
    <col min="831" max="831" width="20.88671875" style="10" customWidth="1"/>
    <col min="832" max="1020" width="8.77734375" style="10"/>
    <col min="1021" max="1021" width="4.6640625" style="10" customWidth="1"/>
    <col min="1022" max="1022" width="58.33203125" style="10" customWidth="1"/>
    <col min="1023" max="1023" width="12.6640625" style="10" customWidth="1"/>
    <col min="1024" max="1027" width="12.6640625" style="10" bestFit="1" customWidth="1"/>
    <col min="1028" max="1028" width="11.6640625" style="10" bestFit="1" customWidth="1"/>
    <col min="1029" max="1031" width="12.6640625" style="10" bestFit="1" customWidth="1"/>
    <col min="1032" max="1032" width="12.5546875" style="10" customWidth="1"/>
    <col min="1033" max="1035" width="12.6640625" style="10" bestFit="1" customWidth="1"/>
    <col min="1036" max="1036" width="14.44140625" style="10" bestFit="1" customWidth="1"/>
    <col min="1037" max="1048" width="12.6640625" style="10" bestFit="1" customWidth="1"/>
    <col min="1049" max="1049" width="11.6640625" style="10" bestFit="1" customWidth="1"/>
    <col min="1050" max="1051" width="12.6640625" style="10" bestFit="1" customWidth="1"/>
    <col min="1052" max="1053" width="11.6640625" style="10" bestFit="1" customWidth="1"/>
    <col min="1054" max="1054" width="14.44140625" style="10" bestFit="1" customWidth="1"/>
    <col min="1055" max="1055" width="12.6640625" style="10" bestFit="1" customWidth="1"/>
    <col min="1056" max="1056" width="14.44140625" style="10" bestFit="1" customWidth="1"/>
    <col min="1057" max="1057" width="11.6640625" style="10" bestFit="1" customWidth="1"/>
    <col min="1058" max="1059" width="12.6640625" style="10" bestFit="1" customWidth="1"/>
    <col min="1060" max="1060" width="11.6640625" style="10" bestFit="1" customWidth="1"/>
    <col min="1061" max="1067" width="12.6640625" style="10" bestFit="1" customWidth="1"/>
    <col min="1068" max="1069" width="11.6640625" style="10" bestFit="1" customWidth="1"/>
    <col min="1070" max="1074" width="12.6640625" style="10" bestFit="1" customWidth="1"/>
    <col min="1075" max="1075" width="12.5546875" style="10" customWidth="1"/>
    <col min="1076" max="1076" width="15.44140625" style="10" customWidth="1"/>
    <col min="1077" max="1077" width="13.88671875" style="10" bestFit="1" customWidth="1"/>
    <col min="1078" max="1078" width="12.109375" style="10" bestFit="1" customWidth="1"/>
    <col min="1079" max="1080" width="13.88671875" style="10" bestFit="1" customWidth="1"/>
    <col min="1081" max="1081" width="12.5546875" style="10" bestFit="1" customWidth="1"/>
    <col min="1082" max="1082" width="13.88671875" style="10" bestFit="1" customWidth="1"/>
    <col min="1083" max="1083" width="16.109375" style="10" customWidth="1"/>
    <col min="1084" max="1084" width="13.88671875" style="10" bestFit="1" customWidth="1"/>
    <col min="1085" max="1085" width="19.109375" style="10" bestFit="1" customWidth="1"/>
    <col min="1086" max="1086" width="14.77734375" style="10" bestFit="1" customWidth="1"/>
    <col min="1087" max="1087" width="20.88671875" style="10" customWidth="1"/>
    <col min="1088" max="1276" width="8.77734375" style="10"/>
    <col min="1277" max="1277" width="4.6640625" style="10" customWidth="1"/>
    <col min="1278" max="1278" width="58.33203125" style="10" customWidth="1"/>
    <col min="1279" max="1279" width="12.6640625" style="10" customWidth="1"/>
    <col min="1280" max="1283" width="12.6640625" style="10" bestFit="1" customWidth="1"/>
    <col min="1284" max="1284" width="11.6640625" style="10" bestFit="1" customWidth="1"/>
    <col min="1285" max="1287" width="12.6640625" style="10" bestFit="1" customWidth="1"/>
    <col min="1288" max="1288" width="12.5546875" style="10" customWidth="1"/>
    <col min="1289" max="1291" width="12.6640625" style="10" bestFit="1" customWidth="1"/>
    <col min="1292" max="1292" width="14.44140625" style="10" bestFit="1" customWidth="1"/>
    <col min="1293" max="1304" width="12.6640625" style="10" bestFit="1" customWidth="1"/>
    <col min="1305" max="1305" width="11.6640625" style="10" bestFit="1" customWidth="1"/>
    <col min="1306" max="1307" width="12.6640625" style="10" bestFit="1" customWidth="1"/>
    <col min="1308" max="1309" width="11.6640625" style="10" bestFit="1" customWidth="1"/>
    <col min="1310" max="1310" width="14.44140625" style="10" bestFit="1" customWidth="1"/>
    <col min="1311" max="1311" width="12.6640625" style="10" bestFit="1" customWidth="1"/>
    <col min="1312" max="1312" width="14.44140625" style="10" bestFit="1" customWidth="1"/>
    <col min="1313" max="1313" width="11.6640625" style="10" bestFit="1" customWidth="1"/>
    <col min="1314" max="1315" width="12.6640625" style="10" bestFit="1" customWidth="1"/>
    <col min="1316" max="1316" width="11.6640625" style="10" bestFit="1" customWidth="1"/>
    <col min="1317" max="1323" width="12.6640625" style="10" bestFit="1" customWidth="1"/>
    <col min="1324" max="1325" width="11.6640625" style="10" bestFit="1" customWidth="1"/>
    <col min="1326" max="1330" width="12.6640625" style="10" bestFit="1" customWidth="1"/>
    <col min="1331" max="1331" width="12.5546875" style="10" customWidth="1"/>
    <col min="1332" max="1332" width="15.44140625" style="10" customWidth="1"/>
    <col min="1333" max="1333" width="13.88671875" style="10" bestFit="1" customWidth="1"/>
    <col min="1334" max="1334" width="12.109375" style="10" bestFit="1" customWidth="1"/>
    <col min="1335" max="1336" width="13.88671875" style="10" bestFit="1" customWidth="1"/>
    <col min="1337" max="1337" width="12.5546875" style="10" bestFit="1" customWidth="1"/>
    <col min="1338" max="1338" width="13.88671875" style="10" bestFit="1" customWidth="1"/>
    <col min="1339" max="1339" width="16.109375" style="10" customWidth="1"/>
    <col min="1340" max="1340" width="13.88671875" style="10" bestFit="1" customWidth="1"/>
    <col min="1341" max="1341" width="19.109375" style="10" bestFit="1" customWidth="1"/>
    <col min="1342" max="1342" width="14.77734375" style="10" bestFit="1" customWidth="1"/>
    <col min="1343" max="1343" width="20.88671875" style="10" customWidth="1"/>
    <col min="1344" max="1532" width="8.77734375" style="10"/>
    <col min="1533" max="1533" width="4.6640625" style="10" customWidth="1"/>
    <col min="1534" max="1534" width="58.33203125" style="10" customWidth="1"/>
    <col min="1535" max="1535" width="12.6640625" style="10" customWidth="1"/>
    <col min="1536" max="1539" width="12.6640625" style="10" bestFit="1" customWidth="1"/>
    <col min="1540" max="1540" width="11.6640625" style="10" bestFit="1" customWidth="1"/>
    <col min="1541" max="1543" width="12.6640625" style="10" bestFit="1" customWidth="1"/>
    <col min="1544" max="1544" width="12.5546875" style="10" customWidth="1"/>
    <col min="1545" max="1547" width="12.6640625" style="10" bestFit="1" customWidth="1"/>
    <col min="1548" max="1548" width="14.44140625" style="10" bestFit="1" customWidth="1"/>
    <col min="1549" max="1560" width="12.6640625" style="10" bestFit="1" customWidth="1"/>
    <col min="1561" max="1561" width="11.6640625" style="10" bestFit="1" customWidth="1"/>
    <col min="1562" max="1563" width="12.6640625" style="10" bestFit="1" customWidth="1"/>
    <col min="1564" max="1565" width="11.6640625" style="10" bestFit="1" customWidth="1"/>
    <col min="1566" max="1566" width="14.44140625" style="10" bestFit="1" customWidth="1"/>
    <col min="1567" max="1567" width="12.6640625" style="10" bestFit="1" customWidth="1"/>
    <col min="1568" max="1568" width="14.44140625" style="10" bestFit="1" customWidth="1"/>
    <col min="1569" max="1569" width="11.6640625" style="10" bestFit="1" customWidth="1"/>
    <col min="1570" max="1571" width="12.6640625" style="10" bestFit="1" customWidth="1"/>
    <col min="1572" max="1572" width="11.6640625" style="10" bestFit="1" customWidth="1"/>
    <col min="1573" max="1579" width="12.6640625" style="10" bestFit="1" customWidth="1"/>
    <col min="1580" max="1581" width="11.6640625" style="10" bestFit="1" customWidth="1"/>
    <col min="1582" max="1586" width="12.6640625" style="10" bestFit="1" customWidth="1"/>
    <col min="1587" max="1587" width="12.5546875" style="10" customWidth="1"/>
    <col min="1588" max="1588" width="15.44140625" style="10" customWidth="1"/>
    <col min="1589" max="1589" width="13.88671875" style="10" bestFit="1" customWidth="1"/>
    <col min="1590" max="1590" width="12.109375" style="10" bestFit="1" customWidth="1"/>
    <col min="1591" max="1592" width="13.88671875" style="10" bestFit="1" customWidth="1"/>
    <col min="1593" max="1593" width="12.5546875" style="10" bestFit="1" customWidth="1"/>
    <col min="1594" max="1594" width="13.88671875" style="10" bestFit="1" customWidth="1"/>
    <col min="1595" max="1595" width="16.109375" style="10" customWidth="1"/>
    <col min="1596" max="1596" width="13.88671875" style="10" bestFit="1" customWidth="1"/>
    <col min="1597" max="1597" width="19.109375" style="10" bestFit="1" customWidth="1"/>
    <col min="1598" max="1598" width="14.77734375" style="10" bestFit="1" customWidth="1"/>
    <col min="1599" max="1599" width="20.88671875" style="10" customWidth="1"/>
    <col min="1600" max="1788" width="8.77734375" style="10"/>
    <col min="1789" max="1789" width="4.6640625" style="10" customWidth="1"/>
    <col min="1790" max="1790" width="58.33203125" style="10" customWidth="1"/>
    <col min="1791" max="1791" width="12.6640625" style="10" customWidth="1"/>
    <col min="1792" max="1795" width="12.6640625" style="10" bestFit="1" customWidth="1"/>
    <col min="1796" max="1796" width="11.6640625" style="10" bestFit="1" customWidth="1"/>
    <col min="1797" max="1799" width="12.6640625" style="10" bestFit="1" customWidth="1"/>
    <col min="1800" max="1800" width="12.5546875" style="10" customWidth="1"/>
    <col min="1801" max="1803" width="12.6640625" style="10" bestFit="1" customWidth="1"/>
    <col min="1804" max="1804" width="14.44140625" style="10" bestFit="1" customWidth="1"/>
    <col min="1805" max="1816" width="12.6640625" style="10" bestFit="1" customWidth="1"/>
    <col min="1817" max="1817" width="11.6640625" style="10" bestFit="1" customWidth="1"/>
    <col min="1818" max="1819" width="12.6640625" style="10" bestFit="1" customWidth="1"/>
    <col min="1820" max="1821" width="11.6640625" style="10" bestFit="1" customWidth="1"/>
    <col min="1822" max="1822" width="14.44140625" style="10" bestFit="1" customWidth="1"/>
    <col min="1823" max="1823" width="12.6640625" style="10" bestFit="1" customWidth="1"/>
    <col min="1824" max="1824" width="14.44140625" style="10" bestFit="1" customWidth="1"/>
    <col min="1825" max="1825" width="11.6640625" style="10" bestFit="1" customWidth="1"/>
    <col min="1826" max="1827" width="12.6640625" style="10" bestFit="1" customWidth="1"/>
    <col min="1828" max="1828" width="11.6640625" style="10" bestFit="1" customWidth="1"/>
    <col min="1829" max="1835" width="12.6640625" style="10" bestFit="1" customWidth="1"/>
    <col min="1836" max="1837" width="11.6640625" style="10" bestFit="1" customWidth="1"/>
    <col min="1838" max="1842" width="12.6640625" style="10" bestFit="1" customWidth="1"/>
    <col min="1843" max="1843" width="12.5546875" style="10" customWidth="1"/>
    <col min="1844" max="1844" width="15.44140625" style="10" customWidth="1"/>
    <col min="1845" max="1845" width="13.88671875" style="10" bestFit="1" customWidth="1"/>
    <col min="1846" max="1846" width="12.109375" style="10" bestFit="1" customWidth="1"/>
    <col min="1847" max="1848" width="13.88671875" style="10" bestFit="1" customWidth="1"/>
    <col min="1849" max="1849" width="12.5546875" style="10" bestFit="1" customWidth="1"/>
    <col min="1850" max="1850" width="13.88671875" style="10" bestFit="1" customWidth="1"/>
    <col min="1851" max="1851" width="16.109375" style="10" customWidth="1"/>
    <col min="1852" max="1852" width="13.88671875" style="10" bestFit="1" customWidth="1"/>
    <col min="1853" max="1853" width="19.109375" style="10" bestFit="1" customWidth="1"/>
    <col min="1854" max="1854" width="14.77734375" style="10" bestFit="1" customWidth="1"/>
    <col min="1855" max="1855" width="20.88671875" style="10" customWidth="1"/>
    <col min="1856" max="2044" width="8.77734375" style="10"/>
    <col min="2045" max="2045" width="4.6640625" style="10" customWidth="1"/>
    <col min="2046" max="2046" width="58.33203125" style="10" customWidth="1"/>
    <col min="2047" max="2047" width="12.6640625" style="10" customWidth="1"/>
    <col min="2048" max="2051" width="12.6640625" style="10" bestFit="1" customWidth="1"/>
    <col min="2052" max="2052" width="11.6640625" style="10" bestFit="1" customWidth="1"/>
    <col min="2053" max="2055" width="12.6640625" style="10" bestFit="1" customWidth="1"/>
    <col min="2056" max="2056" width="12.5546875" style="10" customWidth="1"/>
    <col min="2057" max="2059" width="12.6640625" style="10" bestFit="1" customWidth="1"/>
    <col min="2060" max="2060" width="14.44140625" style="10" bestFit="1" customWidth="1"/>
    <col min="2061" max="2072" width="12.6640625" style="10" bestFit="1" customWidth="1"/>
    <col min="2073" max="2073" width="11.6640625" style="10" bestFit="1" customWidth="1"/>
    <col min="2074" max="2075" width="12.6640625" style="10" bestFit="1" customWidth="1"/>
    <col min="2076" max="2077" width="11.6640625" style="10" bestFit="1" customWidth="1"/>
    <col min="2078" max="2078" width="14.44140625" style="10" bestFit="1" customWidth="1"/>
    <col min="2079" max="2079" width="12.6640625" style="10" bestFit="1" customWidth="1"/>
    <col min="2080" max="2080" width="14.44140625" style="10" bestFit="1" customWidth="1"/>
    <col min="2081" max="2081" width="11.6640625" style="10" bestFit="1" customWidth="1"/>
    <col min="2082" max="2083" width="12.6640625" style="10" bestFit="1" customWidth="1"/>
    <col min="2084" max="2084" width="11.6640625" style="10" bestFit="1" customWidth="1"/>
    <col min="2085" max="2091" width="12.6640625" style="10" bestFit="1" customWidth="1"/>
    <col min="2092" max="2093" width="11.6640625" style="10" bestFit="1" customWidth="1"/>
    <col min="2094" max="2098" width="12.6640625" style="10" bestFit="1" customWidth="1"/>
    <col min="2099" max="2099" width="12.5546875" style="10" customWidth="1"/>
    <col min="2100" max="2100" width="15.44140625" style="10" customWidth="1"/>
    <col min="2101" max="2101" width="13.88671875" style="10" bestFit="1" customWidth="1"/>
    <col min="2102" max="2102" width="12.109375" style="10" bestFit="1" customWidth="1"/>
    <col min="2103" max="2104" width="13.88671875" style="10" bestFit="1" customWidth="1"/>
    <col min="2105" max="2105" width="12.5546875" style="10" bestFit="1" customWidth="1"/>
    <col min="2106" max="2106" width="13.88671875" style="10" bestFit="1" customWidth="1"/>
    <col min="2107" max="2107" width="16.109375" style="10" customWidth="1"/>
    <col min="2108" max="2108" width="13.88671875" style="10" bestFit="1" customWidth="1"/>
    <col min="2109" max="2109" width="19.109375" style="10" bestFit="1" customWidth="1"/>
    <col min="2110" max="2110" width="14.77734375" style="10" bestFit="1" customWidth="1"/>
    <col min="2111" max="2111" width="20.88671875" style="10" customWidth="1"/>
    <col min="2112" max="2300" width="8.77734375" style="10"/>
    <col min="2301" max="2301" width="4.6640625" style="10" customWidth="1"/>
    <col min="2302" max="2302" width="58.33203125" style="10" customWidth="1"/>
    <col min="2303" max="2303" width="12.6640625" style="10" customWidth="1"/>
    <col min="2304" max="2307" width="12.6640625" style="10" bestFit="1" customWidth="1"/>
    <col min="2308" max="2308" width="11.6640625" style="10" bestFit="1" customWidth="1"/>
    <col min="2309" max="2311" width="12.6640625" style="10" bestFit="1" customWidth="1"/>
    <col min="2312" max="2312" width="12.5546875" style="10" customWidth="1"/>
    <col min="2313" max="2315" width="12.6640625" style="10" bestFit="1" customWidth="1"/>
    <col min="2316" max="2316" width="14.44140625" style="10" bestFit="1" customWidth="1"/>
    <col min="2317" max="2328" width="12.6640625" style="10" bestFit="1" customWidth="1"/>
    <col min="2329" max="2329" width="11.6640625" style="10" bestFit="1" customWidth="1"/>
    <col min="2330" max="2331" width="12.6640625" style="10" bestFit="1" customWidth="1"/>
    <col min="2332" max="2333" width="11.6640625" style="10" bestFit="1" customWidth="1"/>
    <col min="2334" max="2334" width="14.44140625" style="10" bestFit="1" customWidth="1"/>
    <col min="2335" max="2335" width="12.6640625" style="10" bestFit="1" customWidth="1"/>
    <col min="2336" max="2336" width="14.44140625" style="10" bestFit="1" customWidth="1"/>
    <col min="2337" max="2337" width="11.6640625" style="10" bestFit="1" customWidth="1"/>
    <col min="2338" max="2339" width="12.6640625" style="10" bestFit="1" customWidth="1"/>
    <col min="2340" max="2340" width="11.6640625" style="10" bestFit="1" customWidth="1"/>
    <col min="2341" max="2347" width="12.6640625" style="10" bestFit="1" customWidth="1"/>
    <col min="2348" max="2349" width="11.6640625" style="10" bestFit="1" customWidth="1"/>
    <col min="2350" max="2354" width="12.6640625" style="10" bestFit="1" customWidth="1"/>
    <col min="2355" max="2355" width="12.5546875" style="10" customWidth="1"/>
    <col min="2356" max="2356" width="15.44140625" style="10" customWidth="1"/>
    <col min="2357" max="2357" width="13.88671875" style="10" bestFit="1" customWidth="1"/>
    <col min="2358" max="2358" width="12.109375" style="10" bestFit="1" customWidth="1"/>
    <col min="2359" max="2360" width="13.88671875" style="10" bestFit="1" customWidth="1"/>
    <col min="2361" max="2361" width="12.5546875" style="10" bestFit="1" customWidth="1"/>
    <col min="2362" max="2362" width="13.88671875" style="10" bestFit="1" customWidth="1"/>
    <col min="2363" max="2363" width="16.109375" style="10" customWidth="1"/>
    <col min="2364" max="2364" width="13.88671875" style="10" bestFit="1" customWidth="1"/>
    <col min="2365" max="2365" width="19.109375" style="10" bestFit="1" customWidth="1"/>
    <col min="2366" max="2366" width="14.77734375" style="10" bestFit="1" customWidth="1"/>
    <col min="2367" max="2367" width="20.88671875" style="10" customWidth="1"/>
    <col min="2368" max="2556" width="8.77734375" style="10"/>
    <col min="2557" max="2557" width="4.6640625" style="10" customWidth="1"/>
    <col min="2558" max="2558" width="58.33203125" style="10" customWidth="1"/>
    <col min="2559" max="2559" width="12.6640625" style="10" customWidth="1"/>
    <col min="2560" max="2563" width="12.6640625" style="10" bestFit="1" customWidth="1"/>
    <col min="2564" max="2564" width="11.6640625" style="10" bestFit="1" customWidth="1"/>
    <col min="2565" max="2567" width="12.6640625" style="10" bestFit="1" customWidth="1"/>
    <col min="2568" max="2568" width="12.5546875" style="10" customWidth="1"/>
    <col min="2569" max="2571" width="12.6640625" style="10" bestFit="1" customWidth="1"/>
    <col min="2572" max="2572" width="14.44140625" style="10" bestFit="1" customWidth="1"/>
    <col min="2573" max="2584" width="12.6640625" style="10" bestFit="1" customWidth="1"/>
    <col min="2585" max="2585" width="11.6640625" style="10" bestFit="1" customWidth="1"/>
    <col min="2586" max="2587" width="12.6640625" style="10" bestFit="1" customWidth="1"/>
    <col min="2588" max="2589" width="11.6640625" style="10" bestFit="1" customWidth="1"/>
    <col min="2590" max="2590" width="14.44140625" style="10" bestFit="1" customWidth="1"/>
    <col min="2591" max="2591" width="12.6640625" style="10" bestFit="1" customWidth="1"/>
    <col min="2592" max="2592" width="14.44140625" style="10" bestFit="1" customWidth="1"/>
    <col min="2593" max="2593" width="11.6640625" style="10" bestFit="1" customWidth="1"/>
    <col min="2594" max="2595" width="12.6640625" style="10" bestFit="1" customWidth="1"/>
    <col min="2596" max="2596" width="11.6640625" style="10" bestFit="1" customWidth="1"/>
    <col min="2597" max="2603" width="12.6640625" style="10" bestFit="1" customWidth="1"/>
    <col min="2604" max="2605" width="11.6640625" style="10" bestFit="1" customWidth="1"/>
    <col min="2606" max="2610" width="12.6640625" style="10" bestFit="1" customWidth="1"/>
    <col min="2611" max="2611" width="12.5546875" style="10" customWidth="1"/>
    <col min="2612" max="2612" width="15.44140625" style="10" customWidth="1"/>
    <col min="2613" max="2613" width="13.88671875" style="10" bestFit="1" customWidth="1"/>
    <col min="2614" max="2614" width="12.109375" style="10" bestFit="1" customWidth="1"/>
    <col min="2615" max="2616" width="13.88671875" style="10" bestFit="1" customWidth="1"/>
    <col min="2617" max="2617" width="12.5546875" style="10" bestFit="1" customWidth="1"/>
    <col min="2618" max="2618" width="13.88671875" style="10" bestFit="1" customWidth="1"/>
    <col min="2619" max="2619" width="16.109375" style="10" customWidth="1"/>
    <col min="2620" max="2620" width="13.88671875" style="10" bestFit="1" customWidth="1"/>
    <col min="2621" max="2621" width="19.109375" style="10" bestFit="1" customWidth="1"/>
    <col min="2622" max="2622" width="14.77734375" style="10" bestFit="1" customWidth="1"/>
    <col min="2623" max="2623" width="20.88671875" style="10" customWidth="1"/>
    <col min="2624" max="2812" width="8.77734375" style="10"/>
    <col min="2813" max="2813" width="4.6640625" style="10" customWidth="1"/>
    <col min="2814" max="2814" width="58.33203125" style="10" customWidth="1"/>
    <col min="2815" max="2815" width="12.6640625" style="10" customWidth="1"/>
    <col min="2816" max="2819" width="12.6640625" style="10" bestFit="1" customWidth="1"/>
    <col min="2820" max="2820" width="11.6640625" style="10" bestFit="1" customWidth="1"/>
    <col min="2821" max="2823" width="12.6640625" style="10" bestFit="1" customWidth="1"/>
    <col min="2824" max="2824" width="12.5546875" style="10" customWidth="1"/>
    <col min="2825" max="2827" width="12.6640625" style="10" bestFit="1" customWidth="1"/>
    <col min="2828" max="2828" width="14.44140625" style="10" bestFit="1" customWidth="1"/>
    <col min="2829" max="2840" width="12.6640625" style="10" bestFit="1" customWidth="1"/>
    <col min="2841" max="2841" width="11.6640625" style="10" bestFit="1" customWidth="1"/>
    <col min="2842" max="2843" width="12.6640625" style="10" bestFit="1" customWidth="1"/>
    <col min="2844" max="2845" width="11.6640625" style="10" bestFit="1" customWidth="1"/>
    <col min="2846" max="2846" width="14.44140625" style="10" bestFit="1" customWidth="1"/>
    <col min="2847" max="2847" width="12.6640625" style="10" bestFit="1" customWidth="1"/>
    <col min="2848" max="2848" width="14.44140625" style="10" bestFit="1" customWidth="1"/>
    <col min="2849" max="2849" width="11.6640625" style="10" bestFit="1" customWidth="1"/>
    <col min="2850" max="2851" width="12.6640625" style="10" bestFit="1" customWidth="1"/>
    <col min="2852" max="2852" width="11.6640625" style="10" bestFit="1" customWidth="1"/>
    <col min="2853" max="2859" width="12.6640625" style="10" bestFit="1" customWidth="1"/>
    <col min="2860" max="2861" width="11.6640625" style="10" bestFit="1" customWidth="1"/>
    <col min="2862" max="2866" width="12.6640625" style="10" bestFit="1" customWidth="1"/>
    <col min="2867" max="2867" width="12.5546875" style="10" customWidth="1"/>
    <col min="2868" max="2868" width="15.44140625" style="10" customWidth="1"/>
    <col min="2869" max="2869" width="13.88671875" style="10" bestFit="1" customWidth="1"/>
    <col min="2870" max="2870" width="12.109375" style="10" bestFit="1" customWidth="1"/>
    <col min="2871" max="2872" width="13.88671875" style="10" bestFit="1" customWidth="1"/>
    <col min="2873" max="2873" width="12.5546875" style="10" bestFit="1" customWidth="1"/>
    <col min="2874" max="2874" width="13.88671875" style="10" bestFit="1" customWidth="1"/>
    <col min="2875" max="2875" width="16.109375" style="10" customWidth="1"/>
    <col min="2876" max="2876" width="13.88671875" style="10" bestFit="1" customWidth="1"/>
    <col min="2877" max="2877" width="19.109375" style="10" bestFit="1" customWidth="1"/>
    <col min="2878" max="2878" width="14.77734375" style="10" bestFit="1" customWidth="1"/>
    <col min="2879" max="2879" width="20.88671875" style="10" customWidth="1"/>
    <col min="2880" max="3068" width="8.77734375" style="10"/>
    <col min="3069" max="3069" width="4.6640625" style="10" customWidth="1"/>
    <col min="3070" max="3070" width="58.33203125" style="10" customWidth="1"/>
    <col min="3071" max="3071" width="12.6640625" style="10" customWidth="1"/>
    <col min="3072" max="3075" width="12.6640625" style="10" bestFit="1" customWidth="1"/>
    <col min="3076" max="3076" width="11.6640625" style="10" bestFit="1" customWidth="1"/>
    <col min="3077" max="3079" width="12.6640625" style="10" bestFit="1" customWidth="1"/>
    <col min="3080" max="3080" width="12.5546875" style="10" customWidth="1"/>
    <col min="3081" max="3083" width="12.6640625" style="10" bestFit="1" customWidth="1"/>
    <col min="3084" max="3084" width="14.44140625" style="10" bestFit="1" customWidth="1"/>
    <col min="3085" max="3096" width="12.6640625" style="10" bestFit="1" customWidth="1"/>
    <col min="3097" max="3097" width="11.6640625" style="10" bestFit="1" customWidth="1"/>
    <col min="3098" max="3099" width="12.6640625" style="10" bestFit="1" customWidth="1"/>
    <col min="3100" max="3101" width="11.6640625" style="10" bestFit="1" customWidth="1"/>
    <col min="3102" max="3102" width="14.44140625" style="10" bestFit="1" customWidth="1"/>
    <col min="3103" max="3103" width="12.6640625" style="10" bestFit="1" customWidth="1"/>
    <col min="3104" max="3104" width="14.44140625" style="10" bestFit="1" customWidth="1"/>
    <col min="3105" max="3105" width="11.6640625" style="10" bestFit="1" customWidth="1"/>
    <col min="3106" max="3107" width="12.6640625" style="10" bestFit="1" customWidth="1"/>
    <col min="3108" max="3108" width="11.6640625" style="10" bestFit="1" customWidth="1"/>
    <col min="3109" max="3115" width="12.6640625" style="10" bestFit="1" customWidth="1"/>
    <col min="3116" max="3117" width="11.6640625" style="10" bestFit="1" customWidth="1"/>
    <col min="3118" max="3122" width="12.6640625" style="10" bestFit="1" customWidth="1"/>
    <col min="3123" max="3123" width="12.5546875" style="10" customWidth="1"/>
    <col min="3124" max="3124" width="15.44140625" style="10" customWidth="1"/>
    <col min="3125" max="3125" width="13.88671875" style="10" bestFit="1" customWidth="1"/>
    <col min="3126" max="3126" width="12.109375" style="10" bestFit="1" customWidth="1"/>
    <col min="3127" max="3128" width="13.88671875" style="10" bestFit="1" customWidth="1"/>
    <col min="3129" max="3129" width="12.5546875" style="10" bestFit="1" customWidth="1"/>
    <col min="3130" max="3130" width="13.88671875" style="10" bestFit="1" customWidth="1"/>
    <col min="3131" max="3131" width="16.109375" style="10" customWidth="1"/>
    <col min="3132" max="3132" width="13.88671875" style="10" bestFit="1" customWidth="1"/>
    <col min="3133" max="3133" width="19.109375" style="10" bestFit="1" customWidth="1"/>
    <col min="3134" max="3134" width="14.77734375" style="10" bestFit="1" customWidth="1"/>
    <col min="3135" max="3135" width="20.88671875" style="10" customWidth="1"/>
    <col min="3136" max="3324" width="8.77734375" style="10"/>
    <col min="3325" max="3325" width="4.6640625" style="10" customWidth="1"/>
    <col min="3326" max="3326" width="58.33203125" style="10" customWidth="1"/>
    <col min="3327" max="3327" width="12.6640625" style="10" customWidth="1"/>
    <col min="3328" max="3331" width="12.6640625" style="10" bestFit="1" customWidth="1"/>
    <col min="3332" max="3332" width="11.6640625" style="10" bestFit="1" customWidth="1"/>
    <col min="3333" max="3335" width="12.6640625" style="10" bestFit="1" customWidth="1"/>
    <col min="3336" max="3336" width="12.5546875" style="10" customWidth="1"/>
    <col min="3337" max="3339" width="12.6640625" style="10" bestFit="1" customWidth="1"/>
    <col min="3340" max="3340" width="14.44140625" style="10" bestFit="1" customWidth="1"/>
    <col min="3341" max="3352" width="12.6640625" style="10" bestFit="1" customWidth="1"/>
    <col min="3353" max="3353" width="11.6640625" style="10" bestFit="1" customWidth="1"/>
    <col min="3354" max="3355" width="12.6640625" style="10" bestFit="1" customWidth="1"/>
    <col min="3356" max="3357" width="11.6640625" style="10" bestFit="1" customWidth="1"/>
    <col min="3358" max="3358" width="14.44140625" style="10" bestFit="1" customWidth="1"/>
    <col min="3359" max="3359" width="12.6640625" style="10" bestFit="1" customWidth="1"/>
    <col min="3360" max="3360" width="14.44140625" style="10" bestFit="1" customWidth="1"/>
    <col min="3361" max="3361" width="11.6640625" style="10" bestFit="1" customWidth="1"/>
    <col min="3362" max="3363" width="12.6640625" style="10" bestFit="1" customWidth="1"/>
    <col min="3364" max="3364" width="11.6640625" style="10" bestFit="1" customWidth="1"/>
    <col min="3365" max="3371" width="12.6640625" style="10" bestFit="1" customWidth="1"/>
    <col min="3372" max="3373" width="11.6640625" style="10" bestFit="1" customWidth="1"/>
    <col min="3374" max="3378" width="12.6640625" style="10" bestFit="1" customWidth="1"/>
    <col min="3379" max="3379" width="12.5546875" style="10" customWidth="1"/>
    <col min="3380" max="3380" width="15.44140625" style="10" customWidth="1"/>
    <col min="3381" max="3381" width="13.88671875" style="10" bestFit="1" customWidth="1"/>
    <col min="3382" max="3382" width="12.109375" style="10" bestFit="1" customWidth="1"/>
    <col min="3383" max="3384" width="13.88671875" style="10" bestFit="1" customWidth="1"/>
    <col min="3385" max="3385" width="12.5546875" style="10" bestFit="1" customWidth="1"/>
    <col min="3386" max="3386" width="13.88671875" style="10" bestFit="1" customWidth="1"/>
    <col min="3387" max="3387" width="16.109375" style="10" customWidth="1"/>
    <col min="3388" max="3388" width="13.88671875" style="10" bestFit="1" customWidth="1"/>
    <col min="3389" max="3389" width="19.109375" style="10" bestFit="1" customWidth="1"/>
    <col min="3390" max="3390" width="14.77734375" style="10" bestFit="1" customWidth="1"/>
    <col min="3391" max="3391" width="20.88671875" style="10" customWidth="1"/>
    <col min="3392" max="3580" width="8.77734375" style="10"/>
    <col min="3581" max="3581" width="4.6640625" style="10" customWidth="1"/>
    <col min="3582" max="3582" width="58.33203125" style="10" customWidth="1"/>
    <col min="3583" max="3583" width="12.6640625" style="10" customWidth="1"/>
    <col min="3584" max="3587" width="12.6640625" style="10" bestFit="1" customWidth="1"/>
    <col min="3588" max="3588" width="11.6640625" style="10" bestFit="1" customWidth="1"/>
    <col min="3589" max="3591" width="12.6640625" style="10" bestFit="1" customWidth="1"/>
    <col min="3592" max="3592" width="12.5546875" style="10" customWidth="1"/>
    <col min="3593" max="3595" width="12.6640625" style="10" bestFit="1" customWidth="1"/>
    <col min="3596" max="3596" width="14.44140625" style="10" bestFit="1" customWidth="1"/>
    <col min="3597" max="3608" width="12.6640625" style="10" bestFit="1" customWidth="1"/>
    <col min="3609" max="3609" width="11.6640625" style="10" bestFit="1" customWidth="1"/>
    <col min="3610" max="3611" width="12.6640625" style="10" bestFit="1" customWidth="1"/>
    <col min="3612" max="3613" width="11.6640625" style="10" bestFit="1" customWidth="1"/>
    <col min="3614" max="3614" width="14.44140625" style="10" bestFit="1" customWidth="1"/>
    <col min="3615" max="3615" width="12.6640625" style="10" bestFit="1" customWidth="1"/>
    <col min="3616" max="3616" width="14.44140625" style="10" bestFit="1" customWidth="1"/>
    <col min="3617" max="3617" width="11.6640625" style="10" bestFit="1" customWidth="1"/>
    <col min="3618" max="3619" width="12.6640625" style="10" bestFit="1" customWidth="1"/>
    <col min="3620" max="3620" width="11.6640625" style="10" bestFit="1" customWidth="1"/>
    <col min="3621" max="3627" width="12.6640625" style="10" bestFit="1" customWidth="1"/>
    <col min="3628" max="3629" width="11.6640625" style="10" bestFit="1" customWidth="1"/>
    <col min="3630" max="3634" width="12.6640625" style="10" bestFit="1" customWidth="1"/>
    <col min="3635" max="3635" width="12.5546875" style="10" customWidth="1"/>
    <col min="3636" max="3636" width="15.44140625" style="10" customWidth="1"/>
    <col min="3637" max="3637" width="13.88671875" style="10" bestFit="1" customWidth="1"/>
    <col min="3638" max="3638" width="12.109375" style="10" bestFit="1" customWidth="1"/>
    <col min="3639" max="3640" width="13.88671875" style="10" bestFit="1" customWidth="1"/>
    <col min="3641" max="3641" width="12.5546875" style="10" bestFit="1" customWidth="1"/>
    <col min="3642" max="3642" width="13.88671875" style="10" bestFit="1" customWidth="1"/>
    <col min="3643" max="3643" width="16.109375" style="10" customWidth="1"/>
    <col min="3644" max="3644" width="13.88671875" style="10" bestFit="1" customWidth="1"/>
    <col min="3645" max="3645" width="19.109375" style="10" bestFit="1" customWidth="1"/>
    <col min="3646" max="3646" width="14.77734375" style="10" bestFit="1" customWidth="1"/>
    <col min="3647" max="3647" width="20.88671875" style="10" customWidth="1"/>
    <col min="3648" max="3836" width="8.77734375" style="10"/>
    <col min="3837" max="3837" width="4.6640625" style="10" customWidth="1"/>
    <col min="3838" max="3838" width="58.33203125" style="10" customWidth="1"/>
    <col min="3839" max="3839" width="12.6640625" style="10" customWidth="1"/>
    <col min="3840" max="3843" width="12.6640625" style="10" bestFit="1" customWidth="1"/>
    <col min="3844" max="3844" width="11.6640625" style="10" bestFit="1" customWidth="1"/>
    <col min="3845" max="3847" width="12.6640625" style="10" bestFit="1" customWidth="1"/>
    <col min="3848" max="3848" width="12.5546875" style="10" customWidth="1"/>
    <col min="3849" max="3851" width="12.6640625" style="10" bestFit="1" customWidth="1"/>
    <col min="3852" max="3852" width="14.44140625" style="10" bestFit="1" customWidth="1"/>
    <col min="3853" max="3864" width="12.6640625" style="10" bestFit="1" customWidth="1"/>
    <col min="3865" max="3865" width="11.6640625" style="10" bestFit="1" customWidth="1"/>
    <col min="3866" max="3867" width="12.6640625" style="10" bestFit="1" customWidth="1"/>
    <col min="3868" max="3869" width="11.6640625" style="10" bestFit="1" customWidth="1"/>
    <col min="3870" max="3870" width="14.44140625" style="10" bestFit="1" customWidth="1"/>
    <col min="3871" max="3871" width="12.6640625" style="10" bestFit="1" customWidth="1"/>
    <col min="3872" max="3872" width="14.44140625" style="10" bestFit="1" customWidth="1"/>
    <col min="3873" max="3873" width="11.6640625" style="10" bestFit="1" customWidth="1"/>
    <col min="3874" max="3875" width="12.6640625" style="10" bestFit="1" customWidth="1"/>
    <col min="3876" max="3876" width="11.6640625" style="10" bestFit="1" customWidth="1"/>
    <col min="3877" max="3883" width="12.6640625" style="10" bestFit="1" customWidth="1"/>
    <col min="3884" max="3885" width="11.6640625" style="10" bestFit="1" customWidth="1"/>
    <col min="3886" max="3890" width="12.6640625" style="10" bestFit="1" customWidth="1"/>
    <col min="3891" max="3891" width="12.5546875" style="10" customWidth="1"/>
    <col min="3892" max="3892" width="15.44140625" style="10" customWidth="1"/>
    <col min="3893" max="3893" width="13.88671875" style="10" bestFit="1" customWidth="1"/>
    <col min="3894" max="3894" width="12.109375" style="10" bestFit="1" customWidth="1"/>
    <col min="3895" max="3896" width="13.88671875" style="10" bestFit="1" customWidth="1"/>
    <col min="3897" max="3897" width="12.5546875" style="10" bestFit="1" customWidth="1"/>
    <col min="3898" max="3898" width="13.88671875" style="10" bestFit="1" customWidth="1"/>
    <col min="3899" max="3899" width="16.109375" style="10" customWidth="1"/>
    <col min="3900" max="3900" width="13.88671875" style="10" bestFit="1" customWidth="1"/>
    <col min="3901" max="3901" width="19.109375" style="10" bestFit="1" customWidth="1"/>
    <col min="3902" max="3902" width="14.77734375" style="10" bestFit="1" customWidth="1"/>
    <col min="3903" max="3903" width="20.88671875" style="10" customWidth="1"/>
    <col min="3904" max="4092" width="8.77734375" style="10"/>
    <col min="4093" max="4093" width="4.6640625" style="10" customWidth="1"/>
    <col min="4094" max="4094" width="58.33203125" style="10" customWidth="1"/>
    <col min="4095" max="4095" width="12.6640625" style="10" customWidth="1"/>
    <col min="4096" max="4099" width="12.6640625" style="10" bestFit="1" customWidth="1"/>
    <col min="4100" max="4100" width="11.6640625" style="10" bestFit="1" customWidth="1"/>
    <col min="4101" max="4103" width="12.6640625" style="10" bestFit="1" customWidth="1"/>
    <col min="4104" max="4104" width="12.5546875" style="10" customWidth="1"/>
    <col min="4105" max="4107" width="12.6640625" style="10" bestFit="1" customWidth="1"/>
    <col min="4108" max="4108" width="14.44140625" style="10" bestFit="1" customWidth="1"/>
    <col min="4109" max="4120" width="12.6640625" style="10" bestFit="1" customWidth="1"/>
    <col min="4121" max="4121" width="11.6640625" style="10" bestFit="1" customWidth="1"/>
    <col min="4122" max="4123" width="12.6640625" style="10" bestFit="1" customWidth="1"/>
    <col min="4124" max="4125" width="11.6640625" style="10" bestFit="1" customWidth="1"/>
    <col min="4126" max="4126" width="14.44140625" style="10" bestFit="1" customWidth="1"/>
    <col min="4127" max="4127" width="12.6640625" style="10" bestFit="1" customWidth="1"/>
    <col min="4128" max="4128" width="14.44140625" style="10" bestFit="1" customWidth="1"/>
    <col min="4129" max="4129" width="11.6640625" style="10" bestFit="1" customWidth="1"/>
    <col min="4130" max="4131" width="12.6640625" style="10" bestFit="1" customWidth="1"/>
    <col min="4132" max="4132" width="11.6640625" style="10" bestFit="1" customWidth="1"/>
    <col min="4133" max="4139" width="12.6640625" style="10" bestFit="1" customWidth="1"/>
    <col min="4140" max="4141" width="11.6640625" style="10" bestFit="1" customWidth="1"/>
    <col min="4142" max="4146" width="12.6640625" style="10" bestFit="1" customWidth="1"/>
    <col min="4147" max="4147" width="12.5546875" style="10" customWidth="1"/>
    <col min="4148" max="4148" width="15.44140625" style="10" customWidth="1"/>
    <col min="4149" max="4149" width="13.88671875" style="10" bestFit="1" customWidth="1"/>
    <col min="4150" max="4150" width="12.109375" style="10" bestFit="1" customWidth="1"/>
    <col min="4151" max="4152" width="13.88671875" style="10" bestFit="1" customWidth="1"/>
    <col min="4153" max="4153" width="12.5546875" style="10" bestFit="1" customWidth="1"/>
    <col min="4154" max="4154" width="13.88671875" style="10" bestFit="1" customWidth="1"/>
    <col min="4155" max="4155" width="16.109375" style="10" customWidth="1"/>
    <col min="4156" max="4156" width="13.88671875" style="10" bestFit="1" customWidth="1"/>
    <col min="4157" max="4157" width="19.109375" style="10" bestFit="1" customWidth="1"/>
    <col min="4158" max="4158" width="14.77734375" style="10" bestFit="1" customWidth="1"/>
    <col min="4159" max="4159" width="20.88671875" style="10" customWidth="1"/>
    <col min="4160" max="4348" width="8.77734375" style="10"/>
    <col min="4349" max="4349" width="4.6640625" style="10" customWidth="1"/>
    <col min="4350" max="4350" width="58.33203125" style="10" customWidth="1"/>
    <col min="4351" max="4351" width="12.6640625" style="10" customWidth="1"/>
    <col min="4352" max="4355" width="12.6640625" style="10" bestFit="1" customWidth="1"/>
    <col min="4356" max="4356" width="11.6640625" style="10" bestFit="1" customWidth="1"/>
    <col min="4357" max="4359" width="12.6640625" style="10" bestFit="1" customWidth="1"/>
    <col min="4360" max="4360" width="12.5546875" style="10" customWidth="1"/>
    <col min="4361" max="4363" width="12.6640625" style="10" bestFit="1" customWidth="1"/>
    <col min="4364" max="4364" width="14.44140625" style="10" bestFit="1" customWidth="1"/>
    <col min="4365" max="4376" width="12.6640625" style="10" bestFit="1" customWidth="1"/>
    <col min="4377" max="4377" width="11.6640625" style="10" bestFit="1" customWidth="1"/>
    <col min="4378" max="4379" width="12.6640625" style="10" bestFit="1" customWidth="1"/>
    <col min="4380" max="4381" width="11.6640625" style="10" bestFit="1" customWidth="1"/>
    <col min="4382" max="4382" width="14.44140625" style="10" bestFit="1" customWidth="1"/>
    <col min="4383" max="4383" width="12.6640625" style="10" bestFit="1" customWidth="1"/>
    <col min="4384" max="4384" width="14.44140625" style="10" bestFit="1" customWidth="1"/>
    <col min="4385" max="4385" width="11.6640625" style="10" bestFit="1" customWidth="1"/>
    <col min="4386" max="4387" width="12.6640625" style="10" bestFit="1" customWidth="1"/>
    <col min="4388" max="4388" width="11.6640625" style="10" bestFit="1" customWidth="1"/>
    <col min="4389" max="4395" width="12.6640625" style="10" bestFit="1" customWidth="1"/>
    <col min="4396" max="4397" width="11.6640625" style="10" bestFit="1" customWidth="1"/>
    <col min="4398" max="4402" width="12.6640625" style="10" bestFit="1" customWidth="1"/>
    <col min="4403" max="4403" width="12.5546875" style="10" customWidth="1"/>
    <col min="4404" max="4404" width="15.44140625" style="10" customWidth="1"/>
    <col min="4405" max="4405" width="13.88671875" style="10" bestFit="1" customWidth="1"/>
    <col min="4406" max="4406" width="12.109375" style="10" bestFit="1" customWidth="1"/>
    <col min="4407" max="4408" width="13.88671875" style="10" bestFit="1" customWidth="1"/>
    <col min="4409" max="4409" width="12.5546875" style="10" bestFit="1" customWidth="1"/>
    <col min="4410" max="4410" width="13.88671875" style="10" bestFit="1" customWidth="1"/>
    <col min="4411" max="4411" width="16.109375" style="10" customWidth="1"/>
    <col min="4412" max="4412" width="13.88671875" style="10" bestFit="1" customWidth="1"/>
    <col min="4413" max="4413" width="19.109375" style="10" bestFit="1" customWidth="1"/>
    <col min="4414" max="4414" width="14.77734375" style="10" bestFit="1" customWidth="1"/>
    <col min="4415" max="4415" width="20.88671875" style="10" customWidth="1"/>
    <col min="4416" max="4604" width="8.77734375" style="10"/>
    <col min="4605" max="4605" width="4.6640625" style="10" customWidth="1"/>
    <col min="4606" max="4606" width="58.33203125" style="10" customWidth="1"/>
    <col min="4607" max="4607" width="12.6640625" style="10" customWidth="1"/>
    <col min="4608" max="4611" width="12.6640625" style="10" bestFit="1" customWidth="1"/>
    <col min="4612" max="4612" width="11.6640625" style="10" bestFit="1" customWidth="1"/>
    <col min="4613" max="4615" width="12.6640625" style="10" bestFit="1" customWidth="1"/>
    <col min="4616" max="4616" width="12.5546875" style="10" customWidth="1"/>
    <col min="4617" max="4619" width="12.6640625" style="10" bestFit="1" customWidth="1"/>
    <col min="4620" max="4620" width="14.44140625" style="10" bestFit="1" customWidth="1"/>
    <col min="4621" max="4632" width="12.6640625" style="10" bestFit="1" customWidth="1"/>
    <col min="4633" max="4633" width="11.6640625" style="10" bestFit="1" customWidth="1"/>
    <col min="4634" max="4635" width="12.6640625" style="10" bestFit="1" customWidth="1"/>
    <col min="4636" max="4637" width="11.6640625" style="10" bestFit="1" customWidth="1"/>
    <col min="4638" max="4638" width="14.44140625" style="10" bestFit="1" customWidth="1"/>
    <col min="4639" max="4639" width="12.6640625" style="10" bestFit="1" customWidth="1"/>
    <col min="4640" max="4640" width="14.44140625" style="10" bestFit="1" customWidth="1"/>
    <col min="4641" max="4641" width="11.6640625" style="10" bestFit="1" customWidth="1"/>
    <col min="4642" max="4643" width="12.6640625" style="10" bestFit="1" customWidth="1"/>
    <col min="4644" max="4644" width="11.6640625" style="10" bestFit="1" customWidth="1"/>
    <col min="4645" max="4651" width="12.6640625" style="10" bestFit="1" customWidth="1"/>
    <col min="4652" max="4653" width="11.6640625" style="10" bestFit="1" customWidth="1"/>
    <col min="4654" max="4658" width="12.6640625" style="10" bestFit="1" customWidth="1"/>
    <col min="4659" max="4659" width="12.5546875" style="10" customWidth="1"/>
    <col min="4660" max="4660" width="15.44140625" style="10" customWidth="1"/>
    <col min="4661" max="4661" width="13.88671875" style="10" bestFit="1" customWidth="1"/>
    <col min="4662" max="4662" width="12.109375" style="10" bestFit="1" customWidth="1"/>
    <col min="4663" max="4664" width="13.88671875" style="10" bestFit="1" customWidth="1"/>
    <col min="4665" max="4665" width="12.5546875" style="10" bestFit="1" customWidth="1"/>
    <col min="4666" max="4666" width="13.88671875" style="10" bestFit="1" customWidth="1"/>
    <col min="4667" max="4667" width="16.109375" style="10" customWidth="1"/>
    <col min="4668" max="4668" width="13.88671875" style="10" bestFit="1" customWidth="1"/>
    <col min="4669" max="4669" width="19.109375" style="10" bestFit="1" customWidth="1"/>
    <col min="4670" max="4670" width="14.77734375" style="10" bestFit="1" customWidth="1"/>
    <col min="4671" max="4671" width="20.88671875" style="10" customWidth="1"/>
    <col min="4672" max="4860" width="8.77734375" style="10"/>
    <col min="4861" max="4861" width="4.6640625" style="10" customWidth="1"/>
    <col min="4862" max="4862" width="58.33203125" style="10" customWidth="1"/>
    <col min="4863" max="4863" width="12.6640625" style="10" customWidth="1"/>
    <col min="4864" max="4867" width="12.6640625" style="10" bestFit="1" customWidth="1"/>
    <col min="4868" max="4868" width="11.6640625" style="10" bestFit="1" customWidth="1"/>
    <col min="4869" max="4871" width="12.6640625" style="10" bestFit="1" customWidth="1"/>
    <col min="4872" max="4872" width="12.5546875" style="10" customWidth="1"/>
    <col min="4873" max="4875" width="12.6640625" style="10" bestFit="1" customWidth="1"/>
    <col min="4876" max="4876" width="14.44140625" style="10" bestFit="1" customWidth="1"/>
    <col min="4877" max="4888" width="12.6640625" style="10" bestFit="1" customWidth="1"/>
    <col min="4889" max="4889" width="11.6640625" style="10" bestFit="1" customWidth="1"/>
    <col min="4890" max="4891" width="12.6640625" style="10" bestFit="1" customWidth="1"/>
    <col min="4892" max="4893" width="11.6640625" style="10" bestFit="1" customWidth="1"/>
    <col min="4894" max="4894" width="14.44140625" style="10" bestFit="1" customWidth="1"/>
    <col min="4895" max="4895" width="12.6640625" style="10" bestFit="1" customWidth="1"/>
    <col min="4896" max="4896" width="14.44140625" style="10" bestFit="1" customWidth="1"/>
    <col min="4897" max="4897" width="11.6640625" style="10" bestFit="1" customWidth="1"/>
    <col min="4898" max="4899" width="12.6640625" style="10" bestFit="1" customWidth="1"/>
    <col min="4900" max="4900" width="11.6640625" style="10" bestFit="1" customWidth="1"/>
    <col min="4901" max="4907" width="12.6640625" style="10" bestFit="1" customWidth="1"/>
    <col min="4908" max="4909" width="11.6640625" style="10" bestFit="1" customWidth="1"/>
    <col min="4910" max="4914" width="12.6640625" style="10" bestFit="1" customWidth="1"/>
    <col min="4915" max="4915" width="12.5546875" style="10" customWidth="1"/>
    <col min="4916" max="4916" width="15.44140625" style="10" customWidth="1"/>
    <col min="4917" max="4917" width="13.88671875" style="10" bestFit="1" customWidth="1"/>
    <col min="4918" max="4918" width="12.109375" style="10" bestFit="1" customWidth="1"/>
    <col min="4919" max="4920" width="13.88671875" style="10" bestFit="1" customWidth="1"/>
    <col min="4921" max="4921" width="12.5546875" style="10" bestFit="1" customWidth="1"/>
    <col min="4922" max="4922" width="13.88671875" style="10" bestFit="1" customWidth="1"/>
    <col min="4923" max="4923" width="16.109375" style="10" customWidth="1"/>
    <col min="4924" max="4924" width="13.88671875" style="10" bestFit="1" customWidth="1"/>
    <col min="4925" max="4925" width="19.109375" style="10" bestFit="1" customWidth="1"/>
    <col min="4926" max="4926" width="14.77734375" style="10" bestFit="1" customWidth="1"/>
    <col min="4927" max="4927" width="20.88671875" style="10" customWidth="1"/>
    <col min="4928" max="5116" width="8.77734375" style="10"/>
    <col min="5117" max="5117" width="4.6640625" style="10" customWidth="1"/>
    <col min="5118" max="5118" width="58.33203125" style="10" customWidth="1"/>
    <col min="5119" max="5119" width="12.6640625" style="10" customWidth="1"/>
    <col min="5120" max="5123" width="12.6640625" style="10" bestFit="1" customWidth="1"/>
    <col min="5124" max="5124" width="11.6640625" style="10" bestFit="1" customWidth="1"/>
    <col min="5125" max="5127" width="12.6640625" style="10" bestFit="1" customWidth="1"/>
    <col min="5128" max="5128" width="12.5546875" style="10" customWidth="1"/>
    <col min="5129" max="5131" width="12.6640625" style="10" bestFit="1" customWidth="1"/>
    <col min="5132" max="5132" width="14.44140625" style="10" bestFit="1" customWidth="1"/>
    <col min="5133" max="5144" width="12.6640625" style="10" bestFit="1" customWidth="1"/>
    <col min="5145" max="5145" width="11.6640625" style="10" bestFit="1" customWidth="1"/>
    <col min="5146" max="5147" width="12.6640625" style="10" bestFit="1" customWidth="1"/>
    <col min="5148" max="5149" width="11.6640625" style="10" bestFit="1" customWidth="1"/>
    <col min="5150" max="5150" width="14.44140625" style="10" bestFit="1" customWidth="1"/>
    <col min="5151" max="5151" width="12.6640625" style="10" bestFit="1" customWidth="1"/>
    <col min="5152" max="5152" width="14.44140625" style="10" bestFit="1" customWidth="1"/>
    <col min="5153" max="5153" width="11.6640625" style="10" bestFit="1" customWidth="1"/>
    <col min="5154" max="5155" width="12.6640625" style="10" bestFit="1" customWidth="1"/>
    <col min="5156" max="5156" width="11.6640625" style="10" bestFit="1" customWidth="1"/>
    <col min="5157" max="5163" width="12.6640625" style="10" bestFit="1" customWidth="1"/>
    <col min="5164" max="5165" width="11.6640625" style="10" bestFit="1" customWidth="1"/>
    <col min="5166" max="5170" width="12.6640625" style="10" bestFit="1" customWidth="1"/>
    <col min="5171" max="5171" width="12.5546875" style="10" customWidth="1"/>
    <col min="5172" max="5172" width="15.44140625" style="10" customWidth="1"/>
    <col min="5173" max="5173" width="13.88671875" style="10" bestFit="1" customWidth="1"/>
    <col min="5174" max="5174" width="12.109375" style="10" bestFit="1" customWidth="1"/>
    <col min="5175" max="5176" width="13.88671875" style="10" bestFit="1" customWidth="1"/>
    <col min="5177" max="5177" width="12.5546875" style="10" bestFit="1" customWidth="1"/>
    <col min="5178" max="5178" width="13.88671875" style="10" bestFit="1" customWidth="1"/>
    <col min="5179" max="5179" width="16.109375" style="10" customWidth="1"/>
    <col min="5180" max="5180" width="13.88671875" style="10" bestFit="1" customWidth="1"/>
    <col min="5181" max="5181" width="19.109375" style="10" bestFit="1" customWidth="1"/>
    <col min="5182" max="5182" width="14.77734375" style="10" bestFit="1" customWidth="1"/>
    <col min="5183" max="5183" width="20.88671875" style="10" customWidth="1"/>
    <col min="5184" max="5372" width="8.77734375" style="10"/>
    <col min="5373" max="5373" width="4.6640625" style="10" customWidth="1"/>
    <col min="5374" max="5374" width="58.33203125" style="10" customWidth="1"/>
    <col min="5375" max="5375" width="12.6640625" style="10" customWidth="1"/>
    <col min="5376" max="5379" width="12.6640625" style="10" bestFit="1" customWidth="1"/>
    <col min="5380" max="5380" width="11.6640625" style="10" bestFit="1" customWidth="1"/>
    <col min="5381" max="5383" width="12.6640625" style="10" bestFit="1" customWidth="1"/>
    <col min="5384" max="5384" width="12.5546875" style="10" customWidth="1"/>
    <col min="5385" max="5387" width="12.6640625" style="10" bestFit="1" customWidth="1"/>
    <col min="5388" max="5388" width="14.44140625" style="10" bestFit="1" customWidth="1"/>
    <col min="5389" max="5400" width="12.6640625" style="10" bestFit="1" customWidth="1"/>
    <col min="5401" max="5401" width="11.6640625" style="10" bestFit="1" customWidth="1"/>
    <col min="5402" max="5403" width="12.6640625" style="10" bestFit="1" customWidth="1"/>
    <col min="5404" max="5405" width="11.6640625" style="10" bestFit="1" customWidth="1"/>
    <col min="5406" max="5406" width="14.44140625" style="10" bestFit="1" customWidth="1"/>
    <col min="5407" max="5407" width="12.6640625" style="10" bestFit="1" customWidth="1"/>
    <col min="5408" max="5408" width="14.44140625" style="10" bestFit="1" customWidth="1"/>
    <col min="5409" max="5409" width="11.6640625" style="10" bestFit="1" customWidth="1"/>
    <col min="5410" max="5411" width="12.6640625" style="10" bestFit="1" customWidth="1"/>
    <col min="5412" max="5412" width="11.6640625" style="10" bestFit="1" customWidth="1"/>
    <col min="5413" max="5419" width="12.6640625" style="10" bestFit="1" customWidth="1"/>
    <col min="5420" max="5421" width="11.6640625" style="10" bestFit="1" customWidth="1"/>
    <col min="5422" max="5426" width="12.6640625" style="10" bestFit="1" customWidth="1"/>
    <col min="5427" max="5427" width="12.5546875" style="10" customWidth="1"/>
    <col min="5428" max="5428" width="15.44140625" style="10" customWidth="1"/>
    <col min="5429" max="5429" width="13.88671875" style="10" bestFit="1" customWidth="1"/>
    <col min="5430" max="5430" width="12.109375" style="10" bestFit="1" customWidth="1"/>
    <col min="5431" max="5432" width="13.88671875" style="10" bestFit="1" customWidth="1"/>
    <col min="5433" max="5433" width="12.5546875" style="10" bestFit="1" customWidth="1"/>
    <col min="5434" max="5434" width="13.88671875" style="10" bestFit="1" customWidth="1"/>
    <col min="5435" max="5435" width="16.109375" style="10" customWidth="1"/>
    <col min="5436" max="5436" width="13.88671875" style="10" bestFit="1" customWidth="1"/>
    <col min="5437" max="5437" width="19.109375" style="10" bestFit="1" customWidth="1"/>
    <col min="5438" max="5438" width="14.77734375" style="10" bestFit="1" customWidth="1"/>
    <col min="5439" max="5439" width="20.88671875" style="10" customWidth="1"/>
    <col min="5440" max="5628" width="8.77734375" style="10"/>
    <col min="5629" max="5629" width="4.6640625" style="10" customWidth="1"/>
    <col min="5630" max="5630" width="58.33203125" style="10" customWidth="1"/>
    <col min="5631" max="5631" width="12.6640625" style="10" customWidth="1"/>
    <col min="5632" max="5635" width="12.6640625" style="10" bestFit="1" customWidth="1"/>
    <col min="5636" max="5636" width="11.6640625" style="10" bestFit="1" customWidth="1"/>
    <col min="5637" max="5639" width="12.6640625" style="10" bestFit="1" customWidth="1"/>
    <col min="5640" max="5640" width="12.5546875" style="10" customWidth="1"/>
    <col min="5641" max="5643" width="12.6640625" style="10" bestFit="1" customWidth="1"/>
    <col min="5644" max="5644" width="14.44140625" style="10" bestFit="1" customWidth="1"/>
    <col min="5645" max="5656" width="12.6640625" style="10" bestFit="1" customWidth="1"/>
    <col min="5657" max="5657" width="11.6640625" style="10" bestFit="1" customWidth="1"/>
    <col min="5658" max="5659" width="12.6640625" style="10" bestFit="1" customWidth="1"/>
    <col min="5660" max="5661" width="11.6640625" style="10" bestFit="1" customWidth="1"/>
    <col min="5662" max="5662" width="14.44140625" style="10" bestFit="1" customWidth="1"/>
    <col min="5663" max="5663" width="12.6640625" style="10" bestFit="1" customWidth="1"/>
    <col min="5664" max="5664" width="14.44140625" style="10" bestFit="1" customWidth="1"/>
    <col min="5665" max="5665" width="11.6640625" style="10" bestFit="1" customWidth="1"/>
    <col min="5666" max="5667" width="12.6640625" style="10" bestFit="1" customWidth="1"/>
    <col min="5668" max="5668" width="11.6640625" style="10" bestFit="1" customWidth="1"/>
    <col min="5669" max="5675" width="12.6640625" style="10" bestFit="1" customWidth="1"/>
    <col min="5676" max="5677" width="11.6640625" style="10" bestFit="1" customWidth="1"/>
    <col min="5678" max="5682" width="12.6640625" style="10" bestFit="1" customWidth="1"/>
    <col min="5683" max="5683" width="12.5546875" style="10" customWidth="1"/>
    <col min="5684" max="5684" width="15.44140625" style="10" customWidth="1"/>
    <col min="5685" max="5685" width="13.88671875" style="10" bestFit="1" customWidth="1"/>
    <col min="5686" max="5686" width="12.109375" style="10" bestFit="1" customWidth="1"/>
    <col min="5687" max="5688" width="13.88671875" style="10" bestFit="1" customWidth="1"/>
    <col min="5689" max="5689" width="12.5546875" style="10" bestFit="1" customWidth="1"/>
    <col min="5690" max="5690" width="13.88671875" style="10" bestFit="1" customWidth="1"/>
    <col min="5691" max="5691" width="16.109375" style="10" customWidth="1"/>
    <col min="5692" max="5692" width="13.88671875" style="10" bestFit="1" customWidth="1"/>
    <col min="5693" max="5693" width="19.109375" style="10" bestFit="1" customWidth="1"/>
    <col min="5694" max="5694" width="14.77734375" style="10" bestFit="1" customWidth="1"/>
    <col min="5695" max="5695" width="20.88671875" style="10" customWidth="1"/>
    <col min="5696" max="5884" width="8.77734375" style="10"/>
    <col min="5885" max="5885" width="4.6640625" style="10" customWidth="1"/>
    <col min="5886" max="5886" width="58.33203125" style="10" customWidth="1"/>
    <col min="5887" max="5887" width="12.6640625" style="10" customWidth="1"/>
    <col min="5888" max="5891" width="12.6640625" style="10" bestFit="1" customWidth="1"/>
    <col min="5892" max="5892" width="11.6640625" style="10" bestFit="1" customWidth="1"/>
    <col min="5893" max="5895" width="12.6640625" style="10" bestFit="1" customWidth="1"/>
    <col min="5896" max="5896" width="12.5546875" style="10" customWidth="1"/>
    <col min="5897" max="5899" width="12.6640625" style="10" bestFit="1" customWidth="1"/>
    <col min="5900" max="5900" width="14.44140625" style="10" bestFit="1" customWidth="1"/>
    <col min="5901" max="5912" width="12.6640625" style="10" bestFit="1" customWidth="1"/>
    <col min="5913" max="5913" width="11.6640625" style="10" bestFit="1" customWidth="1"/>
    <col min="5914" max="5915" width="12.6640625" style="10" bestFit="1" customWidth="1"/>
    <col min="5916" max="5917" width="11.6640625" style="10" bestFit="1" customWidth="1"/>
    <col min="5918" max="5918" width="14.44140625" style="10" bestFit="1" customWidth="1"/>
    <col min="5919" max="5919" width="12.6640625" style="10" bestFit="1" customWidth="1"/>
    <col min="5920" max="5920" width="14.44140625" style="10" bestFit="1" customWidth="1"/>
    <col min="5921" max="5921" width="11.6640625" style="10" bestFit="1" customWidth="1"/>
    <col min="5922" max="5923" width="12.6640625" style="10" bestFit="1" customWidth="1"/>
    <col min="5924" max="5924" width="11.6640625" style="10" bestFit="1" customWidth="1"/>
    <col min="5925" max="5931" width="12.6640625" style="10" bestFit="1" customWidth="1"/>
    <col min="5932" max="5933" width="11.6640625" style="10" bestFit="1" customWidth="1"/>
    <col min="5934" max="5938" width="12.6640625" style="10" bestFit="1" customWidth="1"/>
    <col min="5939" max="5939" width="12.5546875" style="10" customWidth="1"/>
    <col min="5940" max="5940" width="15.44140625" style="10" customWidth="1"/>
    <col min="5941" max="5941" width="13.88671875" style="10" bestFit="1" customWidth="1"/>
    <col min="5942" max="5942" width="12.109375" style="10" bestFit="1" customWidth="1"/>
    <col min="5943" max="5944" width="13.88671875" style="10" bestFit="1" customWidth="1"/>
    <col min="5945" max="5945" width="12.5546875" style="10" bestFit="1" customWidth="1"/>
    <col min="5946" max="5946" width="13.88671875" style="10" bestFit="1" customWidth="1"/>
    <col min="5947" max="5947" width="16.109375" style="10" customWidth="1"/>
    <col min="5948" max="5948" width="13.88671875" style="10" bestFit="1" customWidth="1"/>
    <col min="5949" max="5949" width="19.109375" style="10" bestFit="1" customWidth="1"/>
    <col min="5950" max="5950" width="14.77734375" style="10" bestFit="1" customWidth="1"/>
    <col min="5951" max="5951" width="20.88671875" style="10" customWidth="1"/>
    <col min="5952" max="6140" width="8.77734375" style="10"/>
    <col min="6141" max="6141" width="4.6640625" style="10" customWidth="1"/>
    <col min="6142" max="6142" width="58.33203125" style="10" customWidth="1"/>
    <col min="6143" max="6143" width="12.6640625" style="10" customWidth="1"/>
    <col min="6144" max="6147" width="12.6640625" style="10" bestFit="1" customWidth="1"/>
    <col min="6148" max="6148" width="11.6640625" style="10" bestFit="1" customWidth="1"/>
    <col min="6149" max="6151" width="12.6640625" style="10" bestFit="1" customWidth="1"/>
    <col min="6152" max="6152" width="12.5546875" style="10" customWidth="1"/>
    <col min="6153" max="6155" width="12.6640625" style="10" bestFit="1" customWidth="1"/>
    <col min="6156" max="6156" width="14.44140625" style="10" bestFit="1" customWidth="1"/>
    <col min="6157" max="6168" width="12.6640625" style="10" bestFit="1" customWidth="1"/>
    <col min="6169" max="6169" width="11.6640625" style="10" bestFit="1" customWidth="1"/>
    <col min="6170" max="6171" width="12.6640625" style="10" bestFit="1" customWidth="1"/>
    <col min="6172" max="6173" width="11.6640625" style="10" bestFit="1" customWidth="1"/>
    <col min="6174" max="6174" width="14.44140625" style="10" bestFit="1" customWidth="1"/>
    <col min="6175" max="6175" width="12.6640625" style="10" bestFit="1" customWidth="1"/>
    <col min="6176" max="6176" width="14.44140625" style="10" bestFit="1" customWidth="1"/>
    <col min="6177" max="6177" width="11.6640625" style="10" bestFit="1" customWidth="1"/>
    <col min="6178" max="6179" width="12.6640625" style="10" bestFit="1" customWidth="1"/>
    <col min="6180" max="6180" width="11.6640625" style="10" bestFit="1" customWidth="1"/>
    <col min="6181" max="6187" width="12.6640625" style="10" bestFit="1" customWidth="1"/>
    <col min="6188" max="6189" width="11.6640625" style="10" bestFit="1" customWidth="1"/>
    <col min="6190" max="6194" width="12.6640625" style="10" bestFit="1" customWidth="1"/>
    <col min="6195" max="6195" width="12.5546875" style="10" customWidth="1"/>
    <col min="6196" max="6196" width="15.44140625" style="10" customWidth="1"/>
    <col min="6197" max="6197" width="13.88671875" style="10" bestFit="1" customWidth="1"/>
    <col min="6198" max="6198" width="12.109375" style="10" bestFit="1" customWidth="1"/>
    <col min="6199" max="6200" width="13.88671875" style="10" bestFit="1" customWidth="1"/>
    <col min="6201" max="6201" width="12.5546875" style="10" bestFit="1" customWidth="1"/>
    <col min="6202" max="6202" width="13.88671875" style="10" bestFit="1" customWidth="1"/>
    <col min="6203" max="6203" width="16.109375" style="10" customWidth="1"/>
    <col min="6204" max="6204" width="13.88671875" style="10" bestFit="1" customWidth="1"/>
    <col min="6205" max="6205" width="19.109375" style="10" bestFit="1" customWidth="1"/>
    <col min="6206" max="6206" width="14.77734375" style="10" bestFit="1" customWidth="1"/>
    <col min="6207" max="6207" width="20.88671875" style="10" customWidth="1"/>
    <col min="6208" max="6396" width="8.77734375" style="10"/>
    <col min="6397" max="6397" width="4.6640625" style="10" customWidth="1"/>
    <col min="6398" max="6398" width="58.33203125" style="10" customWidth="1"/>
    <col min="6399" max="6399" width="12.6640625" style="10" customWidth="1"/>
    <col min="6400" max="6403" width="12.6640625" style="10" bestFit="1" customWidth="1"/>
    <col min="6404" max="6404" width="11.6640625" style="10" bestFit="1" customWidth="1"/>
    <col min="6405" max="6407" width="12.6640625" style="10" bestFit="1" customWidth="1"/>
    <col min="6408" max="6408" width="12.5546875" style="10" customWidth="1"/>
    <col min="6409" max="6411" width="12.6640625" style="10" bestFit="1" customWidth="1"/>
    <col min="6412" max="6412" width="14.44140625" style="10" bestFit="1" customWidth="1"/>
    <col min="6413" max="6424" width="12.6640625" style="10" bestFit="1" customWidth="1"/>
    <col min="6425" max="6425" width="11.6640625" style="10" bestFit="1" customWidth="1"/>
    <col min="6426" max="6427" width="12.6640625" style="10" bestFit="1" customWidth="1"/>
    <col min="6428" max="6429" width="11.6640625" style="10" bestFit="1" customWidth="1"/>
    <col min="6430" max="6430" width="14.44140625" style="10" bestFit="1" customWidth="1"/>
    <col min="6431" max="6431" width="12.6640625" style="10" bestFit="1" customWidth="1"/>
    <col min="6432" max="6432" width="14.44140625" style="10" bestFit="1" customWidth="1"/>
    <col min="6433" max="6433" width="11.6640625" style="10" bestFit="1" customWidth="1"/>
    <col min="6434" max="6435" width="12.6640625" style="10" bestFit="1" customWidth="1"/>
    <col min="6436" max="6436" width="11.6640625" style="10" bestFit="1" customWidth="1"/>
    <col min="6437" max="6443" width="12.6640625" style="10" bestFit="1" customWidth="1"/>
    <col min="6444" max="6445" width="11.6640625" style="10" bestFit="1" customWidth="1"/>
    <col min="6446" max="6450" width="12.6640625" style="10" bestFit="1" customWidth="1"/>
    <col min="6451" max="6451" width="12.5546875" style="10" customWidth="1"/>
    <col min="6452" max="6452" width="15.44140625" style="10" customWidth="1"/>
    <col min="6453" max="6453" width="13.88671875" style="10" bestFit="1" customWidth="1"/>
    <col min="6454" max="6454" width="12.109375" style="10" bestFit="1" customWidth="1"/>
    <col min="6455" max="6456" width="13.88671875" style="10" bestFit="1" customWidth="1"/>
    <col min="6457" max="6457" width="12.5546875" style="10" bestFit="1" customWidth="1"/>
    <col min="6458" max="6458" width="13.88671875" style="10" bestFit="1" customWidth="1"/>
    <col min="6459" max="6459" width="16.109375" style="10" customWidth="1"/>
    <col min="6460" max="6460" width="13.88671875" style="10" bestFit="1" customWidth="1"/>
    <col min="6461" max="6461" width="19.109375" style="10" bestFit="1" customWidth="1"/>
    <col min="6462" max="6462" width="14.77734375" style="10" bestFit="1" customWidth="1"/>
    <col min="6463" max="6463" width="20.88671875" style="10" customWidth="1"/>
    <col min="6464" max="6652" width="8.77734375" style="10"/>
    <col min="6653" max="6653" width="4.6640625" style="10" customWidth="1"/>
    <col min="6654" max="6654" width="58.33203125" style="10" customWidth="1"/>
    <col min="6655" max="6655" width="12.6640625" style="10" customWidth="1"/>
    <col min="6656" max="6659" width="12.6640625" style="10" bestFit="1" customWidth="1"/>
    <col min="6660" max="6660" width="11.6640625" style="10" bestFit="1" customWidth="1"/>
    <col min="6661" max="6663" width="12.6640625" style="10" bestFit="1" customWidth="1"/>
    <col min="6664" max="6664" width="12.5546875" style="10" customWidth="1"/>
    <col min="6665" max="6667" width="12.6640625" style="10" bestFit="1" customWidth="1"/>
    <col min="6668" max="6668" width="14.44140625" style="10" bestFit="1" customWidth="1"/>
    <col min="6669" max="6680" width="12.6640625" style="10" bestFit="1" customWidth="1"/>
    <col min="6681" max="6681" width="11.6640625" style="10" bestFit="1" customWidth="1"/>
    <col min="6682" max="6683" width="12.6640625" style="10" bestFit="1" customWidth="1"/>
    <col min="6684" max="6685" width="11.6640625" style="10" bestFit="1" customWidth="1"/>
    <col min="6686" max="6686" width="14.44140625" style="10" bestFit="1" customWidth="1"/>
    <col min="6687" max="6687" width="12.6640625" style="10" bestFit="1" customWidth="1"/>
    <col min="6688" max="6688" width="14.44140625" style="10" bestFit="1" customWidth="1"/>
    <col min="6689" max="6689" width="11.6640625" style="10" bestFit="1" customWidth="1"/>
    <col min="6690" max="6691" width="12.6640625" style="10" bestFit="1" customWidth="1"/>
    <col min="6692" max="6692" width="11.6640625" style="10" bestFit="1" customWidth="1"/>
    <col min="6693" max="6699" width="12.6640625" style="10" bestFit="1" customWidth="1"/>
    <col min="6700" max="6701" width="11.6640625" style="10" bestFit="1" customWidth="1"/>
    <col min="6702" max="6706" width="12.6640625" style="10" bestFit="1" customWidth="1"/>
    <col min="6707" max="6707" width="12.5546875" style="10" customWidth="1"/>
    <col min="6708" max="6708" width="15.44140625" style="10" customWidth="1"/>
    <col min="6709" max="6709" width="13.88671875" style="10" bestFit="1" customWidth="1"/>
    <col min="6710" max="6710" width="12.109375" style="10" bestFit="1" customWidth="1"/>
    <col min="6711" max="6712" width="13.88671875" style="10" bestFit="1" customWidth="1"/>
    <col min="6713" max="6713" width="12.5546875" style="10" bestFit="1" customWidth="1"/>
    <col min="6714" max="6714" width="13.88671875" style="10" bestFit="1" customWidth="1"/>
    <col min="6715" max="6715" width="16.109375" style="10" customWidth="1"/>
    <col min="6716" max="6716" width="13.88671875" style="10" bestFit="1" customWidth="1"/>
    <col min="6717" max="6717" width="19.109375" style="10" bestFit="1" customWidth="1"/>
    <col min="6718" max="6718" width="14.77734375" style="10" bestFit="1" customWidth="1"/>
    <col min="6719" max="6719" width="20.88671875" style="10" customWidth="1"/>
    <col min="6720" max="6908" width="8.77734375" style="10"/>
    <col min="6909" max="6909" width="4.6640625" style="10" customWidth="1"/>
    <col min="6910" max="6910" width="58.33203125" style="10" customWidth="1"/>
    <col min="6911" max="6911" width="12.6640625" style="10" customWidth="1"/>
    <col min="6912" max="6915" width="12.6640625" style="10" bestFit="1" customWidth="1"/>
    <col min="6916" max="6916" width="11.6640625" style="10" bestFit="1" customWidth="1"/>
    <col min="6917" max="6919" width="12.6640625" style="10" bestFit="1" customWidth="1"/>
    <col min="6920" max="6920" width="12.5546875" style="10" customWidth="1"/>
    <col min="6921" max="6923" width="12.6640625" style="10" bestFit="1" customWidth="1"/>
    <col min="6924" max="6924" width="14.44140625" style="10" bestFit="1" customWidth="1"/>
    <col min="6925" max="6936" width="12.6640625" style="10" bestFit="1" customWidth="1"/>
    <col min="6937" max="6937" width="11.6640625" style="10" bestFit="1" customWidth="1"/>
    <col min="6938" max="6939" width="12.6640625" style="10" bestFit="1" customWidth="1"/>
    <col min="6940" max="6941" width="11.6640625" style="10" bestFit="1" customWidth="1"/>
    <col min="6942" max="6942" width="14.44140625" style="10" bestFit="1" customWidth="1"/>
    <col min="6943" max="6943" width="12.6640625" style="10" bestFit="1" customWidth="1"/>
    <col min="6944" max="6944" width="14.44140625" style="10" bestFit="1" customWidth="1"/>
    <col min="6945" max="6945" width="11.6640625" style="10" bestFit="1" customWidth="1"/>
    <col min="6946" max="6947" width="12.6640625" style="10" bestFit="1" customWidth="1"/>
    <col min="6948" max="6948" width="11.6640625" style="10" bestFit="1" customWidth="1"/>
    <col min="6949" max="6955" width="12.6640625" style="10" bestFit="1" customWidth="1"/>
    <col min="6956" max="6957" width="11.6640625" style="10" bestFit="1" customWidth="1"/>
    <col min="6958" max="6962" width="12.6640625" style="10" bestFit="1" customWidth="1"/>
    <col min="6963" max="6963" width="12.5546875" style="10" customWidth="1"/>
    <col min="6964" max="6964" width="15.44140625" style="10" customWidth="1"/>
    <col min="6965" max="6965" width="13.88671875" style="10" bestFit="1" customWidth="1"/>
    <col min="6966" max="6966" width="12.109375" style="10" bestFit="1" customWidth="1"/>
    <col min="6967" max="6968" width="13.88671875" style="10" bestFit="1" customWidth="1"/>
    <col min="6969" max="6969" width="12.5546875" style="10" bestFit="1" customWidth="1"/>
    <col min="6970" max="6970" width="13.88671875" style="10" bestFit="1" customWidth="1"/>
    <col min="6971" max="6971" width="16.109375" style="10" customWidth="1"/>
    <col min="6972" max="6972" width="13.88671875" style="10" bestFit="1" customWidth="1"/>
    <col min="6973" max="6973" width="19.109375" style="10" bestFit="1" customWidth="1"/>
    <col min="6974" max="6974" width="14.77734375" style="10" bestFit="1" customWidth="1"/>
    <col min="6975" max="6975" width="20.88671875" style="10" customWidth="1"/>
    <col min="6976" max="7164" width="8.77734375" style="10"/>
    <col min="7165" max="7165" width="4.6640625" style="10" customWidth="1"/>
    <col min="7166" max="7166" width="58.33203125" style="10" customWidth="1"/>
    <col min="7167" max="7167" width="12.6640625" style="10" customWidth="1"/>
    <col min="7168" max="7171" width="12.6640625" style="10" bestFit="1" customWidth="1"/>
    <col min="7172" max="7172" width="11.6640625" style="10" bestFit="1" customWidth="1"/>
    <col min="7173" max="7175" width="12.6640625" style="10" bestFit="1" customWidth="1"/>
    <col min="7176" max="7176" width="12.5546875" style="10" customWidth="1"/>
    <col min="7177" max="7179" width="12.6640625" style="10" bestFit="1" customWidth="1"/>
    <col min="7180" max="7180" width="14.44140625" style="10" bestFit="1" customWidth="1"/>
    <col min="7181" max="7192" width="12.6640625" style="10" bestFit="1" customWidth="1"/>
    <col min="7193" max="7193" width="11.6640625" style="10" bestFit="1" customWidth="1"/>
    <col min="7194" max="7195" width="12.6640625" style="10" bestFit="1" customWidth="1"/>
    <col min="7196" max="7197" width="11.6640625" style="10" bestFit="1" customWidth="1"/>
    <col min="7198" max="7198" width="14.44140625" style="10" bestFit="1" customWidth="1"/>
    <col min="7199" max="7199" width="12.6640625" style="10" bestFit="1" customWidth="1"/>
    <col min="7200" max="7200" width="14.44140625" style="10" bestFit="1" customWidth="1"/>
    <col min="7201" max="7201" width="11.6640625" style="10" bestFit="1" customWidth="1"/>
    <col min="7202" max="7203" width="12.6640625" style="10" bestFit="1" customWidth="1"/>
    <col min="7204" max="7204" width="11.6640625" style="10" bestFit="1" customWidth="1"/>
    <col min="7205" max="7211" width="12.6640625" style="10" bestFit="1" customWidth="1"/>
    <col min="7212" max="7213" width="11.6640625" style="10" bestFit="1" customWidth="1"/>
    <col min="7214" max="7218" width="12.6640625" style="10" bestFit="1" customWidth="1"/>
    <col min="7219" max="7219" width="12.5546875" style="10" customWidth="1"/>
    <col min="7220" max="7220" width="15.44140625" style="10" customWidth="1"/>
    <col min="7221" max="7221" width="13.88671875" style="10" bestFit="1" customWidth="1"/>
    <col min="7222" max="7222" width="12.109375" style="10" bestFit="1" customWidth="1"/>
    <col min="7223" max="7224" width="13.88671875" style="10" bestFit="1" customWidth="1"/>
    <col min="7225" max="7225" width="12.5546875" style="10" bestFit="1" customWidth="1"/>
    <col min="7226" max="7226" width="13.88671875" style="10" bestFit="1" customWidth="1"/>
    <col min="7227" max="7227" width="16.109375" style="10" customWidth="1"/>
    <col min="7228" max="7228" width="13.88671875" style="10" bestFit="1" customWidth="1"/>
    <col min="7229" max="7229" width="19.109375" style="10" bestFit="1" customWidth="1"/>
    <col min="7230" max="7230" width="14.77734375" style="10" bestFit="1" customWidth="1"/>
    <col min="7231" max="7231" width="20.88671875" style="10" customWidth="1"/>
    <col min="7232" max="7420" width="8.77734375" style="10"/>
    <col min="7421" max="7421" width="4.6640625" style="10" customWidth="1"/>
    <col min="7422" max="7422" width="58.33203125" style="10" customWidth="1"/>
    <col min="7423" max="7423" width="12.6640625" style="10" customWidth="1"/>
    <col min="7424" max="7427" width="12.6640625" style="10" bestFit="1" customWidth="1"/>
    <col min="7428" max="7428" width="11.6640625" style="10" bestFit="1" customWidth="1"/>
    <col min="7429" max="7431" width="12.6640625" style="10" bestFit="1" customWidth="1"/>
    <col min="7432" max="7432" width="12.5546875" style="10" customWidth="1"/>
    <col min="7433" max="7435" width="12.6640625" style="10" bestFit="1" customWidth="1"/>
    <col min="7436" max="7436" width="14.44140625" style="10" bestFit="1" customWidth="1"/>
    <col min="7437" max="7448" width="12.6640625" style="10" bestFit="1" customWidth="1"/>
    <col min="7449" max="7449" width="11.6640625" style="10" bestFit="1" customWidth="1"/>
    <col min="7450" max="7451" width="12.6640625" style="10" bestFit="1" customWidth="1"/>
    <col min="7452" max="7453" width="11.6640625" style="10" bestFit="1" customWidth="1"/>
    <col min="7454" max="7454" width="14.44140625" style="10" bestFit="1" customWidth="1"/>
    <col min="7455" max="7455" width="12.6640625" style="10" bestFit="1" customWidth="1"/>
    <col min="7456" max="7456" width="14.44140625" style="10" bestFit="1" customWidth="1"/>
    <col min="7457" max="7457" width="11.6640625" style="10" bestFit="1" customWidth="1"/>
    <col min="7458" max="7459" width="12.6640625" style="10" bestFit="1" customWidth="1"/>
    <col min="7460" max="7460" width="11.6640625" style="10" bestFit="1" customWidth="1"/>
    <col min="7461" max="7467" width="12.6640625" style="10" bestFit="1" customWidth="1"/>
    <col min="7468" max="7469" width="11.6640625" style="10" bestFit="1" customWidth="1"/>
    <col min="7470" max="7474" width="12.6640625" style="10" bestFit="1" customWidth="1"/>
    <col min="7475" max="7475" width="12.5546875" style="10" customWidth="1"/>
    <col min="7476" max="7476" width="15.44140625" style="10" customWidth="1"/>
    <col min="7477" max="7477" width="13.88671875" style="10" bestFit="1" customWidth="1"/>
    <col min="7478" max="7478" width="12.109375" style="10" bestFit="1" customWidth="1"/>
    <col min="7479" max="7480" width="13.88671875" style="10" bestFit="1" customWidth="1"/>
    <col min="7481" max="7481" width="12.5546875" style="10" bestFit="1" customWidth="1"/>
    <col min="7482" max="7482" width="13.88671875" style="10" bestFit="1" customWidth="1"/>
    <col min="7483" max="7483" width="16.109375" style="10" customWidth="1"/>
    <col min="7484" max="7484" width="13.88671875" style="10" bestFit="1" customWidth="1"/>
    <col min="7485" max="7485" width="19.109375" style="10" bestFit="1" customWidth="1"/>
    <col min="7486" max="7486" width="14.77734375" style="10" bestFit="1" customWidth="1"/>
    <col min="7487" max="7487" width="20.88671875" style="10" customWidth="1"/>
    <col min="7488" max="7676" width="8.77734375" style="10"/>
    <col min="7677" max="7677" width="4.6640625" style="10" customWidth="1"/>
    <col min="7678" max="7678" width="58.33203125" style="10" customWidth="1"/>
    <col min="7679" max="7679" width="12.6640625" style="10" customWidth="1"/>
    <col min="7680" max="7683" width="12.6640625" style="10" bestFit="1" customWidth="1"/>
    <col min="7684" max="7684" width="11.6640625" style="10" bestFit="1" customWidth="1"/>
    <col min="7685" max="7687" width="12.6640625" style="10" bestFit="1" customWidth="1"/>
    <col min="7688" max="7688" width="12.5546875" style="10" customWidth="1"/>
    <col min="7689" max="7691" width="12.6640625" style="10" bestFit="1" customWidth="1"/>
    <col min="7692" max="7692" width="14.44140625" style="10" bestFit="1" customWidth="1"/>
    <col min="7693" max="7704" width="12.6640625" style="10" bestFit="1" customWidth="1"/>
    <col min="7705" max="7705" width="11.6640625" style="10" bestFit="1" customWidth="1"/>
    <col min="7706" max="7707" width="12.6640625" style="10" bestFit="1" customWidth="1"/>
    <col min="7708" max="7709" width="11.6640625" style="10" bestFit="1" customWidth="1"/>
    <col min="7710" max="7710" width="14.44140625" style="10" bestFit="1" customWidth="1"/>
    <col min="7711" max="7711" width="12.6640625" style="10" bestFit="1" customWidth="1"/>
    <col min="7712" max="7712" width="14.44140625" style="10" bestFit="1" customWidth="1"/>
    <col min="7713" max="7713" width="11.6640625" style="10" bestFit="1" customWidth="1"/>
    <col min="7714" max="7715" width="12.6640625" style="10" bestFit="1" customWidth="1"/>
    <col min="7716" max="7716" width="11.6640625" style="10" bestFit="1" customWidth="1"/>
    <col min="7717" max="7723" width="12.6640625" style="10" bestFit="1" customWidth="1"/>
    <col min="7724" max="7725" width="11.6640625" style="10" bestFit="1" customWidth="1"/>
    <col min="7726" max="7730" width="12.6640625" style="10" bestFit="1" customWidth="1"/>
    <col min="7731" max="7731" width="12.5546875" style="10" customWidth="1"/>
    <col min="7732" max="7732" width="15.44140625" style="10" customWidth="1"/>
    <col min="7733" max="7733" width="13.88671875" style="10" bestFit="1" customWidth="1"/>
    <col min="7734" max="7734" width="12.109375" style="10" bestFit="1" customWidth="1"/>
    <col min="7735" max="7736" width="13.88671875" style="10" bestFit="1" customWidth="1"/>
    <col min="7737" max="7737" width="12.5546875" style="10" bestFit="1" customWidth="1"/>
    <col min="7738" max="7738" width="13.88671875" style="10" bestFit="1" customWidth="1"/>
    <col min="7739" max="7739" width="16.109375" style="10" customWidth="1"/>
    <col min="7740" max="7740" width="13.88671875" style="10" bestFit="1" customWidth="1"/>
    <col min="7741" max="7741" width="19.109375" style="10" bestFit="1" customWidth="1"/>
    <col min="7742" max="7742" width="14.77734375" style="10" bestFit="1" customWidth="1"/>
    <col min="7743" max="7743" width="20.88671875" style="10" customWidth="1"/>
    <col min="7744" max="7932" width="8.77734375" style="10"/>
    <col min="7933" max="7933" width="4.6640625" style="10" customWidth="1"/>
    <col min="7934" max="7934" width="58.33203125" style="10" customWidth="1"/>
    <col min="7935" max="7935" width="12.6640625" style="10" customWidth="1"/>
    <col min="7936" max="7939" width="12.6640625" style="10" bestFit="1" customWidth="1"/>
    <col min="7940" max="7940" width="11.6640625" style="10" bestFit="1" customWidth="1"/>
    <col min="7941" max="7943" width="12.6640625" style="10" bestFit="1" customWidth="1"/>
    <col min="7944" max="7944" width="12.5546875" style="10" customWidth="1"/>
    <col min="7945" max="7947" width="12.6640625" style="10" bestFit="1" customWidth="1"/>
    <col min="7948" max="7948" width="14.44140625" style="10" bestFit="1" customWidth="1"/>
    <col min="7949" max="7960" width="12.6640625" style="10" bestFit="1" customWidth="1"/>
    <col min="7961" max="7961" width="11.6640625" style="10" bestFit="1" customWidth="1"/>
    <col min="7962" max="7963" width="12.6640625" style="10" bestFit="1" customWidth="1"/>
    <col min="7964" max="7965" width="11.6640625" style="10" bestFit="1" customWidth="1"/>
    <col min="7966" max="7966" width="14.44140625" style="10" bestFit="1" customWidth="1"/>
    <col min="7967" max="7967" width="12.6640625" style="10" bestFit="1" customWidth="1"/>
    <col min="7968" max="7968" width="14.44140625" style="10" bestFit="1" customWidth="1"/>
    <col min="7969" max="7969" width="11.6640625" style="10" bestFit="1" customWidth="1"/>
    <col min="7970" max="7971" width="12.6640625" style="10" bestFit="1" customWidth="1"/>
    <col min="7972" max="7972" width="11.6640625" style="10" bestFit="1" customWidth="1"/>
    <col min="7973" max="7979" width="12.6640625" style="10" bestFit="1" customWidth="1"/>
    <col min="7980" max="7981" width="11.6640625" style="10" bestFit="1" customWidth="1"/>
    <col min="7982" max="7986" width="12.6640625" style="10" bestFit="1" customWidth="1"/>
    <col min="7987" max="7987" width="12.5546875" style="10" customWidth="1"/>
    <col min="7988" max="7988" width="15.44140625" style="10" customWidth="1"/>
    <col min="7989" max="7989" width="13.88671875" style="10" bestFit="1" customWidth="1"/>
    <col min="7990" max="7990" width="12.109375" style="10" bestFit="1" customWidth="1"/>
    <col min="7991" max="7992" width="13.88671875" style="10" bestFit="1" customWidth="1"/>
    <col min="7993" max="7993" width="12.5546875" style="10" bestFit="1" customWidth="1"/>
    <col min="7994" max="7994" width="13.88671875" style="10" bestFit="1" customWidth="1"/>
    <col min="7995" max="7995" width="16.109375" style="10" customWidth="1"/>
    <col min="7996" max="7996" width="13.88671875" style="10" bestFit="1" customWidth="1"/>
    <col min="7997" max="7997" width="19.109375" style="10" bestFit="1" customWidth="1"/>
    <col min="7998" max="7998" width="14.77734375" style="10" bestFit="1" customWidth="1"/>
    <col min="7999" max="7999" width="20.88671875" style="10" customWidth="1"/>
    <col min="8000" max="8188" width="8.77734375" style="10"/>
    <col min="8189" max="8189" width="4.6640625" style="10" customWidth="1"/>
    <col min="8190" max="8190" width="58.33203125" style="10" customWidth="1"/>
    <col min="8191" max="8191" width="12.6640625" style="10" customWidth="1"/>
    <col min="8192" max="8195" width="12.6640625" style="10" bestFit="1" customWidth="1"/>
    <col min="8196" max="8196" width="11.6640625" style="10" bestFit="1" customWidth="1"/>
    <col min="8197" max="8199" width="12.6640625" style="10" bestFit="1" customWidth="1"/>
    <col min="8200" max="8200" width="12.5546875" style="10" customWidth="1"/>
    <col min="8201" max="8203" width="12.6640625" style="10" bestFit="1" customWidth="1"/>
    <col min="8204" max="8204" width="14.44140625" style="10" bestFit="1" customWidth="1"/>
    <col min="8205" max="8216" width="12.6640625" style="10" bestFit="1" customWidth="1"/>
    <col min="8217" max="8217" width="11.6640625" style="10" bestFit="1" customWidth="1"/>
    <col min="8218" max="8219" width="12.6640625" style="10" bestFit="1" customWidth="1"/>
    <col min="8220" max="8221" width="11.6640625" style="10" bestFit="1" customWidth="1"/>
    <col min="8222" max="8222" width="14.44140625" style="10" bestFit="1" customWidth="1"/>
    <col min="8223" max="8223" width="12.6640625" style="10" bestFit="1" customWidth="1"/>
    <col min="8224" max="8224" width="14.44140625" style="10" bestFit="1" customWidth="1"/>
    <col min="8225" max="8225" width="11.6640625" style="10" bestFit="1" customWidth="1"/>
    <col min="8226" max="8227" width="12.6640625" style="10" bestFit="1" customWidth="1"/>
    <col min="8228" max="8228" width="11.6640625" style="10" bestFit="1" customWidth="1"/>
    <col min="8229" max="8235" width="12.6640625" style="10" bestFit="1" customWidth="1"/>
    <col min="8236" max="8237" width="11.6640625" style="10" bestFit="1" customWidth="1"/>
    <col min="8238" max="8242" width="12.6640625" style="10" bestFit="1" customWidth="1"/>
    <col min="8243" max="8243" width="12.5546875" style="10" customWidth="1"/>
    <col min="8244" max="8244" width="15.44140625" style="10" customWidth="1"/>
    <col min="8245" max="8245" width="13.88671875" style="10" bestFit="1" customWidth="1"/>
    <col min="8246" max="8246" width="12.109375" style="10" bestFit="1" customWidth="1"/>
    <col min="8247" max="8248" width="13.88671875" style="10" bestFit="1" customWidth="1"/>
    <col min="8249" max="8249" width="12.5546875" style="10" bestFit="1" customWidth="1"/>
    <col min="8250" max="8250" width="13.88671875" style="10" bestFit="1" customWidth="1"/>
    <col min="8251" max="8251" width="16.109375" style="10" customWidth="1"/>
    <col min="8252" max="8252" width="13.88671875" style="10" bestFit="1" customWidth="1"/>
    <col min="8253" max="8253" width="19.109375" style="10" bestFit="1" customWidth="1"/>
    <col min="8254" max="8254" width="14.77734375" style="10" bestFit="1" customWidth="1"/>
    <col min="8255" max="8255" width="20.88671875" style="10" customWidth="1"/>
    <col min="8256" max="8444" width="8.77734375" style="10"/>
    <col min="8445" max="8445" width="4.6640625" style="10" customWidth="1"/>
    <col min="8446" max="8446" width="58.33203125" style="10" customWidth="1"/>
    <col min="8447" max="8447" width="12.6640625" style="10" customWidth="1"/>
    <col min="8448" max="8451" width="12.6640625" style="10" bestFit="1" customWidth="1"/>
    <col min="8452" max="8452" width="11.6640625" style="10" bestFit="1" customWidth="1"/>
    <col min="8453" max="8455" width="12.6640625" style="10" bestFit="1" customWidth="1"/>
    <col min="8456" max="8456" width="12.5546875" style="10" customWidth="1"/>
    <col min="8457" max="8459" width="12.6640625" style="10" bestFit="1" customWidth="1"/>
    <col min="8460" max="8460" width="14.44140625" style="10" bestFit="1" customWidth="1"/>
    <col min="8461" max="8472" width="12.6640625" style="10" bestFit="1" customWidth="1"/>
    <col min="8473" max="8473" width="11.6640625" style="10" bestFit="1" customWidth="1"/>
    <col min="8474" max="8475" width="12.6640625" style="10" bestFit="1" customWidth="1"/>
    <col min="8476" max="8477" width="11.6640625" style="10" bestFit="1" customWidth="1"/>
    <col min="8478" max="8478" width="14.44140625" style="10" bestFit="1" customWidth="1"/>
    <col min="8479" max="8479" width="12.6640625" style="10" bestFit="1" customWidth="1"/>
    <col min="8480" max="8480" width="14.44140625" style="10" bestFit="1" customWidth="1"/>
    <col min="8481" max="8481" width="11.6640625" style="10" bestFit="1" customWidth="1"/>
    <col min="8482" max="8483" width="12.6640625" style="10" bestFit="1" customWidth="1"/>
    <col min="8484" max="8484" width="11.6640625" style="10" bestFit="1" customWidth="1"/>
    <col min="8485" max="8491" width="12.6640625" style="10" bestFit="1" customWidth="1"/>
    <col min="8492" max="8493" width="11.6640625" style="10" bestFit="1" customWidth="1"/>
    <col min="8494" max="8498" width="12.6640625" style="10" bestFit="1" customWidth="1"/>
    <col min="8499" max="8499" width="12.5546875" style="10" customWidth="1"/>
    <col min="8500" max="8500" width="15.44140625" style="10" customWidth="1"/>
    <col min="8501" max="8501" width="13.88671875" style="10" bestFit="1" customWidth="1"/>
    <col min="8502" max="8502" width="12.109375" style="10" bestFit="1" customWidth="1"/>
    <col min="8503" max="8504" width="13.88671875" style="10" bestFit="1" customWidth="1"/>
    <col min="8505" max="8505" width="12.5546875" style="10" bestFit="1" customWidth="1"/>
    <col min="8506" max="8506" width="13.88671875" style="10" bestFit="1" customWidth="1"/>
    <col min="8507" max="8507" width="16.109375" style="10" customWidth="1"/>
    <col min="8508" max="8508" width="13.88671875" style="10" bestFit="1" customWidth="1"/>
    <col min="8509" max="8509" width="19.109375" style="10" bestFit="1" customWidth="1"/>
    <col min="8510" max="8510" width="14.77734375" style="10" bestFit="1" customWidth="1"/>
    <col min="8511" max="8511" width="20.88671875" style="10" customWidth="1"/>
    <col min="8512" max="8700" width="8.77734375" style="10"/>
    <col min="8701" max="8701" width="4.6640625" style="10" customWidth="1"/>
    <col min="8702" max="8702" width="58.33203125" style="10" customWidth="1"/>
    <col min="8703" max="8703" width="12.6640625" style="10" customWidth="1"/>
    <col min="8704" max="8707" width="12.6640625" style="10" bestFit="1" customWidth="1"/>
    <col min="8708" max="8708" width="11.6640625" style="10" bestFit="1" customWidth="1"/>
    <col min="8709" max="8711" width="12.6640625" style="10" bestFit="1" customWidth="1"/>
    <col min="8712" max="8712" width="12.5546875" style="10" customWidth="1"/>
    <col min="8713" max="8715" width="12.6640625" style="10" bestFit="1" customWidth="1"/>
    <col min="8716" max="8716" width="14.44140625" style="10" bestFit="1" customWidth="1"/>
    <col min="8717" max="8728" width="12.6640625" style="10" bestFit="1" customWidth="1"/>
    <col min="8729" max="8729" width="11.6640625" style="10" bestFit="1" customWidth="1"/>
    <col min="8730" max="8731" width="12.6640625" style="10" bestFit="1" customWidth="1"/>
    <col min="8732" max="8733" width="11.6640625" style="10" bestFit="1" customWidth="1"/>
    <col min="8734" max="8734" width="14.44140625" style="10" bestFit="1" customWidth="1"/>
    <col min="8735" max="8735" width="12.6640625" style="10" bestFit="1" customWidth="1"/>
    <col min="8736" max="8736" width="14.44140625" style="10" bestFit="1" customWidth="1"/>
    <col min="8737" max="8737" width="11.6640625" style="10" bestFit="1" customWidth="1"/>
    <col min="8738" max="8739" width="12.6640625" style="10" bestFit="1" customWidth="1"/>
    <col min="8740" max="8740" width="11.6640625" style="10" bestFit="1" customWidth="1"/>
    <col min="8741" max="8747" width="12.6640625" style="10" bestFit="1" customWidth="1"/>
    <col min="8748" max="8749" width="11.6640625" style="10" bestFit="1" customWidth="1"/>
    <col min="8750" max="8754" width="12.6640625" style="10" bestFit="1" customWidth="1"/>
    <col min="8755" max="8755" width="12.5546875" style="10" customWidth="1"/>
    <col min="8756" max="8756" width="15.44140625" style="10" customWidth="1"/>
    <col min="8757" max="8757" width="13.88671875" style="10" bestFit="1" customWidth="1"/>
    <col min="8758" max="8758" width="12.109375" style="10" bestFit="1" customWidth="1"/>
    <col min="8759" max="8760" width="13.88671875" style="10" bestFit="1" customWidth="1"/>
    <col min="8761" max="8761" width="12.5546875" style="10" bestFit="1" customWidth="1"/>
    <col min="8762" max="8762" width="13.88671875" style="10" bestFit="1" customWidth="1"/>
    <col min="8763" max="8763" width="16.109375" style="10" customWidth="1"/>
    <col min="8764" max="8764" width="13.88671875" style="10" bestFit="1" customWidth="1"/>
    <col min="8765" max="8765" width="19.109375" style="10" bestFit="1" customWidth="1"/>
    <col min="8766" max="8766" width="14.77734375" style="10" bestFit="1" customWidth="1"/>
    <col min="8767" max="8767" width="20.88671875" style="10" customWidth="1"/>
    <col min="8768" max="8956" width="8.77734375" style="10"/>
    <col min="8957" max="8957" width="4.6640625" style="10" customWidth="1"/>
    <col min="8958" max="8958" width="58.33203125" style="10" customWidth="1"/>
    <col min="8959" max="8959" width="12.6640625" style="10" customWidth="1"/>
    <col min="8960" max="8963" width="12.6640625" style="10" bestFit="1" customWidth="1"/>
    <col min="8964" max="8964" width="11.6640625" style="10" bestFit="1" customWidth="1"/>
    <col min="8965" max="8967" width="12.6640625" style="10" bestFit="1" customWidth="1"/>
    <col min="8968" max="8968" width="12.5546875" style="10" customWidth="1"/>
    <col min="8969" max="8971" width="12.6640625" style="10" bestFit="1" customWidth="1"/>
    <col min="8972" max="8972" width="14.44140625" style="10" bestFit="1" customWidth="1"/>
    <col min="8973" max="8984" width="12.6640625" style="10" bestFit="1" customWidth="1"/>
    <col min="8985" max="8985" width="11.6640625" style="10" bestFit="1" customWidth="1"/>
    <col min="8986" max="8987" width="12.6640625" style="10" bestFit="1" customWidth="1"/>
    <col min="8988" max="8989" width="11.6640625" style="10" bestFit="1" customWidth="1"/>
    <col min="8990" max="8990" width="14.44140625" style="10" bestFit="1" customWidth="1"/>
    <col min="8991" max="8991" width="12.6640625" style="10" bestFit="1" customWidth="1"/>
    <col min="8992" max="8992" width="14.44140625" style="10" bestFit="1" customWidth="1"/>
    <col min="8993" max="8993" width="11.6640625" style="10" bestFit="1" customWidth="1"/>
    <col min="8994" max="8995" width="12.6640625" style="10" bestFit="1" customWidth="1"/>
    <col min="8996" max="8996" width="11.6640625" style="10" bestFit="1" customWidth="1"/>
    <col min="8997" max="9003" width="12.6640625" style="10" bestFit="1" customWidth="1"/>
    <col min="9004" max="9005" width="11.6640625" style="10" bestFit="1" customWidth="1"/>
    <col min="9006" max="9010" width="12.6640625" style="10" bestFit="1" customWidth="1"/>
    <col min="9011" max="9011" width="12.5546875" style="10" customWidth="1"/>
    <col min="9012" max="9012" width="15.44140625" style="10" customWidth="1"/>
    <col min="9013" max="9013" width="13.88671875" style="10" bestFit="1" customWidth="1"/>
    <col min="9014" max="9014" width="12.109375" style="10" bestFit="1" customWidth="1"/>
    <col min="9015" max="9016" width="13.88671875" style="10" bestFit="1" customWidth="1"/>
    <col min="9017" max="9017" width="12.5546875" style="10" bestFit="1" customWidth="1"/>
    <col min="9018" max="9018" width="13.88671875" style="10" bestFit="1" customWidth="1"/>
    <col min="9019" max="9019" width="16.109375" style="10" customWidth="1"/>
    <col min="9020" max="9020" width="13.88671875" style="10" bestFit="1" customWidth="1"/>
    <col min="9021" max="9021" width="19.109375" style="10" bestFit="1" customWidth="1"/>
    <col min="9022" max="9022" width="14.77734375" style="10" bestFit="1" customWidth="1"/>
    <col min="9023" max="9023" width="20.88671875" style="10" customWidth="1"/>
    <col min="9024" max="9212" width="8.77734375" style="10"/>
    <col min="9213" max="9213" width="4.6640625" style="10" customWidth="1"/>
    <col min="9214" max="9214" width="58.33203125" style="10" customWidth="1"/>
    <col min="9215" max="9215" width="12.6640625" style="10" customWidth="1"/>
    <col min="9216" max="9219" width="12.6640625" style="10" bestFit="1" customWidth="1"/>
    <col min="9220" max="9220" width="11.6640625" style="10" bestFit="1" customWidth="1"/>
    <col min="9221" max="9223" width="12.6640625" style="10" bestFit="1" customWidth="1"/>
    <col min="9224" max="9224" width="12.5546875" style="10" customWidth="1"/>
    <col min="9225" max="9227" width="12.6640625" style="10" bestFit="1" customWidth="1"/>
    <col min="9228" max="9228" width="14.44140625" style="10" bestFit="1" customWidth="1"/>
    <col min="9229" max="9240" width="12.6640625" style="10" bestFit="1" customWidth="1"/>
    <col min="9241" max="9241" width="11.6640625" style="10" bestFit="1" customWidth="1"/>
    <col min="9242" max="9243" width="12.6640625" style="10" bestFit="1" customWidth="1"/>
    <col min="9244" max="9245" width="11.6640625" style="10" bestFit="1" customWidth="1"/>
    <col min="9246" max="9246" width="14.44140625" style="10" bestFit="1" customWidth="1"/>
    <col min="9247" max="9247" width="12.6640625" style="10" bestFit="1" customWidth="1"/>
    <col min="9248" max="9248" width="14.44140625" style="10" bestFit="1" customWidth="1"/>
    <col min="9249" max="9249" width="11.6640625" style="10" bestFit="1" customWidth="1"/>
    <col min="9250" max="9251" width="12.6640625" style="10" bestFit="1" customWidth="1"/>
    <col min="9252" max="9252" width="11.6640625" style="10" bestFit="1" customWidth="1"/>
    <col min="9253" max="9259" width="12.6640625" style="10" bestFit="1" customWidth="1"/>
    <col min="9260" max="9261" width="11.6640625" style="10" bestFit="1" customWidth="1"/>
    <col min="9262" max="9266" width="12.6640625" style="10" bestFit="1" customWidth="1"/>
    <col min="9267" max="9267" width="12.5546875" style="10" customWidth="1"/>
    <col min="9268" max="9268" width="15.44140625" style="10" customWidth="1"/>
    <col min="9269" max="9269" width="13.88671875" style="10" bestFit="1" customWidth="1"/>
    <col min="9270" max="9270" width="12.109375" style="10" bestFit="1" customWidth="1"/>
    <col min="9271" max="9272" width="13.88671875" style="10" bestFit="1" customWidth="1"/>
    <col min="9273" max="9273" width="12.5546875" style="10" bestFit="1" customWidth="1"/>
    <col min="9274" max="9274" width="13.88671875" style="10" bestFit="1" customWidth="1"/>
    <col min="9275" max="9275" width="16.109375" style="10" customWidth="1"/>
    <col min="9276" max="9276" width="13.88671875" style="10" bestFit="1" customWidth="1"/>
    <col min="9277" max="9277" width="19.109375" style="10" bestFit="1" customWidth="1"/>
    <col min="9278" max="9278" width="14.77734375" style="10" bestFit="1" customWidth="1"/>
    <col min="9279" max="9279" width="20.88671875" style="10" customWidth="1"/>
    <col min="9280" max="9468" width="8.77734375" style="10"/>
    <col min="9469" max="9469" width="4.6640625" style="10" customWidth="1"/>
    <col min="9470" max="9470" width="58.33203125" style="10" customWidth="1"/>
    <col min="9471" max="9471" width="12.6640625" style="10" customWidth="1"/>
    <col min="9472" max="9475" width="12.6640625" style="10" bestFit="1" customWidth="1"/>
    <col min="9476" max="9476" width="11.6640625" style="10" bestFit="1" customWidth="1"/>
    <col min="9477" max="9479" width="12.6640625" style="10" bestFit="1" customWidth="1"/>
    <col min="9480" max="9480" width="12.5546875" style="10" customWidth="1"/>
    <col min="9481" max="9483" width="12.6640625" style="10" bestFit="1" customWidth="1"/>
    <col min="9484" max="9484" width="14.44140625" style="10" bestFit="1" customWidth="1"/>
    <col min="9485" max="9496" width="12.6640625" style="10" bestFit="1" customWidth="1"/>
    <col min="9497" max="9497" width="11.6640625" style="10" bestFit="1" customWidth="1"/>
    <col min="9498" max="9499" width="12.6640625" style="10" bestFit="1" customWidth="1"/>
    <col min="9500" max="9501" width="11.6640625" style="10" bestFit="1" customWidth="1"/>
    <col min="9502" max="9502" width="14.44140625" style="10" bestFit="1" customWidth="1"/>
    <col min="9503" max="9503" width="12.6640625" style="10" bestFit="1" customWidth="1"/>
    <col min="9504" max="9504" width="14.44140625" style="10" bestFit="1" customWidth="1"/>
    <col min="9505" max="9505" width="11.6640625" style="10" bestFit="1" customWidth="1"/>
    <col min="9506" max="9507" width="12.6640625" style="10" bestFit="1" customWidth="1"/>
    <col min="9508" max="9508" width="11.6640625" style="10" bestFit="1" customWidth="1"/>
    <col min="9509" max="9515" width="12.6640625" style="10" bestFit="1" customWidth="1"/>
    <col min="9516" max="9517" width="11.6640625" style="10" bestFit="1" customWidth="1"/>
    <col min="9518" max="9522" width="12.6640625" style="10" bestFit="1" customWidth="1"/>
    <col min="9523" max="9523" width="12.5546875" style="10" customWidth="1"/>
    <col min="9524" max="9524" width="15.44140625" style="10" customWidth="1"/>
    <col min="9525" max="9525" width="13.88671875" style="10" bestFit="1" customWidth="1"/>
    <col min="9526" max="9526" width="12.109375" style="10" bestFit="1" customWidth="1"/>
    <col min="9527" max="9528" width="13.88671875" style="10" bestFit="1" customWidth="1"/>
    <col min="9529" max="9529" width="12.5546875" style="10" bestFit="1" customWidth="1"/>
    <col min="9530" max="9530" width="13.88671875" style="10" bestFit="1" customWidth="1"/>
    <col min="9531" max="9531" width="16.109375" style="10" customWidth="1"/>
    <col min="9532" max="9532" width="13.88671875" style="10" bestFit="1" customWidth="1"/>
    <col min="9533" max="9533" width="19.109375" style="10" bestFit="1" customWidth="1"/>
    <col min="9534" max="9534" width="14.77734375" style="10" bestFit="1" customWidth="1"/>
    <col min="9535" max="9535" width="20.88671875" style="10" customWidth="1"/>
    <col min="9536" max="9724" width="8.77734375" style="10"/>
    <col min="9725" max="9725" width="4.6640625" style="10" customWidth="1"/>
    <col min="9726" max="9726" width="58.33203125" style="10" customWidth="1"/>
    <col min="9727" max="9727" width="12.6640625" style="10" customWidth="1"/>
    <col min="9728" max="9731" width="12.6640625" style="10" bestFit="1" customWidth="1"/>
    <col min="9732" max="9732" width="11.6640625" style="10" bestFit="1" customWidth="1"/>
    <col min="9733" max="9735" width="12.6640625" style="10" bestFit="1" customWidth="1"/>
    <col min="9736" max="9736" width="12.5546875" style="10" customWidth="1"/>
    <col min="9737" max="9739" width="12.6640625" style="10" bestFit="1" customWidth="1"/>
    <col min="9740" max="9740" width="14.44140625" style="10" bestFit="1" customWidth="1"/>
    <col min="9741" max="9752" width="12.6640625" style="10" bestFit="1" customWidth="1"/>
    <col min="9753" max="9753" width="11.6640625" style="10" bestFit="1" customWidth="1"/>
    <col min="9754" max="9755" width="12.6640625" style="10" bestFit="1" customWidth="1"/>
    <col min="9756" max="9757" width="11.6640625" style="10" bestFit="1" customWidth="1"/>
    <col min="9758" max="9758" width="14.44140625" style="10" bestFit="1" customWidth="1"/>
    <col min="9759" max="9759" width="12.6640625" style="10" bestFit="1" customWidth="1"/>
    <col min="9760" max="9760" width="14.44140625" style="10" bestFit="1" customWidth="1"/>
    <col min="9761" max="9761" width="11.6640625" style="10" bestFit="1" customWidth="1"/>
    <col min="9762" max="9763" width="12.6640625" style="10" bestFit="1" customWidth="1"/>
    <col min="9764" max="9764" width="11.6640625" style="10" bestFit="1" customWidth="1"/>
    <col min="9765" max="9771" width="12.6640625" style="10" bestFit="1" customWidth="1"/>
    <col min="9772" max="9773" width="11.6640625" style="10" bestFit="1" customWidth="1"/>
    <col min="9774" max="9778" width="12.6640625" style="10" bestFit="1" customWidth="1"/>
    <col min="9779" max="9779" width="12.5546875" style="10" customWidth="1"/>
    <col min="9780" max="9780" width="15.44140625" style="10" customWidth="1"/>
    <col min="9781" max="9781" width="13.88671875" style="10" bestFit="1" customWidth="1"/>
    <col min="9782" max="9782" width="12.109375" style="10" bestFit="1" customWidth="1"/>
    <col min="9783" max="9784" width="13.88671875" style="10" bestFit="1" customWidth="1"/>
    <col min="9785" max="9785" width="12.5546875" style="10" bestFit="1" customWidth="1"/>
    <col min="9786" max="9786" width="13.88671875" style="10" bestFit="1" customWidth="1"/>
    <col min="9787" max="9787" width="16.109375" style="10" customWidth="1"/>
    <col min="9788" max="9788" width="13.88671875" style="10" bestFit="1" customWidth="1"/>
    <col min="9789" max="9789" width="19.109375" style="10" bestFit="1" customWidth="1"/>
    <col min="9790" max="9790" width="14.77734375" style="10" bestFit="1" customWidth="1"/>
    <col min="9791" max="9791" width="20.88671875" style="10" customWidth="1"/>
    <col min="9792" max="9980" width="8.77734375" style="10"/>
    <col min="9981" max="9981" width="4.6640625" style="10" customWidth="1"/>
    <col min="9982" max="9982" width="58.33203125" style="10" customWidth="1"/>
    <col min="9983" max="9983" width="12.6640625" style="10" customWidth="1"/>
    <col min="9984" max="9987" width="12.6640625" style="10" bestFit="1" customWidth="1"/>
    <col min="9988" max="9988" width="11.6640625" style="10" bestFit="1" customWidth="1"/>
    <col min="9989" max="9991" width="12.6640625" style="10" bestFit="1" customWidth="1"/>
    <col min="9992" max="9992" width="12.5546875" style="10" customWidth="1"/>
    <col min="9993" max="9995" width="12.6640625" style="10" bestFit="1" customWidth="1"/>
    <col min="9996" max="9996" width="14.44140625" style="10" bestFit="1" customWidth="1"/>
    <col min="9997" max="10008" width="12.6640625" style="10" bestFit="1" customWidth="1"/>
    <col min="10009" max="10009" width="11.6640625" style="10" bestFit="1" customWidth="1"/>
    <col min="10010" max="10011" width="12.6640625" style="10" bestFit="1" customWidth="1"/>
    <col min="10012" max="10013" width="11.6640625" style="10" bestFit="1" customWidth="1"/>
    <col min="10014" max="10014" width="14.44140625" style="10" bestFit="1" customWidth="1"/>
    <col min="10015" max="10015" width="12.6640625" style="10" bestFit="1" customWidth="1"/>
    <col min="10016" max="10016" width="14.44140625" style="10" bestFit="1" customWidth="1"/>
    <col min="10017" max="10017" width="11.6640625" style="10" bestFit="1" customWidth="1"/>
    <col min="10018" max="10019" width="12.6640625" style="10" bestFit="1" customWidth="1"/>
    <col min="10020" max="10020" width="11.6640625" style="10" bestFit="1" customWidth="1"/>
    <col min="10021" max="10027" width="12.6640625" style="10" bestFit="1" customWidth="1"/>
    <col min="10028" max="10029" width="11.6640625" style="10" bestFit="1" customWidth="1"/>
    <col min="10030" max="10034" width="12.6640625" style="10" bestFit="1" customWidth="1"/>
    <col min="10035" max="10035" width="12.5546875" style="10" customWidth="1"/>
    <col min="10036" max="10036" width="15.44140625" style="10" customWidth="1"/>
    <col min="10037" max="10037" width="13.88671875" style="10" bestFit="1" customWidth="1"/>
    <col min="10038" max="10038" width="12.109375" style="10" bestFit="1" customWidth="1"/>
    <col min="10039" max="10040" width="13.88671875" style="10" bestFit="1" customWidth="1"/>
    <col min="10041" max="10041" width="12.5546875" style="10" bestFit="1" customWidth="1"/>
    <col min="10042" max="10042" width="13.88671875" style="10" bestFit="1" customWidth="1"/>
    <col min="10043" max="10043" width="16.109375" style="10" customWidth="1"/>
    <col min="10044" max="10044" width="13.88671875" style="10" bestFit="1" customWidth="1"/>
    <col min="10045" max="10045" width="19.109375" style="10" bestFit="1" customWidth="1"/>
    <col min="10046" max="10046" width="14.77734375" style="10" bestFit="1" customWidth="1"/>
    <col min="10047" max="10047" width="20.88671875" style="10" customWidth="1"/>
    <col min="10048" max="10236" width="8.77734375" style="10"/>
    <col min="10237" max="10237" width="4.6640625" style="10" customWidth="1"/>
    <col min="10238" max="10238" width="58.33203125" style="10" customWidth="1"/>
    <col min="10239" max="10239" width="12.6640625" style="10" customWidth="1"/>
    <col min="10240" max="10243" width="12.6640625" style="10" bestFit="1" customWidth="1"/>
    <col min="10244" max="10244" width="11.6640625" style="10" bestFit="1" customWidth="1"/>
    <col min="10245" max="10247" width="12.6640625" style="10" bestFit="1" customWidth="1"/>
    <col min="10248" max="10248" width="12.5546875" style="10" customWidth="1"/>
    <col min="10249" max="10251" width="12.6640625" style="10" bestFit="1" customWidth="1"/>
    <col min="10252" max="10252" width="14.44140625" style="10" bestFit="1" customWidth="1"/>
    <col min="10253" max="10264" width="12.6640625" style="10" bestFit="1" customWidth="1"/>
    <col min="10265" max="10265" width="11.6640625" style="10" bestFit="1" customWidth="1"/>
    <col min="10266" max="10267" width="12.6640625" style="10" bestFit="1" customWidth="1"/>
    <col min="10268" max="10269" width="11.6640625" style="10" bestFit="1" customWidth="1"/>
    <col min="10270" max="10270" width="14.44140625" style="10" bestFit="1" customWidth="1"/>
    <col min="10271" max="10271" width="12.6640625" style="10" bestFit="1" customWidth="1"/>
    <col min="10272" max="10272" width="14.44140625" style="10" bestFit="1" customWidth="1"/>
    <col min="10273" max="10273" width="11.6640625" style="10" bestFit="1" customWidth="1"/>
    <col min="10274" max="10275" width="12.6640625" style="10" bestFit="1" customWidth="1"/>
    <col min="10276" max="10276" width="11.6640625" style="10" bestFit="1" customWidth="1"/>
    <col min="10277" max="10283" width="12.6640625" style="10" bestFit="1" customWidth="1"/>
    <col min="10284" max="10285" width="11.6640625" style="10" bestFit="1" customWidth="1"/>
    <col min="10286" max="10290" width="12.6640625" style="10" bestFit="1" customWidth="1"/>
    <col min="10291" max="10291" width="12.5546875" style="10" customWidth="1"/>
    <col min="10292" max="10292" width="15.44140625" style="10" customWidth="1"/>
    <col min="10293" max="10293" width="13.88671875" style="10" bestFit="1" customWidth="1"/>
    <col min="10294" max="10294" width="12.109375" style="10" bestFit="1" customWidth="1"/>
    <col min="10295" max="10296" width="13.88671875" style="10" bestFit="1" customWidth="1"/>
    <col min="10297" max="10297" width="12.5546875" style="10" bestFit="1" customWidth="1"/>
    <col min="10298" max="10298" width="13.88671875" style="10" bestFit="1" customWidth="1"/>
    <col min="10299" max="10299" width="16.109375" style="10" customWidth="1"/>
    <col min="10300" max="10300" width="13.88671875" style="10" bestFit="1" customWidth="1"/>
    <col min="10301" max="10301" width="19.109375" style="10" bestFit="1" customWidth="1"/>
    <col min="10302" max="10302" width="14.77734375" style="10" bestFit="1" customWidth="1"/>
    <col min="10303" max="10303" width="20.88671875" style="10" customWidth="1"/>
    <col min="10304" max="10492" width="8.77734375" style="10"/>
    <col min="10493" max="10493" width="4.6640625" style="10" customWidth="1"/>
    <col min="10494" max="10494" width="58.33203125" style="10" customWidth="1"/>
    <col min="10495" max="10495" width="12.6640625" style="10" customWidth="1"/>
    <col min="10496" max="10499" width="12.6640625" style="10" bestFit="1" customWidth="1"/>
    <col min="10500" max="10500" width="11.6640625" style="10" bestFit="1" customWidth="1"/>
    <col min="10501" max="10503" width="12.6640625" style="10" bestFit="1" customWidth="1"/>
    <col min="10504" max="10504" width="12.5546875" style="10" customWidth="1"/>
    <col min="10505" max="10507" width="12.6640625" style="10" bestFit="1" customWidth="1"/>
    <col min="10508" max="10508" width="14.44140625" style="10" bestFit="1" customWidth="1"/>
    <col min="10509" max="10520" width="12.6640625" style="10" bestFit="1" customWidth="1"/>
    <col min="10521" max="10521" width="11.6640625" style="10" bestFit="1" customWidth="1"/>
    <col min="10522" max="10523" width="12.6640625" style="10" bestFit="1" customWidth="1"/>
    <col min="10524" max="10525" width="11.6640625" style="10" bestFit="1" customWidth="1"/>
    <col min="10526" max="10526" width="14.44140625" style="10" bestFit="1" customWidth="1"/>
    <col min="10527" max="10527" width="12.6640625" style="10" bestFit="1" customWidth="1"/>
    <col min="10528" max="10528" width="14.44140625" style="10" bestFit="1" customWidth="1"/>
    <col min="10529" max="10529" width="11.6640625" style="10" bestFit="1" customWidth="1"/>
    <col min="10530" max="10531" width="12.6640625" style="10" bestFit="1" customWidth="1"/>
    <col min="10532" max="10532" width="11.6640625" style="10" bestFit="1" customWidth="1"/>
    <col min="10533" max="10539" width="12.6640625" style="10" bestFit="1" customWidth="1"/>
    <col min="10540" max="10541" width="11.6640625" style="10" bestFit="1" customWidth="1"/>
    <col min="10542" max="10546" width="12.6640625" style="10" bestFit="1" customWidth="1"/>
    <col min="10547" max="10547" width="12.5546875" style="10" customWidth="1"/>
    <col min="10548" max="10548" width="15.44140625" style="10" customWidth="1"/>
    <col min="10549" max="10549" width="13.88671875" style="10" bestFit="1" customWidth="1"/>
    <col min="10550" max="10550" width="12.109375" style="10" bestFit="1" customWidth="1"/>
    <col min="10551" max="10552" width="13.88671875" style="10" bestFit="1" customWidth="1"/>
    <col min="10553" max="10553" width="12.5546875" style="10" bestFit="1" customWidth="1"/>
    <col min="10554" max="10554" width="13.88671875" style="10" bestFit="1" customWidth="1"/>
    <col min="10555" max="10555" width="16.109375" style="10" customWidth="1"/>
    <col min="10556" max="10556" width="13.88671875" style="10" bestFit="1" customWidth="1"/>
    <col min="10557" max="10557" width="19.109375" style="10" bestFit="1" customWidth="1"/>
    <col min="10558" max="10558" width="14.77734375" style="10" bestFit="1" customWidth="1"/>
    <col min="10559" max="10559" width="20.88671875" style="10" customWidth="1"/>
    <col min="10560" max="10748" width="8.77734375" style="10"/>
    <col min="10749" max="10749" width="4.6640625" style="10" customWidth="1"/>
    <col min="10750" max="10750" width="58.33203125" style="10" customWidth="1"/>
    <col min="10751" max="10751" width="12.6640625" style="10" customWidth="1"/>
    <col min="10752" max="10755" width="12.6640625" style="10" bestFit="1" customWidth="1"/>
    <col min="10756" max="10756" width="11.6640625" style="10" bestFit="1" customWidth="1"/>
    <col min="10757" max="10759" width="12.6640625" style="10" bestFit="1" customWidth="1"/>
    <col min="10760" max="10760" width="12.5546875" style="10" customWidth="1"/>
    <col min="10761" max="10763" width="12.6640625" style="10" bestFit="1" customWidth="1"/>
    <col min="10764" max="10764" width="14.44140625" style="10" bestFit="1" customWidth="1"/>
    <col min="10765" max="10776" width="12.6640625" style="10" bestFit="1" customWidth="1"/>
    <col min="10777" max="10777" width="11.6640625" style="10" bestFit="1" customWidth="1"/>
    <col min="10778" max="10779" width="12.6640625" style="10" bestFit="1" customWidth="1"/>
    <col min="10780" max="10781" width="11.6640625" style="10" bestFit="1" customWidth="1"/>
    <col min="10782" max="10782" width="14.44140625" style="10" bestFit="1" customWidth="1"/>
    <col min="10783" max="10783" width="12.6640625" style="10" bestFit="1" customWidth="1"/>
    <col min="10784" max="10784" width="14.44140625" style="10" bestFit="1" customWidth="1"/>
    <col min="10785" max="10785" width="11.6640625" style="10" bestFit="1" customWidth="1"/>
    <col min="10786" max="10787" width="12.6640625" style="10" bestFit="1" customWidth="1"/>
    <col min="10788" max="10788" width="11.6640625" style="10" bestFit="1" customWidth="1"/>
    <col min="10789" max="10795" width="12.6640625" style="10" bestFit="1" customWidth="1"/>
    <col min="10796" max="10797" width="11.6640625" style="10" bestFit="1" customWidth="1"/>
    <col min="10798" max="10802" width="12.6640625" style="10" bestFit="1" customWidth="1"/>
    <col min="10803" max="10803" width="12.5546875" style="10" customWidth="1"/>
    <col min="10804" max="10804" width="15.44140625" style="10" customWidth="1"/>
    <col min="10805" max="10805" width="13.88671875" style="10" bestFit="1" customWidth="1"/>
    <col min="10806" max="10806" width="12.109375" style="10" bestFit="1" customWidth="1"/>
    <col min="10807" max="10808" width="13.88671875" style="10" bestFit="1" customWidth="1"/>
    <col min="10809" max="10809" width="12.5546875" style="10" bestFit="1" customWidth="1"/>
    <col min="10810" max="10810" width="13.88671875" style="10" bestFit="1" customWidth="1"/>
    <col min="10811" max="10811" width="16.109375" style="10" customWidth="1"/>
    <col min="10812" max="10812" width="13.88671875" style="10" bestFit="1" customWidth="1"/>
    <col min="10813" max="10813" width="19.109375" style="10" bestFit="1" customWidth="1"/>
    <col min="10814" max="10814" width="14.77734375" style="10" bestFit="1" customWidth="1"/>
    <col min="10815" max="10815" width="20.88671875" style="10" customWidth="1"/>
    <col min="10816" max="11004" width="8.77734375" style="10"/>
    <col min="11005" max="11005" width="4.6640625" style="10" customWidth="1"/>
    <col min="11006" max="11006" width="58.33203125" style="10" customWidth="1"/>
    <col min="11007" max="11007" width="12.6640625" style="10" customWidth="1"/>
    <col min="11008" max="11011" width="12.6640625" style="10" bestFit="1" customWidth="1"/>
    <col min="11012" max="11012" width="11.6640625" style="10" bestFit="1" customWidth="1"/>
    <col min="11013" max="11015" width="12.6640625" style="10" bestFit="1" customWidth="1"/>
    <col min="11016" max="11016" width="12.5546875" style="10" customWidth="1"/>
    <col min="11017" max="11019" width="12.6640625" style="10" bestFit="1" customWidth="1"/>
    <col min="11020" max="11020" width="14.44140625" style="10" bestFit="1" customWidth="1"/>
    <col min="11021" max="11032" width="12.6640625" style="10" bestFit="1" customWidth="1"/>
    <col min="11033" max="11033" width="11.6640625" style="10" bestFit="1" customWidth="1"/>
    <col min="11034" max="11035" width="12.6640625" style="10" bestFit="1" customWidth="1"/>
    <col min="11036" max="11037" width="11.6640625" style="10" bestFit="1" customWidth="1"/>
    <col min="11038" max="11038" width="14.44140625" style="10" bestFit="1" customWidth="1"/>
    <col min="11039" max="11039" width="12.6640625" style="10" bestFit="1" customWidth="1"/>
    <col min="11040" max="11040" width="14.44140625" style="10" bestFit="1" customWidth="1"/>
    <col min="11041" max="11041" width="11.6640625" style="10" bestFit="1" customWidth="1"/>
    <col min="11042" max="11043" width="12.6640625" style="10" bestFit="1" customWidth="1"/>
    <col min="11044" max="11044" width="11.6640625" style="10" bestFit="1" customWidth="1"/>
    <col min="11045" max="11051" width="12.6640625" style="10" bestFit="1" customWidth="1"/>
    <col min="11052" max="11053" width="11.6640625" style="10" bestFit="1" customWidth="1"/>
    <col min="11054" max="11058" width="12.6640625" style="10" bestFit="1" customWidth="1"/>
    <col min="11059" max="11059" width="12.5546875" style="10" customWidth="1"/>
    <col min="11060" max="11060" width="15.44140625" style="10" customWidth="1"/>
    <col min="11061" max="11061" width="13.88671875" style="10" bestFit="1" customWidth="1"/>
    <col min="11062" max="11062" width="12.109375" style="10" bestFit="1" customWidth="1"/>
    <col min="11063" max="11064" width="13.88671875" style="10" bestFit="1" customWidth="1"/>
    <col min="11065" max="11065" width="12.5546875" style="10" bestFit="1" customWidth="1"/>
    <col min="11066" max="11066" width="13.88671875" style="10" bestFit="1" customWidth="1"/>
    <col min="11067" max="11067" width="16.109375" style="10" customWidth="1"/>
    <col min="11068" max="11068" width="13.88671875" style="10" bestFit="1" customWidth="1"/>
    <col min="11069" max="11069" width="19.109375" style="10" bestFit="1" customWidth="1"/>
    <col min="11070" max="11070" width="14.77734375" style="10" bestFit="1" customWidth="1"/>
    <col min="11071" max="11071" width="20.88671875" style="10" customWidth="1"/>
    <col min="11072" max="11260" width="8.77734375" style="10"/>
    <col min="11261" max="11261" width="4.6640625" style="10" customWidth="1"/>
    <col min="11262" max="11262" width="58.33203125" style="10" customWidth="1"/>
    <col min="11263" max="11263" width="12.6640625" style="10" customWidth="1"/>
    <col min="11264" max="11267" width="12.6640625" style="10" bestFit="1" customWidth="1"/>
    <col min="11268" max="11268" width="11.6640625" style="10" bestFit="1" customWidth="1"/>
    <col min="11269" max="11271" width="12.6640625" style="10" bestFit="1" customWidth="1"/>
    <col min="11272" max="11272" width="12.5546875" style="10" customWidth="1"/>
    <col min="11273" max="11275" width="12.6640625" style="10" bestFit="1" customWidth="1"/>
    <col min="11276" max="11276" width="14.44140625" style="10" bestFit="1" customWidth="1"/>
    <col min="11277" max="11288" width="12.6640625" style="10" bestFit="1" customWidth="1"/>
    <col min="11289" max="11289" width="11.6640625" style="10" bestFit="1" customWidth="1"/>
    <col min="11290" max="11291" width="12.6640625" style="10" bestFit="1" customWidth="1"/>
    <col min="11292" max="11293" width="11.6640625" style="10" bestFit="1" customWidth="1"/>
    <col min="11294" max="11294" width="14.44140625" style="10" bestFit="1" customWidth="1"/>
    <col min="11295" max="11295" width="12.6640625" style="10" bestFit="1" customWidth="1"/>
    <col min="11296" max="11296" width="14.44140625" style="10" bestFit="1" customWidth="1"/>
    <col min="11297" max="11297" width="11.6640625" style="10" bestFit="1" customWidth="1"/>
    <col min="11298" max="11299" width="12.6640625" style="10" bestFit="1" customWidth="1"/>
    <col min="11300" max="11300" width="11.6640625" style="10" bestFit="1" customWidth="1"/>
    <col min="11301" max="11307" width="12.6640625" style="10" bestFit="1" customWidth="1"/>
    <col min="11308" max="11309" width="11.6640625" style="10" bestFit="1" customWidth="1"/>
    <col min="11310" max="11314" width="12.6640625" style="10" bestFit="1" customWidth="1"/>
    <col min="11315" max="11315" width="12.5546875" style="10" customWidth="1"/>
    <col min="11316" max="11316" width="15.44140625" style="10" customWidth="1"/>
    <col min="11317" max="11317" width="13.88671875" style="10" bestFit="1" customWidth="1"/>
    <col min="11318" max="11318" width="12.109375" style="10" bestFit="1" customWidth="1"/>
    <col min="11319" max="11320" width="13.88671875" style="10" bestFit="1" customWidth="1"/>
    <col min="11321" max="11321" width="12.5546875" style="10" bestFit="1" customWidth="1"/>
    <col min="11322" max="11322" width="13.88671875" style="10" bestFit="1" customWidth="1"/>
    <col min="11323" max="11323" width="16.109375" style="10" customWidth="1"/>
    <col min="11324" max="11324" width="13.88671875" style="10" bestFit="1" customWidth="1"/>
    <col min="11325" max="11325" width="19.109375" style="10" bestFit="1" customWidth="1"/>
    <col min="11326" max="11326" width="14.77734375" style="10" bestFit="1" customWidth="1"/>
    <col min="11327" max="11327" width="20.88671875" style="10" customWidth="1"/>
    <col min="11328" max="11516" width="8.77734375" style="10"/>
    <col min="11517" max="11517" width="4.6640625" style="10" customWidth="1"/>
    <col min="11518" max="11518" width="58.33203125" style="10" customWidth="1"/>
    <col min="11519" max="11519" width="12.6640625" style="10" customWidth="1"/>
    <col min="11520" max="11523" width="12.6640625" style="10" bestFit="1" customWidth="1"/>
    <col min="11524" max="11524" width="11.6640625" style="10" bestFit="1" customWidth="1"/>
    <col min="11525" max="11527" width="12.6640625" style="10" bestFit="1" customWidth="1"/>
    <col min="11528" max="11528" width="12.5546875" style="10" customWidth="1"/>
    <col min="11529" max="11531" width="12.6640625" style="10" bestFit="1" customWidth="1"/>
    <col min="11532" max="11532" width="14.44140625" style="10" bestFit="1" customWidth="1"/>
    <col min="11533" max="11544" width="12.6640625" style="10" bestFit="1" customWidth="1"/>
    <col min="11545" max="11545" width="11.6640625" style="10" bestFit="1" customWidth="1"/>
    <col min="11546" max="11547" width="12.6640625" style="10" bestFit="1" customWidth="1"/>
    <col min="11548" max="11549" width="11.6640625" style="10" bestFit="1" customWidth="1"/>
    <col min="11550" max="11550" width="14.44140625" style="10" bestFit="1" customWidth="1"/>
    <col min="11551" max="11551" width="12.6640625" style="10" bestFit="1" customWidth="1"/>
    <col min="11552" max="11552" width="14.44140625" style="10" bestFit="1" customWidth="1"/>
    <col min="11553" max="11553" width="11.6640625" style="10" bestFit="1" customWidth="1"/>
    <col min="11554" max="11555" width="12.6640625" style="10" bestFit="1" customWidth="1"/>
    <col min="11556" max="11556" width="11.6640625" style="10" bestFit="1" customWidth="1"/>
    <col min="11557" max="11563" width="12.6640625" style="10" bestFit="1" customWidth="1"/>
    <col min="11564" max="11565" width="11.6640625" style="10" bestFit="1" customWidth="1"/>
    <col min="11566" max="11570" width="12.6640625" style="10" bestFit="1" customWidth="1"/>
    <col min="11571" max="11571" width="12.5546875" style="10" customWidth="1"/>
    <col min="11572" max="11572" width="15.44140625" style="10" customWidth="1"/>
    <col min="11573" max="11573" width="13.88671875" style="10" bestFit="1" customWidth="1"/>
    <col min="11574" max="11574" width="12.109375" style="10" bestFit="1" customWidth="1"/>
    <col min="11575" max="11576" width="13.88671875" style="10" bestFit="1" customWidth="1"/>
    <col min="11577" max="11577" width="12.5546875" style="10" bestFit="1" customWidth="1"/>
    <col min="11578" max="11578" width="13.88671875" style="10" bestFit="1" customWidth="1"/>
    <col min="11579" max="11579" width="16.109375" style="10" customWidth="1"/>
    <col min="11580" max="11580" width="13.88671875" style="10" bestFit="1" customWidth="1"/>
    <col min="11581" max="11581" width="19.109375" style="10" bestFit="1" customWidth="1"/>
    <col min="11582" max="11582" width="14.77734375" style="10" bestFit="1" customWidth="1"/>
    <col min="11583" max="11583" width="20.88671875" style="10" customWidth="1"/>
    <col min="11584" max="11772" width="8.77734375" style="10"/>
    <col min="11773" max="11773" width="4.6640625" style="10" customWidth="1"/>
    <col min="11774" max="11774" width="58.33203125" style="10" customWidth="1"/>
    <col min="11775" max="11775" width="12.6640625" style="10" customWidth="1"/>
    <col min="11776" max="11779" width="12.6640625" style="10" bestFit="1" customWidth="1"/>
    <col min="11780" max="11780" width="11.6640625" style="10" bestFit="1" customWidth="1"/>
    <col min="11781" max="11783" width="12.6640625" style="10" bestFit="1" customWidth="1"/>
    <col min="11784" max="11784" width="12.5546875" style="10" customWidth="1"/>
    <col min="11785" max="11787" width="12.6640625" style="10" bestFit="1" customWidth="1"/>
    <col min="11788" max="11788" width="14.44140625" style="10" bestFit="1" customWidth="1"/>
    <col min="11789" max="11800" width="12.6640625" style="10" bestFit="1" customWidth="1"/>
    <col min="11801" max="11801" width="11.6640625" style="10" bestFit="1" customWidth="1"/>
    <col min="11802" max="11803" width="12.6640625" style="10" bestFit="1" customWidth="1"/>
    <col min="11804" max="11805" width="11.6640625" style="10" bestFit="1" customWidth="1"/>
    <col min="11806" max="11806" width="14.44140625" style="10" bestFit="1" customWidth="1"/>
    <col min="11807" max="11807" width="12.6640625" style="10" bestFit="1" customWidth="1"/>
    <col min="11808" max="11808" width="14.44140625" style="10" bestFit="1" customWidth="1"/>
    <col min="11809" max="11809" width="11.6640625" style="10" bestFit="1" customWidth="1"/>
    <col min="11810" max="11811" width="12.6640625" style="10" bestFit="1" customWidth="1"/>
    <col min="11812" max="11812" width="11.6640625" style="10" bestFit="1" customWidth="1"/>
    <col min="11813" max="11819" width="12.6640625" style="10" bestFit="1" customWidth="1"/>
    <col min="11820" max="11821" width="11.6640625" style="10" bestFit="1" customWidth="1"/>
    <col min="11822" max="11826" width="12.6640625" style="10" bestFit="1" customWidth="1"/>
    <col min="11827" max="11827" width="12.5546875" style="10" customWidth="1"/>
    <col min="11828" max="11828" width="15.44140625" style="10" customWidth="1"/>
    <col min="11829" max="11829" width="13.88671875" style="10" bestFit="1" customWidth="1"/>
    <col min="11830" max="11830" width="12.109375" style="10" bestFit="1" customWidth="1"/>
    <col min="11831" max="11832" width="13.88671875" style="10" bestFit="1" customWidth="1"/>
    <col min="11833" max="11833" width="12.5546875" style="10" bestFit="1" customWidth="1"/>
    <col min="11834" max="11834" width="13.88671875" style="10" bestFit="1" customWidth="1"/>
    <col min="11835" max="11835" width="16.109375" style="10" customWidth="1"/>
    <col min="11836" max="11836" width="13.88671875" style="10" bestFit="1" customWidth="1"/>
    <col min="11837" max="11837" width="19.109375" style="10" bestFit="1" customWidth="1"/>
    <col min="11838" max="11838" width="14.77734375" style="10" bestFit="1" customWidth="1"/>
    <col min="11839" max="11839" width="20.88671875" style="10" customWidth="1"/>
    <col min="11840" max="12028" width="8.77734375" style="10"/>
    <col min="12029" max="12029" width="4.6640625" style="10" customWidth="1"/>
    <col min="12030" max="12030" width="58.33203125" style="10" customWidth="1"/>
    <col min="12031" max="12031" width="12.6640625" style="10" customWidth="1"/>
    <col min="12032" max="12035" width="12.6640625" style="10" bestFit="1" customWidth="1"/>
    <col min="12036" max="12036" width="11.6640625" style="10" bestFit="1" customWidth="1"/>
    <col min="12037" max="12039" width="12.6640625" style="10" bestFit="1" customWidth="1"/>
    <col min="12040" max="12040" width="12.5546875" style="10" customWidth="1"/>
    <col min="12041" max="12043" width="12.6640625" style="10" bestFit="1" customWidth="1"/>
    <col min="12044" max="12044" width="14.44140625" style="10" bestFit="1" customWidth="1"/>
    <col min="12045" max="12056" width="12.6640625" style="10" bestFit="1" customWidth="1"/>
    <col min="12057" max="12057" width="11.6640625" style="10" bestFit="1" customWidth="1"/>
    <col min="12058" max="12059" width="12.6640625" style="10" bestFit="1" customWidth="1"/>
    <col min="12060" max="12061" width="11.6640625" style="10" bestFit="1" customWidth="1"/>
    <col min="12062" max="12062" width="14.44140625" style="10" bestFit="1" customWidth="1"/>
    <col min="12063" max="12063" width="12.6640625" style="10" bestFit="1" customWidth="1"/>
    <col min="12064" max="12064" width="14.44140625" style="10" bestFit="1" customWidth="1"/>
    <col min="12065" max="12065" width="11.6640625" style="10" bestFit="1" customWidth="1"/>
    <col min="12066" max="12067" width="12.6640625" style="10" bestFit="1" customWidth="1"/>
    <col min="12068" max="12068" width="11.6640625" style="10" bestFit="1" customWidth="1"/>
    <col min="12069" max="12075" width="12.6640625" style="10" bestFit="1" customWidth="1"/>
    <col min="12076" max="12077" width="11.6640625" style="10" bestFit="1" customWidth="1"/>
    <col min="12078" max="12082" width="12.6640625" style="10" bestFit="1" customWidth="1"/>
    <col min="12083" max="12083" width="12.5546875" style="10" customWidth="1"/>
    <col min="12084" max="12084" width="15.44140625" style="10" customWidth="1"/>
    <col min="12085" max="12085" width="13.88671875" style="10" bestFit="1" customWidth="1"/>
    <col min="12086" max="12086" width="12.109375" style="10" bestFit="1" customWidth="1"/>
    <col min="12087" max="12088" width="13.88671875" style="10" bestFit="1" customWidth="1"/>
    <col min="12089" max="12089" width="12.5546875" style="10" bestFit="1" customWidth="1"/>
    <col min="12090" max="12090" width="13.88671875" style="10" bestFit="1" customWidth="1"/>
    <col min="12091" max="12091" width="16.109375" style="10" customWidth="1"/>
    <col min="12092" max="12092" width="13.88671875" style="10" bestFit="1" customWidth="1"/>
    <col min="12093" max="12093" width="19.109375" style="10" bestFit="1" customWidth="1"/>
    <col min="12094" max="12094" width="14.77734375" style="10" bestFit="1" customWidth="1"/>
    <col min="12095" max="12095" width="20.88671875" style="10" customWidth="1"/>
    <col min="12096" max="12284" width="8.77734375" style="10"/>
    <col min="12285" max="12285" width="4.6640625" style="10" customWidth="1"/>
    <col min="12286" max="12286" width="58.33203125" style="10" customWidth="1"/>
    <col min="12287" max="12287" width="12.6640625" style="10" customWidth="1"/>
    <col min="12288" max="12291" width="12.6640625" style="10" bestFit="1" customWidth="1"/>
    <col min="12292" max="12292" width="11.6640625" style="10" bestFit="1" customWidth="1"/>
    <col min="12293" max="12295" width="12.6640625" style="10" bestFit="1" customWidth="1"/>
    <col min="12296" max="12296" width="12.5546875" style="10" customWidth="1"/>
    <col min="12297" max="12299" width="12.6640625" style="10" bestFit="1" customWidth="1"/>
    <col min="12300" max="12300" width="14.44140625" style="10" bestFit="1" customWidth="1"/>
    <col min="12301" max="12312" width="12.6640625" style="10" bestFit="1" customWidth="1"/>
    <col min="12313" max="12313" width="11.6640625" style="10" bestFit="1" customWidth="1"/>
    <col min="12314" max="12315" width="12.6640625" style="10" bestFit="1" customWidth="1"/>
    <col min="12316" max="12317" width="11.6640625" style="10" bestFit="1" customWidth="1"/>
    <col min="12318" max="12318" width="14.44140625" style="10" bestFit="1" customWidth="1"/>
    <col min="12319" max="12319" width="12.6640625" style="10" bestFit="1" customWidth="1"/>
    <col min="12320" max="12320" width="14.44140625" style="10" bestFit="1" customWidth="1"/>
    <col min="12321" max="12321" width="11.6640625" style="10" bestFit="1" customWidth="1"/>
    <col min="12322" max="12323" width="12.6640625" style="10" bestFit="1" customWidth="1"/>
    <col min="12324" max="12324" width="11.6640625" style="10" bestFit="1" customWidth="1"/>
    <col min="12325" max="12331" width="12.6640625" style="10" bestFit="1" customWidth="1"/>
    <col min="12332" max="12333" width="11.6640625" style="10" bestFit="1" customWidth="1"/>
    <col min="12334" max="12338" width="12.6640625" style="10" bestFit="1" customWidth="1"/>
    <col min="12339" max="12339" width="12.5546875" style="10" customWidth="1"/>
    <col min="12340" max="12340" width="15.44140625" style="10" customWidth="1"/>
    <col min="12341" max="12341" width="13.88671875" style="10" bestFit="1" customWidth="1"/>
    <col min="12342" max="12342" width="12.109375" style="10" bestFit="1" customWidth="1"/>
    <col min="12343" max="12344" width="13.88671875" style="10" bestFit="1" customWidth="1"/>
    <col min="12345" max="12345" width="12.5546875" style="10" bestFit="1" customWidth="1"/>
    <col min="12346" max="12346" width="13.88671875" style="10" bestFit="1" customWidth="1"/>
    <col min="12347" max="12347" width="16.109375" style="10" customWidth="1"/>
    <col min="12348" max="12348" width="13.88671875" style="10" bestFit="1" customWidth="1"/>
    <col min="12349" max="12349" width="19.109375" style="10" bestFit="1" customWidth="1"/>
    <col min="12350" max="12350" width="14.77734375" style="10" bestFit="1" customWidth="1"/>
    <col min="12351" max="12351" width="20.88671875" style="10" customWidth="1"/>
    <col min="12352" max="12540" width="8.77734375" style="10"/>
    <col min="12541" max="12541" width="4.6640625" style="10" customWidth="1"/>
    <col min="12542" max="12542" width="58.33203125" style="10" customWidth="1"/>
    <col min="12543" max="12543" width="12.6640625" style="10" customWidth="1"/>
    <col min="12544" max="12547" width="12.6640625" style="10" bestFit="1" customWidth="1"/>
    <col min="12548" max="12548" width="11.6640625" style="10" bestFit="1" customWidth="1"/>
    <col min="12549" max="12551" width="12.6640625" style="10" bestFit="1" customWidth="1"/>
    <col min="12552" max="12552" width="12.5546875" style="10" customWidth="1"/>
    <col min="12553" max="12555" width="12.6640625" style="10" bestFit="1" customWidth="1"/>
    <col min="12556" max="12556" width="14.44140625" style="10" bestFit="1" customWidth="1"/>
    <col min="12557" max="12568" width="12.6640625" style="10" bestFit="1" customWidth="1"/>
    <col min="12569" max="12569" width="11.6640625" style="10" bestFit="1" customWidth="1"/>
    <col min="12570" max="12571" width="12.6640625" style="10" bestFit="1" customWidth="1"/>
    <col min="12572" max="12573" width="11.6640625" style="10" bestFit="1" customWidth="1"/>
    <col min="12574" max="12574" width="14.44140625" style="10" bestFit="1" customWidth="1"/>
    <col min="12575" max="12575" width="12.6640625" style="10" bestFit="1" customWidth="1"/>
    <col min="12576" max="12576" width="14.44140625" style="10" bestFit="1" customWidth="1"/>
    <col min="12577" max="12577" width="11.6640625" style="10" bestFit="1" customWidth="1"/>
    <col min="12578" max="12579" width="12.6640625" style="10" bestFit="1" customWidth="1"/>
    <col min="12580" max="12580" width="11.6640625" style="10" bestFit="1" customWidth="1"/>
    <col min="12581" max="12587" width="12.6640625" style="10" bestFit="1" customWidth="1"/>
    <col min="12588" max="12589" width="11.6640625" style="10" bestFit="1" customWidth="1"/>
    <col min="12590" max="12594" width="12.6640625" style="10" bestFit="1" customWidth="1"/>
    <col min="12595" max="12595" width="12.5546875" style="10" customWidth="1"/>
    <col min="12596" max="12596" width="15.44140625" style="10" customWidth="1"/>
    <col min="12597" max="12597" width="13.88671875" style="10" bestFit="1" customWidth="1"/>
    <col min="12598" max="12598" width="12.109375" style="10" bestFit="1" customWidth="1"/>
    <col min="12599" max="12600" width="13.88671875" style="10" bestFit="1" customWidth="1"/>
    <col min="12601" max="12601" width="12.5546875" style="10" bestFit="1" customWidth="1"/>
    <col min="12602" max="12602" width="13.88671875" style="10" bestFit="1" customWidth="1"/>
    <col min="12603" max="12603" width="16.109375" style="10" customWidth="1"/>
    <col min="12604" max="12604" width="13.88671875" style="10" bestFit="1" customWidth="1"/>
    <col min="12605" max="12605" width="19.109375" style="10" bestFit="1" customWidth="1"/>
    <col min="12606" max="12606" width="14.77734375" style="10" bestFit="1" customWidth="1"/>
    <col min="12607" max="12607" width="20.88671875" style="10" customWidth="1"/>
    <col min="12608" max="12796" width="8.77734375" style="10"/>
    <col min="12797" max="12797" width="4.6640625" style="10" customWidth="1"/>
    <col min="12798" max="12798" width="58.33203125" style="10" customWidth="1"/>
    <col min="12799" max="12799" width="12.6640625" style="10" customWidth="1"/>
    <col min="12800" max="12803" width="12.6640625" style="10" bestFit="1" customWidth="1"/>
    <col min="12804" max="12804" width="11.6640625" style="10" bestFit="1" customWidth="1"/>
    <col min="12805" max="12807" width="12.6640625" style="10" bestFit="1" customWidth="1"/>
    <col min="12808" max="12808" width="12.5546875" style="10" customWidth="1"/>
    <col min="12809" max="12811" width="12.6640625" style="10" bestFit="1" customWidth="1"/>
    <col min="12812" max="12812" width="14.44140625" style="10" bestFit="1" customWidth="1"/>
    <col min="12813" max="12824" width="12.6640625" style="10" bestFit="1" customWidth="1"/>
    <col min="12825" max="12825" width="11.6640625" style="10" bestFit="1" customWidth="1"/>
    <col min="12826" max="12827" width="12.6640625" style="10" bestFit="1" customWidth="1"/>
    <col min="12828" max="12829" width="11.6640625" style="10" bestFit="1" customWidth="1"/>
    <col min="12830" max="12830" width="14.44140625" style="10" bestFit="1" customWidth="1"/>
    <col min="12831" max="12831" width="12.6640625" style="10" bestFit="1" customWidth="1"/>
    <col min="12832" max="12832" width="14.44140625" style="10" bestFit="1" customWidth="1"/>
    <col min="12833" max="12833" width="11.6640625" style="10" bestFit="1" customWidth="1"/>
    <col min="12834" max="12835" width="12.6640625" style="10" bestFit="1" customWidth="1"/>
    <col min="12836" max="12836" width="11.6640625" style="10" bestFit="1" customWidth="1"/>
    <col min="12837" max="12843" width="12.6640625" style="10" bestFit="1" customWidth="1"/>
    <col min="12844" max="12845" width="11.6640625" style="10" bestFit="1" customWidth="1"/>
    <col min="12846" max="12850" width="12.6640625" style="10" bestFit="1" customWidth="1"/>
    <col min="12851" max="12851" width="12.5546875" style="10" customWidth="1"/>
    <col min="12852" max="12852" width="15.44140625" style="10" customWidth="1"/>
    <col min="12853" max="12853" width="13.88671875" style="10" bestFit="1" customWidth="1"/>
    <col min="12854" max="12854" width="12.109375" style="10" bestFit="1" customWidth="1"/>
    <col min="12855" max="12856" width="13.88671875" style="10" bestFit="1" customWidth="1"/>
    <col min="12857" max="12857" width="12.5546875" style="10" bestFit="1" customWidth="1"/>
    <col min="12858" max="12858" width="13.88671875" style="10" bestFit="1" customWidth="1"/>
    <col min="12859" max="12859" width="16.109375" style="10" customWidth="1"/>
    <col min="12860" max="12860" width="13.88671875" style="10" bestFit="1" customWidth="1"/>
    <col min="12861" max="12861" width="19.109375" style="10" bestFit="1" customWidth="1"/>
    <col min="12862" max="12862" width="14.77734375" style="10" bestFit="1" customWidth="1"/>
    <col min="12863" max="12863" width="20.88671875" style="10" customWidth="1"/>
    <col min="12864" max="13052" width="8.77734375" style="10"/>
    <col min="13053" max="13053" width="4.6640625" style="10" customWidth="1"/>
    <col min="13054" max="13054" width="58.33203125" style="10" customWidth="1"/>
    <col min="13055" max="13055" width="12.6640625" style="10" customWidth="1"/>
    <col min="13056" max="13059" width="12.6640625" style="10" bestFit="1" customWidth="1"/>
    <col min="13060" max="13060" width="11.6640625" style="10" bestFit="1" customWidth="1"/>
    <col min="13061" max="13063" width="12.6640625" style="10" bestFit="1" customWidth="1"/>
    <col min="13064" max="13064" width="12.5546875" style="10" customWidth="1"/>
    <col min="13065" max="13067" width="12.6640625" style="10" bestFit="1" customWidth="1"/>
    <col min="13068" max="13068" width="14.44140625" style="10" bestFit="1" customWidth="1"/>
    <col min="13069" max="13080" width="12.6640625" style="10" bestFit="1" customWidth="1"/>
    <col min="13081" max="13081" width="11.6640625" style="10" bestFit="1" customWidth="1"/>
    <col min="13082" max="13083" width="12.6640625" style="10" bestFit="1" customWidth="1"/>
    <col min="13084" max="13085" width="11.6640625" style="10" bestFit="1" customWidth="1"/>
    <col min="13086" max="13086" width="14.44140625" style="10" bestFit="1" customWidth="1"/>
    <col min="13087" max="13087" width="12.6640625" style="10" bestFit="1" customWidth="1"/>
    <col min="13088" max="13088" width="14.44140625" style="10" bestFit="1" customWidth="1"/>
    <col min="13089" max="13089" width="11.6640625" style="10" bestFit="1" customWidth="1"/>
    <col min="13090" max="13091" width="12.6640625" style="10" bestFit="1" customWidth="1"/>
    <col min="13092" max="13092" width="11.6640625" style="10" bestFit="1" customWidth="1"/>
    <col min="13093" max="13099" width="12.6640625" style="10" bestFit="1" customWidth="1"/>
    <col min="13100" max="13101" width="11.6640625" style="10" bestFit="1" customWidth="1"/>
    <col min="13102" max="13106" width="12.6640625" style="10" bestFit="1" customWidth="1"/>
    <col min="13107" max="13107" width="12.5546875" style="10" customWidth="1"/>
    <col min="13108" max="13108" width="15.44140625" style="10" customWidth="1"/>
    <col min="13109" max="13109" width="13.88671875" style="10" bestFit="1" customWidth="1"/>
    <col min="13110" max="13110" width="12.109375" style="10" bestFit="1" customWidth="1"/>
    <col min="13111" max="13112" width="13.88671875" style="10" bestFit="1" customWidth="1"/>
    <col min="13113" max="13113" width="12.5546875" style="10" bestFit="1" customWidth="1"/>
    <col min="13114" max="13114" width="13.88671875" style="10" bestFit="1" customWidth="1"/>
    <col min="13115" max="13115" width="16.109375" style="10" customWidth="1"/>
    <col min="13116" max="13116" width="13.88671875" style="10" bestFit="1" customWidth="1"/>
    <col min="13117" max="13117" width="19.109375" style="10" bestFit="1" customWidth="1"/>
    <col min="13118" max="13118" width="14.77734375" style="10" bestFit="1" customWidth="1"/>
    <col min="13119" max="13119" width="20.88671875" style="10" customWidth="1"/>
    <col min="13120" max="13308" width="8.77734375" style="10"/>
    <col min="13309" max="13309" width="4.6640625" style="10" customWidth="1"/>
    <col min="13310" max="13310" width="58.33203125" style="10" customWidth="1"/>
    <col min="13311" max="13311" width="12.6640625" style="10" customWidth="1"/>
    <col min="13312" max="13315" width="12.6640625" style="10" bestFit="1" customWidth="1"/>
    <col min="13316" max="13316" width="11.6640625" style="10" bestFit="1" customWidth="1"/>
    <col min="13317" max="13319" width="12.6640625" style="10" bestFit="1" customWidth="1"/>
    <col min="13320" max="13320" width="12.5546875" style="10" customWidth="1"/>
    <col min="13321" max="13323" width="12.6640625" style="10" bestFit="1" customWidth="1"/>
    <col min="13324" max="13324" width="14.44140625" style="10" bestFit="1" customWidth="1"/>
    <col min="13325" max="13336" width="12.6640625" style="10" bestFit="1" customWidth="1"/>
    <col min="13337" max="13337" width="11.6640625" style="10" bestFit="1" customWidth="1"/>
    <col min="13338" max="13339" width="12.6640625" style="10" bestFit="1" customWidth="1"/>
    <col min="13340" max="13341" width="11.6640625" style="10" bestFit="1" customWidth="1"/>
    <col min="13342" max="13342" width="14.44140625" style="10" bestFit="1" customWidth="1"/>
    <col min="13343" max="13343" width="12.6640625" style="10" bestFit="1" customWidth="1"/>
    <col min="13344" max="13344" width="14.44140625" style="10" bestFit="1" customWidth="1"/>
    <col min="13345" max="13345" width="11.6640625" style="10" bestFit="1" customWidth="1"/>
    <col min="13346" max="13347" width="12.6640625" style="10" bestFit="1" customWidth="1"/>
    <col min="13348" max="13348" width="11.6640625" style="10" bestFit="1" customWidth="1"/>
    <col min="13349" max="13355" width="12.6640625" style="10" bestFit="1" customWidth="1"/>
    <col min="13356" max="13357" width="11.6640625" style="10" bestFit="1" customWidth="1"/>
    <col min="13358" max="13362" width="12.6640625" style="10" bestFit="1" customWidth="1"/>
    <col min="13363" max="13363" width="12.5546875" style="10" customWidth="1"/>
    <col min="13364" max="13364" width="15.44140625" style="10" customWidth="1"/>
    <col min="13365" max="13365" width="13.88671875" style="10" bestFit="1" customWidth="1"/>
    <col min="13366" max="13366" width="12.109375" style="10" bestFit="1" customWidth="1"/>
    <col min="13367" max="13368" width="13.88671875" style="10" bestFit="1" customWidth="1"/>
    <col min="13369" max="13369" width="12.5546875" style="10" bestFit="1" customWidth="1"/>
    <col min="13370" max="13370" width="13.88671875" style="10" bestFit="1" customWidth="1"/>
    <col min="13371" max="13371" width="16.109375" style="10" customWidth="1"/>
    <col min="13372" max="13372" width="13.88671875" style="10" bestFit="1" customWidth="1"/>
    <col min="13373" max="13373" width="19.109375" style="10" bestFit="1" customWidth="1"/>
    <col min="13374" max="13374" width="14.77734375" style="10" bestFit="1" customWidth="1"/>
    <col min="13375" max="13375" width="20.88671875" style="10" customWidth="1"/>
    <col min="13376" max="13564" width="8.77734375" style="10"/>
    <col min="13565" max="13565" width="4.6640625" style="10" customWidth="1"/>
    <col min="13566" max="13566" width="58.33203125" style="10" customWidth="1"/>
    <col min="13567" max="13567" width="12.6640625" style="10" customWidth="1"/>
    <col min="13568" max="13571" width="12.6640625" style="10" bestFit="1" customWidth="1"/>
    <col min="13572" max="13572" width="11.6640625" style="10" bestFit="1" customWidth="1"/>
    <col min="13573" max="13575" width="12.6640625" style="10" bestFit="1" customWidth="1"/>
    <col min="13576" max="13576" width="12.5546875" style="10" customWidth="1"/>
    <col min="13577" max="13579" width="12.6640625" style="10" bestFit="1" customWidth="1"/>
    <col min="13580" max="13580" width="14.44140625" style="10" bestFit="1" customWidth="1"/>
    <col min="13581" max="13592" width="12.6640625" style="10" bestFit="1" customWidth="1"/>
    <col min="13593" max="13593" width="11.6640625" style="10" bestFit="1" customWidth="1"/>
    <col min="13594" max="13595" width="12.6640625" style="10" bestFit="1" customWidth="1"/>
    <col min="13596" max="13597" width="11.6640625" style="10" bestFit="1" customWidth="1"/>
    <col min="13598" max="13598" width="14.44140625" style="10" bestFit="1" customWidth="1"/>
    <col min="13599" max="13599" width="12.6640625" style="10" bestFit="1" customWidth="1"/>
    <col min="13600" max="13600" width="14.44140625" style="10" bestFit="1" customWidth="1"/>
    <col min="13601" max="13601" width="11.6640625" style="10" bestFit="1" customWidth="1"/>
    <col min="13602" max="13603" width="12.6640625" style="10" bestFit="1" customWidth="1"/>
    <col min="13604" max="13604" width="11.6640625" style="10" bestFit="1" customWidth="1"/>
    <col min="13605" max="13611" width="12.6640625" style="10" bestFit="1" customWidth="1"/>
    <col min="13612" max="13613" width="11.6640625" style="10" bestFit="1" customWidth="1"/>
    <col min="13614" max="13618" width="12.6640625" style="10" bestFit="1" customWidth="1"/>
    <col min="13619" max="13619" width="12.5546875" style="10" customWidth="1"/>
    <col min="13620" max="13620" width="15.44140625" style="10" customWidth="1"/>
    <col min="13621" max="13621" width="13.88671875" style="10" bestFit="1" customWidth="1"/>
    <col min="13622" max="13622" width="12.109375" style="10" bestFit="1" customWidth="1"/>
    <col min="13623" max="13624" width="13.88671875" style="10" bestFit="1" customWidth="1"/>
    <col min="13625" max="13625" width="12.5546875" style="10" bestFit="1" customWidth="1"/>
    <col min="13626" max="13626" width="13.88671875" style="10" bestFit="1" customWidth="1"/>
    <col min="13627" max="13627" width="16.109375" style="10" customWidth="1"/>
    <col min="13628" max="13628" width="13.88671875" style="10" bestFit="1" customWidth="1"/>
    <col min="13629" max="13629" width="19.109375" style="10" bestFit="1" customWidth="1"/>
    <col min="13630" max="13630" width="14.77734375" style="10" bestFit="1" customWidth="1"/>
    <col min="13631" max="13631" width="20.88671875" style="10" customWidth="1"/>
    <col min="13632" max="13820" width="8.77734375" style="10"/>
    <col min="13821" max="13821" width="4.6640625" style="10" customWidth="1"/>
    <col min="13822" max="13822" width="58.33203125" style="10" customWidth="1"/>
    <col min="13823" max="13823" width="12.6640625" style="10" customWidth="1"/>
    <col min="13824" max="13827" width="12.6640625" style="10" bestFit="1" customWidth="1"/>
    <col min="13828" max="13828" width="11.6640625" style="10" bestFit="1" customWidth="1"/>
    <col min="13829" max="13831" width="12.6640625" style="10" bestFit="1" customWidth="1"/>
    <col min="13832" max="13832" width="12.5546875" style="10" customWidth="1"/>
    <col min="13833" max="13835" width="12.6640625" style="10" bestFit="1" customWidth="1"/>
    <col min="13836" max="13836" width="14.44140625" style="10" bestFit="1" customWidth="1"/>
    <col min="13837" max="13848" width="12.6640625" style="10" bestFit="1" customWidth="1"/>
    <col min="13849" max="13849" width="11.6640625" style="10" bestFit="1" customWidth="1"/>
    <col min="13850" max="13851" width="12.6640625" style="10" bestFit="1" customWidth="1"/>
    <col min="13852" max="13853" width="11.6640625" style="10" bestFit="1" customWidth="1"/>
    <col min="13854" max="13854" width="14.44140625" style="10" bestFit="1" customWidth="1"/>
    <col min="13855" max="13855" width="12.6640625" style="10" bestFit="1" customWidth="1"/>
    <col min="13856" max="13856" width="14.44140625" style="10" bestFit="1" customWidth="1"/>
    <col min="13857" max="13857" width="11.6640625" style="10" bestFit="1" customWidth="1"/>
    <col min="13858" max="13859" width="12.6640625" style="10" bestFit="1" customWidth="1"/>
    <col min="13860" max="13860" width="11.6640625" style="10" bestFit="1" customWidth="1"/>
    <col min="13861" max="13867" width="12.6640625" style="10" bestFit="1" customWidth="1"/>
    <col min="13868" max="13869" width="11.6640625" style="10" bestFit="1" customWidth="1"/>
    <col min="13870" max="13874" width="12.6640625" style="10" bestFit="1" customWidth="1"/>
    <col min="13875" max="13875" width="12.5546875" style="10" customWidth="1"/>
    <col min="13876" max="13876" width="15.44140625" style="10" customWidth="1"/>
    <col min="13877" max="13877" width="13.88671875" style="10" bestFit="1" customWidth="1"/>
    <col min="13878" max="13878" width="12.109375" style="10" bestFit="1" customWidth="1"/>
    <col min="13879" max="13880" width="13.88671875" style="10" bestFit="1" customWidth="1"/>
    <col min="13881" max="13881" width="12.5546875" style="10" bestFit="1" customWidth="1"/>
    <col min="13882" max="13882" width="13.88671875" style="10" bestFit="1" customWidth="1"/>
    <col min="13883" max="13883" width="16.109375" style="10" customWidth="1"/>
    <col min="13884" max="13884" width="13.88671875" style="10" bestFit="1" customWidth="1"/>
    <col min="13885" max="13885" width="19.109375" style="10" bestFit="1" customWidth="1"/>
    <col min="13886" max="13886" width="14.77734375" style="10" bestFit="1" customWidth="1"/>
    <col min="13887" max="13887" width="20.88671875" style="10" customWidth="1"/>
    <col min="13888" max="14076" width="8.77734375" style="10"/>
    <col min="14077" max="14077" width="4.6640625" style="10" customWidth="1"/>
    <col min="14078" max="14078" width="58.33203125" style="10" customWidth="1"/>
    <col min="14079" max="14079" width="12.6640625" style="10" customWidth="1"/>
    <col min="14080" max="14083" width="12.6640625" style="10" bestFit="1" customWidth="1"/>
    <col min="14084" max="14084" width="11.6640625" style="10" bestFit="1" customWidth="1"/>
    <col min="14085" max="14087" width="12.6640625" style="10" bestFit="1" customWidth="1"/>
    <col min="14088" max="14088" width="12.5546875" style="10" customWidth="1"/>
    <col min="14089" max="14091" width="12.6640625" style="10" bestFit="1" customWidth="1"/>
    <col min="14092" max="14092" width="14.44140625" style="10" bestFit="1" customWidth="1"/>
    <col min="14093" max="14104" width="12.6640625" style="10" bestFit="1" customWidth="1"/>
    <col min="14105" max="14105" width="11.6640625" style="10" bestFit="1" customWidth="1"/>
    <col min="14106" max="14107" width="12.6640625" style="10" bestFit="1" customWidth="1"/>
    <col min="14108" max="14109" width="11.6640625" style="10" bestFit="1" customWidth="1"/>
    <col min="14110" max="14110" width="14.44140625" style="10" bestFit="1" customWidth="1"/>
    <col min="14111" max="14111" width="12.6640625" style="10" bestFit="1" customWidth="1"/>
    <col min="14112" max="14112" width="14.44140625" style="10" bestFit="1" customWidth="1"/>
    <col min="14113" max="14113" width="11.6640625" style="10" bestFit="1" customWidth="1"/>
    <col min="14114" max="14115" width="12.6640625" style="10" bestFit="1" customWidth="1"/>
    <col min="14116" max="14116" width="11.6640625" style="10" bestFit="1" customWidth="1"/>
    <col min="14117" max="14123" width="12.6640625" style="10" bestFit="1" customWidth="1"/>
    <col min="14124" max="14125" width="11.6640625" style="10" bestFit="1" customWidth="1"/>
    <col min="14126" max="14130" width="12.6640625" style="10" bestFit="1" customWidth="1"/>
    <col min="14131" max="14131" width="12.5546875" style="10" customWidth="1"/>
    <col min="14132" max="14132" width="15.44140625" style="10" customWidth="1"/>
    <col min="14133" max="14133" width="13.88671875" style="10" bestFit="1" customWidth="1"/>
    <col min="14134" max="14134" width="12.109375" style="10" bestFit="1" customWidth="1"/>
    <col min="14135" max="14136" width="13.88671875" style="10" bestFit="1" customWidth="1"/>
    <col min="14137" max="14137" width="12.5546875" style="10" bestFit="1" customWidth="1"/>
    <col min="14138" max="14138" width="13.88671875" style="10" bestFit="1" customWidth="1"/>
    <col min="14139" max="14139" width="16.109375" style="10" customWidth="1"/>
    <col min="14140" max="14140" width="13.88671875" style="10" bestFit="1" customWidth="1"/>
    <col min="14141" max="14141" width="19.109375" style="10" bestFit="1" customWidth="1"/>
    <col min="14142" max="14142" width="14.77734375" style="10" bestFit="1" customWidth="1"/>
    <col min="14143" max="14143" width="20.88671875" style="10" customWidth="1"/>
    <col min="14144" max="14332" width="8.77734375" style="10"/>
    <col min="14333" max="14333" width="4.6640625" style="10" customWidth="1"/>
    <col min="14334" max="14334" width="58.33203125" style="10" customWidth="1"/>
    <col min="14335" max="14335" width="12.6640625" style="10" customWidth="1"/>
    <col min="14336" max="14339" width="12.6640625" style="10" bestFit="1" customWidth="1"/>
    <col min="14340" max="14340" width="11.6640625" style="10" bestFit="1" customWidth="1"/>
    <col min="14341" max="14343" width="12.6640625" style="10" bestFit="1" customWidth="1"/>
    <col min="14344" max="14344" width="12.5546875" style="10" customWidth="1"/>
    <col min="14345" max="14347" width="12.6640625" style="10" bestFit="1" customWidth="1"/>
    <col min="14348" max="14348" width="14.44140625" style="10" bestFit="1" customWidth="1"/>
    <col min="14349" max="14360" width="12.6640625" style="10" bestFit="1" customWidth="1"/>
    <col min="14361" max="14361" width="11.6640625" style="10" bestFit="1" customWidth="1"/>
    <col min="14362" max="14363" width="12.6640625" style="10" bestFit="1" customWidth="1"/>
    <col min="14364" max="14365" width="11.6640625" style="10" bestFit="1" customWidth="1"/>
    <col min="14366" max="14366" width="14.44140625" style="10" bestFit="1" customWidth="1"/>
    <col min="14367" max="14367" width="12.6640625" style="10" bestFit="1" customWidth="1"/>
    <col min="14368" max="14368" width="14.44140625" style="10" bestFit="1" customWidth="1"/>
    <col min="14369" max="14369" width="11.6640625" style="10" bestFit="1" customWidth="1"/>
    <col min="14370" max="14371" width="12.6640625" style="10" bestFit="1" customWidth="1"/>
    <col min="14372" max="14372" width="11.6640625" style="10" bestFit="1" customWidth="1"/>
    <col min="14373" max="14379" width="12.6640625" style="10" bestFit="1" customWidth="1"/>
    <col min="14380" max="14381" width="11.6640625" style="10" bestFit="1" customWidth="1"/>
    <col min="14382" max="14386" width="12.6640625" style="10" bestFit="1" customWidth="1"/>
    <col min="14387" max="14387" width="12.5546875" style="10" customWidth="1"/>
    <col min="14388" max="14388" width="15.44140625" style="10" customWidth="1"/>
    <col min="14389" max="14389" width="13.88671875" style="10" bestFit="1" customWidth="1"/>
    <col min="14390" max="14390" width="12.109375" style="10" bestFit="1" customWidth="1"/>
    <col min="14391" max="14392" width="13.88671875" style="10" bestFit="1" customWidth="1"/>
    <col min="14393" max="14393" width="12.5546875" style="10" bestFit="1" customWidth="1"/>
    <col min="14394" max="14394" width="13.88671875" style="10" bestFit="1" customWidth="1"/>
    <col min="14395" max="14395" width="16.109375" style="10" customWidth="1"/>
    <col min="14396" max="14396" width="13.88671875" style="10" bestFit="1" customWidth="1"/>
    <col min="14397" max="14397" width="19.109375" style="10" bestFit="1" customWidth="1"/>
    <col min="14398" max="14398" width="14.77734375" style="10" bestFit="1" customWidth="1"/>
    <col min="14399" max="14399" width="20.88671875" style="10" customWidth="1"/>
    <col min="14400" max="14588" width="8.77734375" style="10"/>
    <col min="14589" max="14589" width="4.6640625" style="10" customWidth="1"/>
    <col min="14590" max="14590" width="58.33203125" style="10" customWidth="1"/>
    <col min="14591" max="14591" width="12.6640625" style="10" customWidth="1"/>
    <col min="14592" max="14595" width="12.6640625" style="10" bestFit="1" customWidth="1"/>
    <col min="14596" max="14596" width="11.6640625" style="10" bestFit="1" customWidth="1"/>
    <col min="14597" max="14599" width="12.6640625" style="10" bestFit="1" customWidth="1"/>
    <col min="14600" max="14600" width="12.5546875" style="10" customWidth="1"/>
    <col min="14601" max="14603" width="12.6640625" style="10" bestFit="1" customWidth="1"/>
    <col min="14604" max="14604" width="14.44140625" style="10" bestFit="1" customWidth="1"/>
    <col min="14605" max="14616" width="12.6640625" style="10" bestFit="1" customWidth="1"/>
    <col min="14617" max="14617" width="11.6640625" style="10" bestFit="1" customWidth="1"/>
    <col min="14618" max="14619" width="12.6640625" style="10" bestFit="1" customWidth="1"/>
    <col min="14620" max="14621" width="11.6640625" style="10" bestFit="1" customWidth="1"/>
    <col min="14622" max="14622" width="14.44140625" style="10" bestFit="1" customWidth="1"/>
    <col min="14623" max="14623" width="12.6640625" style="10" bestFit="1" customWidth="1"/>
    <col min="14624" max="14624" width="14.44140625" style="10" bestFit="1" customWidth="1"/>
    <col min="14625" max="14625" width="11.6640625" style="10" bestFit="1" customWidth="1"/>
    <col min="14626" max="14627" width="12.6640625" style="10" bestFit="1" customWidth="1"/>
    <col min="14628" max="14628" width="11.6640625" style="10" bestFit="1" customWidth="1"/>
    <col min="14629" max="14635" width="12.6640625" style="10" bestFit="1" customWidth="1"/>
    <col min="14636" max="14637" width="11.6640625" style="10" bestFit="1" customWidth="1"/>
    <col min="14638" max="14642" width="12.6640625" style="10" bestFit="1" customWidth="1"/>
    <col min="14643" max="14643" width="12.5546875" style="10" customWidth="1"/>
    <col min="14644" max="14644" width="15.44140625" style="10" customWidth="1"/>
    <col min="14645" max="14645" width="13.88671875" style="10" bestFit="1" customWidth="1"/>
    <col min="14646" max="14646" width="12.109375" style="10" bestFit="1" customWidth="1"/>
    <col min="14647" max="14648" width="13.88671875" style="10" bestFit="1" customWidth="1"/>
    <col min="14649" max="14649" width="12.5546875" style="10" bestFit="1" customWidth="1"/>
    <col min="14650" max="14650" width="13.88671875" style="10" bestFit="1" customWidth="1"/>
    <col min="14651" max="14651" width="16.109375" style="10" customWidth="1"/>
    <col min="14652" max="14652" width="13.88671875" style="10" bestFit="1" customWidth="1"/>
    <col min="14653" max="14653" width="19.109375" style="10" bestFit="1" customWidth="1"/>
    <col min="14654" max="14654" width="14.77734375" style="10" bestFit="1" customWidth="1"/>
    <col min="14655" max="14655" width="20.88671875" style="10" customWidth="1"/>
    <col min="14656" max="14844" width="8.77734375" style="10"/>
    <col min="14845" max="14845" width="4.6640625" style="10" customWidth="1"/>
    <col min="14846" max="14846" width="58.33203125" style="10" customWidth="1"/>
    <col min="14847" max="14847" width="12.6640625" style="10" customWidth="1"/>
    <col min="14848" max="14851" width="12.6640625" style="10" bestFit="1" customWidth="1"/>
    <col min="14852" max="14852" width="11.6640625" style="10" bestFit="1" customWidth="1"/>
    <col min="14853" max="14855" width="12.6640625" style="10" bestFit="1" customWidth="1"/>
    <col min="14856" max="14856" width="12.5546875" style="10" customWidth="1"/>
    <col min="14857" max="14859" width="12.6640625" style="10" bestFit="1" customWidth="1"/>
    <col min="14860" max="14860" width="14.44140625" style="10" bestFit="1" customWidth="1"/>
    <col min="14861" max="14872" width="12.6640625" style="10" bestFit="1" customWidth="1"/>
    <col min="14873" max="14873" width="11.6640625" style="10" bestFit="1" customWidth="1"/>
    <col min="14874" max="14875" width="12.6640625" style="10" bestFit="1" customWidth="1"/>
    <col min="14876" max="14877" width="11.6640625" style="10" bestFit="1" customWidth="1"/>
    <col min="14878" max="14878" width="14.44140625" style="10" bestFit="1" customWidth="1"/>
    <col min="14879" max="14879" width="12.6640625" style="10" bestFit="1" customWidth="1"/>
    <col min="14880" max="14880" width="14.44140625" style="10" bestFit="1" customWidth="1"/>
    <col min="14881" max="14881" width="11.6640625" style="10" bestFit="1" customWidth="1"/>
    <col min="14882" max="14883" width="12.6640625" style="10" bestFit="1" customWidth="1"/>
    <col min="14884" max="14884" width="11.6640625" style="10" bestFit="1" customWidth="1"/>
    <col min="14885" max="14891" width="12.6640625" style="10" bestFit="1" customWidth="1"/>
    <col min="14892" max="14893" width="11.6640625" style="10" bestFit="1" customWidth="1"/>
    <col min="14894" max="14898" width="12.6640625" style="10" bestFit="1" customWidth="1"/>
    <col min="14899" max="14899" width="12.5546875" style="10" customWidth="1"/>
    <col min="14900" max="14900" width="15.44140625" style="10" customWidth="1"/>
    <col min="14901" max="14901" width="13.88671875" style="10" bestFit="1" customWidth="1"/>
    <col min="14902" max="14902" width="12.109375" style="10" bestFit="1" customWidth="1"/>
    <col min="14903" max="14904" width="13.88671875" style="10" bestFit="1" customWidth="1"/>
    <col min="14905" max="14905" width="12.5546875" style="10" bestFit="1" customWidth="1"/>
    <col min="14906" max="14906" width="13.88671875" style="10" bestFit="1" customWidth="1"/>
    <col min="14907" max="14907" width="16.109375" style="10" customWidth="1"/>
    <col min="14908" max="14908" width="13.88671875" style="10" bestFit="1" customWidth="1"/>
    <col min="14909" max="14909" width="19.109375" style="10" bestFit="1" customWidth="1"/>
    <col min="14910" max="14910" width="14.77734375" style="10" bestFit="1" customWidth="1"/>
    <col min="14911" max="14911" width="20.88671875" style="10" customWidth="1"/>
    <col min="14912" max="15100" width="8.77734375" style="10"/>
    <col min="15101" max="15101" width="4.6640625" style="10" customWidth="1"/>
    <col min="15102" max="15102" width="58.33203125" style="10" customWidth="1"/>
    <col min="15103" max="15103" width="12.6640625" style="10" customWidth="1"/>
    <col min="15104" max="15107" width="12.6640625" style="10" bestFit="1" customWidth="1"/>
    <col min="15108" max="15108" width="11.6640625" style="10" bestFit="1" customWidth="1"/>
    <col min="15109" max="15111" width="12.6640625" style="10" bestFit="1" customWidth="1"/>
    <col min="15112" max="15112" width="12.5546875" style="10" customWidth="1"/>
    <col min="15113" max="15115" width="12.6640625" style="10" bestFit="1" customWidth="1"/>
    <col min="15116" max="15116" width="14.44140625" style="10" bestFit="1" customWidth="1"/>
    <col min="15117" max="15128" width="12.6640625" style="10" bestFit="1" customWidth="1"/>
    <col min="15129" max="15129" width="11.6640625" style="10" bestFit="1" customWidth="1"/>
    <col min="15130" max="15131" width="12.6640625" style="10" bestFit="1" customWidth="1"/>
    <col min="15132" max="15133" width="11.6640625" style="10" bestFit="1" customWidth="1"/>
    <col min="15134" max="15134" width="14.44140625" style="10" bestFit="1" customWidth="1"/>
    <col min="15135" max="15135" width="12.6640625" style="10" bestFit="1" customWidth="1"/>
    <col min="15136" max="15136" width="14.44140625" style="10" bestFit="1" customWidth="1"/>
    <col min="15137" max="15137" width="11.6640625" style="10" bestFit="1" customWidth="1"/>
    <col min="15138" max="15139" width="12.6640625" style="10" bestFit="1" customWidth="1"/>
    <col min="15140" max="15140" width="11.6640625" style="10" bestFit="1" customWidth="1"/>
    <col min="15141" max="15147" width="12.6640625" style="10" bestFit="1" customWidth="1"/>
    <col min="15148" max="15149" width="11.6640625" style="10" bestFit="1" customWidth="1"/>
    <col min="15150" max="15154" width="12.6640625" style="10" bestFit="1" customWidth="1"/>
    <col min="15155" max="15155" width="12.5546875" style="10" customWidth="1"/>
    <col min="15156" max="15156" width="15.44140625" style="10" customWidth="1"/>
    <col min="15157" max="15157" width="13.88671875" style="10" bestFit="1" customWidth="1"/>
    <col min="15158" max="15158" width="12.109375" style="10" bestFit="1" customWidth="1"/>
    <col min="15159" max="15160" width="13.88671875" style="10" bestFit="1" customWidth="1"/>
    <col min="15161" max="15161" width="12.5546875" style="10" bestFit="1" customWidth="1"/>
    <col min="15162" max="15162" width="13.88671875" style="10" bestFit="1" customWidth="1"/>
    <col min="15163" max="15163" width="16.109375" style="10" customWidth="1"/>
    <col min="15164" max="15164" width="13.88671875" style="10" bestFit="1" customWidth="1"/>
    <col min="15165" max="15165" width="19.109375" style="10" bestFit="1" customWidth="1"/>
    <col min="15166" max="15166" width="14.77734375" style="10" bestFit="1" customWidth="1"/>
    <col min="15167" max="15167" width="20.88671875" style="10" customWidth="1"/>
    <col min="15168" max="15356" width="8.77734375" style="10"/>
    <col min="15357" max="15357" width="4.6640625" style="10" customWidth="1"/>
    <col min="15358" max="15358" width="58.33203125" style="10" customWidth="1"/>
    <col min="15359" max="15359" width="12.6640625" style="10" customWidth="1"/>
    <col min="15360" max="15363" width="12.6640625" style="10" bestFit="1" customWidth="1"/>
    <col min="15364" max="15364" width="11.6640625" style="10" bestFit="1" customWidth="1"/>
    <col min="15365" max="15367" width="12.6640625" style="10" bestFit="1" customWidth="1"/>
    <col min="15368" max="15368" width="12.5546875" style="10" customWidth="1"/>
    <col min="15369" max="15371" width="12.6640625" style="10" bestFit="1" customWidth="1"/>
    <col min="15372" max="15372" width="14.44140625" style="10" bestFit="1" customWidth="1"/>
    <col min="15373" max="15384" width="12.6640625" style="10" bestFit="1" customWidth="1"/>
    <col min="15385" max="15385" width="11.6640625" style="10" bestFit="1" customWidth="1"/>
    <col min="15386" max="15387" width="12.6640625" style="10" bestFit="1" customWidth="1"/>
    <col min="15388" max="15389" width="11.6640625" style="10" bestFit="1" customWidth="1"/>
    <col min="15390" max="15390" width="14.44140625" style="10" bestFit="1" customWidth="1"/>
    <col min="15391" max="15391" width="12.6640625" style="10" bestFit="1" customWidth="1"/>
    <col min="15392" max="15392" width="14.44140625" style="10" bestFit="1" customWidth="1"/>
    <col min="15393" max="15393" width="11.6640625" style="10" bestFit="1" customWidth="1"/>
    <col min="15394" max="15395" width="12.6640625" style="10" bestFit="1" customWidth="1"/>
    <col min="15396" max="15396" width="11.6640625" style="10" bestFit="1" customWidth="1"/>
    <col min="15397" max="15403" width="12.6640625" style="10" bestFit="1" customWidth="1"/>
    <col min="15404" max="15405" width="11.6640625" style="10" bestFit="1" customWidth="1"/>
    <col min="15406" max="15410" width="12.6640625" style="10" bestFit="1" customWidth="1"/>
    <col min="15411" max="15411" width="12.5546875" style="10" customWidth="1"/>
    <col min="15412" max="15412" width="15.44140625" style="10" customWidth="1"/>
    <col min="15413" max="15413" width="13.88671875" style="10" bestFit="1" customWidth="1"/>
    <col min="15414" max="15414" width="12.109375" style="10" bestFit="1" customWidth="1"/>
    <col min="15415" max="15416" width="13.88671875" style="10" bestFit="1" customWidth="1"/>
    <col min="15417" max="15417" width="12.5546875" style="10" bestFit="1" customWidth="1"/>
    <col min="15418" max="15418" width="13.88671875" style="10" bestFit="1" customWidth="1"/>
    <col min="15419" max="15419" width="16.109375" style="10" customWidth="1"/>
    <col min="15420" max="15420" width="13.88671875" style="10" bestFit="1" customWidth="1"/>
    <col min="15421" max="15421" width="19.109375" style="10" bestFit="1" customWidth="1"/>
    <col min="15422" max="15422" width="14.77734375" style="10" bestFit="1" customWidth="1"/>
    <col min="15423" max="15423" width="20.88671875" style="10" customWidth="1"/>
    <col min="15424" max="15612" width="8.77734375" style="10"/>
    <col min="15613" max="15613" width="4.6640625" style="10" customWidth="1"/>
    <col min="15614" max="15614" width="58.33203125" style="10" customWidth="1"/>
    <col min="15615" max="15615" width="12.6640625" style="10" customWidth="1"/>
    <col min="15616" max="15619" width="12.6640625" style="10" bestFit="1" customWidth="1"/>
    <col min="15620" max="15620" width="11.6640625" style="10" bestFit="1" customWidth="1"/>
    <col min="15621" max="15623" width="12.6640625" style="10" bestFit="1" customWidth="1"/>
    <col min="15624" max="15624" width="12.5546875" style="10" customWidth="1"/>
    <col min="15625" max="15627" width="12.6640625" style="10" bestFit="1" customWidth="1"/>
    <col min="15628" max="15628" width="14.44140625" style="10" bestFit="1" customWidth="1"/>
    <col min="15629" max="15640" width="12.6640625" style="10" bestFit="1" customWidth="1"/>
    <col min="15641" max="15641" width="11.6640625" style="10" bestFit="1" customWidth="1"/>
    <col min="15642" max="15643" width="12.6640625" style="10" bestFit="1" customWidth="1"/>
    <col min="15644" max="15645" width="11.6640625" style="10" bestFit="1" customWidth="1"/>
    <col min="15646" max="15646" width="14.44140625" style="10" bestFit="1" customWidth="1"/>
    <col min="15647" max="15647" width="12.6640625" style="10" bestFit="1" customWidth="1"/>
    <col min="15648" max="15648" width="14.44140625" style="10" bestFit="1" customWidth="1"/>
    <col min="15649" max="15649" width="11.6640625" style="10" bestFit="1" customWidth="1"/>
    <col min="15650" max="15651" width="12.6640625" style="10" bestFit="1" customWidth="1"/>
    <col min="15652" max="15652" width="11.6640625" style="10" bestFit="1" customWidth="1"/>
    <col min="15653" max="15659" width="12.6640625" style="10" bestFit="1" customWidth="1"/>
    <col min="15660" max="15661" width="11.6640625" style="10" bestFit="1" customWidth="1"/>
    <col min="15662" max="15666" width="12.6640625" style="10" bestFit="1" customWidth="1"/>
    <col min="15667" max="15667" width="12.5546875" style="10" customWidth="1"/>
    <col min="15668" max="15668" width="15.44140625" style="10" customWidth="1"/>
    <col min="15669" max="15669" width="13.88671875" style="10" bestFit="1" customWidth="1"/>
    <col min="15670" max="15670" width="12.109375" style="10" bestFit="1" customWidth="1"/>
    <col min="15671" max="15672" width="13.88671875" style="10" bestFit="1" customWidth="1"/>
    <col min="15673" max="15673" width="12.5546875" style="10" bestFit="1" customWidth="1"/>
    <col min="15674" max="15674" width="13.88671875" style="10" bestFit="1" customWidth="1"/>
    <col min="15675" max="15675" width="16.109375" style="10" customWidth="1"/>
    <col min="15676" max="15676" width="13.88671875" style="10" bestFit="1" customWidth="1"/>
    <col min="15677" max="15677" width="19.109375" style="10" bestFit="1" customWidth="1"/>
    <col min="15678" max="15678" width="14.77734375" style="10" bestFit="1" customWidth="1"/>
    <col min="15679" max="15679" width="20.88671875" style="10" customWidth="1"/>
    <col min="15680" max="15868" width="8.77734375" style="10"/>
    <col min="15869" max="15869" width="4.6640625" style="10" customWidth="1"/>
    <col min="15870" max="15870" width="58.33203125" style="10" customWidth="1"/>
    <col min="15871" max="15871" width="12.6640625" style="10" customWidth="1"/>
    <col min="15872" max="15875" width="12.6640625" style="10" bestFit="1" customWidth="1"/>
    <col min="15876" max="15876" width="11.6640625" style="10" bestFit="1" customWidth="1"/>
    <col min="15877" max="15879" width="12.6640625" style="10" bestFit="1" customWidth="1"/>
    <col min="15880" max="15880" width="12.5546875" style="10" customWidth="1"/>
    <col min="15881" max="15883" width="12.6640625" style="10" bestFit="1" customWidth="1"/>
    <col min="15884" max="15884" width="14.44140625" style="10" bestFit="1" customWidth="1"/>
    <col min="15885" max="15896" width="12.6640625" style="10" bestFit="1" customWidth="1"/>
    <col min="15897" max="15897" width="11.6640625" style="10" bestFit="1" customWidth="1"/>
    <col min="15898" max="15899" width="12.6640625" style="10" bestFit="1" customWidth="1"/>
    <col min="15900" max="15901" width="11.6640625" style="10" bestFit="1" customWidth="1"/>
    <col min="15902" max="15902" width="14.44140625" style="10" bestFit="1" customWidth="1"/>
    <col min="15903" max="15903" width="12.6640625" style="10" bestFit="1" customWidth="1"/>
    <col min="15904" max="15904" width="14.44140625" style="10" bestFit="1" customWidth="1"/>
    <col min="15905" max="15905" width="11.6640625" style="10" bestFit="1" customWidth="1"/>
    <col min="15906" max="15907" width="12.6640625" style="10" bestFit="1" customWidth="1"/>
    <col min="15908" max="15908" width="11.6640625" style="10" bestFit="1" customWidth="1"/>
    <col min="15909" max="15915" width="12.6640625" style="10" bestFit="1" customWidth="1"/>
    <col min="15916" max="15917" width="11.6640625" style="10" bestFit="1" customWidth="1"/>
    <col min="15918" max="15922" width="12.6640625" style="10" bestFit="1" customWidth="1"/>
    <col min="15923" max="15923" width="12.5546875" style="10" customWidth="1"/>
    <col min="15924" max="15924" width="15.44140625" style="10" customWidth="1"/>
    <col min="15925" max="15925" width="13.88671875" style="10" bestFit="1" customWidth="1"/>
    <col min="15926" max="15926" width="12.109375" style="10" bestFit="1" customWidth="1"/>
    <col min="15927" max="15928" width="13.88671875" style="10" bestFit="1" customWidth="1"/>
    <col min="15929" max="15929" width="12.5546875" style="10" bestFit="1" customWidth="1"/>
    <col min="15930" max="15930" width="13.88671875" style="10" bestFit="1" customWidth="1"/>
    <col min="15931" max="15931" width="16.109375" style="10" customWidth="1"/>
    <col min="15932" max="15932" width="13.88671875" style="10" bestFit="1" customWidth="1"/>
    <col min="15933" max="15933" width="19.109375" style="10" bestFit="1" customWidth="1"/>
    <col min="15934" max="15934" width="14.77734375" style="10" bestFit="1" customWidth="1"/>
    <col min="15935" max="15935" width="20.88671875" style="10" customWidth="1"/>
    <col min="15936" max="16124" width="8.77734375" style="10"/>
    <col min="16125" max="16125" width="4.6640625" style="10" customWidth="1"/>
    <col min="16126" max="16126" width="58.33203125" style="10" customWidth="1"/>
    <col min="16127" max="16127" width="12.6640625" style="10" customWidth="1"/>
    <col min="16128" max="16131" width="12.6640625" style="10" bestFit="1" customWidth="1"/>
    <col min="16132" max="16132" width="11.6640625" style="10" bestFit="1" customWidth="1"/>
    <col min="16133" max="16135" width="12.6640625" style="10" bestFit="1" customWidth="1"/>
    <col min="16136" max="16136" width="12.5546875" style="10" customWidth="1"/>
    <col min="16137" max="16139" width="12.6640625" style="10" bestFit="1" customWidth="1"/>
    <col min="16140" max="16140" width="14.44140625" style="10" bestFit="1" customWidth="1"/>
    <col min="16141" max="16152" width="12.6640625" style="10" bestFit="1" customWidth="1"/>
    <col min="16153" max="16153" width="11.6640625" style="10" bestFit="1" customWidth="1"/>
    <col min="16154" max="16155" width="12.6640625" style="10" bestFit="1" customWidth="1"/>
    <col min="16156" max="16157" width="11.6640625" style="10" bestFit="1" customWidth="1"/>
    <col min="16158" max="16158" width="14.44140625" style="10" bestFit="1" customWidth="1"/>
    <col min="16159" max="16159" width="12.6640625" style="10" bestFit="1" customWidth="1"/>
    <col min="16160" max="16160" width="14.44140625" style="10" bestFit="1" customWidth="1"/>
    <col min="16161" max="16161" width="11.6640625" style="10" bestFit="1" customWidth="1"/>
    <col min="16162" max="16163" width="12.6640625" style="10" bestFit="1" customWidth="1"/>
    <col min="16164" max="16164" width="11.6640625" style="10" bestFit="1" customWidth="1"/>
    <col min="16165" max="16171" width="12.6640625" style="10" bestFit="1" customWidth="1"/>
    <col min="16172" max="16173" width="11.6640625" style="10" bestFit="1" customWidth="1"/>
    <col min="16174" max="16178" width="12.6640625" style="10" bestFit="1" customWidth="1"/>
    <col min="16179" max="16179" width="12.5546875" style="10" customWidth="1"/>
    <col min="16180" max="16180" width="15.44140625" style="10" customWidth="1"/>
    <col min="16181" max="16181" width="13.88671875" style="10" bestFit="1" customWidth="1"/>
    <col min="16182" max="16182" width="12.109375" style="10" bestFit="1" customWidth="1"/>
    <col min="16183" max="16184" width="13.88671875" style="10" bestFit="1" customWidth="1"/>
    <col min="16185" max="16185" width="12.5546875" style="10" bestFit="1" customWidth="1"/>
    <col min="16186" max="16186" width="13.88671875" style="10" bestFit="1" customWidth="1"/>
    <col min="16187" max="16187" width="16.109375" style="10" customWidth="1"/>
    <col min="16188" max="16188" width="13.88671875" style="10" bestFit="1" customWidth="1"/>
    <col min="16189" max="16189" width="19.109375" style="10" bestFit="1" customWidth="1"/>
    <col min="16190" max="16190" width="14.77734375" style="10" bestFit="1" customWidth="1"/>
    <col min="16191" max="16191" width="20.88671875" style="10" customWidth="1"/>
    <col min="16192" max="16384" width="8.77734375" style="10"/>
  </cols>
  <sheetData>
    <row r="1" spans="1:68" ht="27.6" customHeight="1" x14ac:dyDescent="0.3">
      <c r="A1" s="11" t="s">
        <v>0</v>
      </c>
      <c r="B1" s="2" t="s">
        <v>1</v>
      </c>
      <c r="C1" s="42">
        <v>1</v>
      </c>
      <c r="D1" s="1">
        <v>2</v>
      </c>
      <c r="E1" s="1">
        <f>+D1+1</f>
        <v>3</v>
      </c>
      <c r="F1" s="1">
        <f t="shared" ref="F1:BD1" si="0">+E1+1</f>
        <v>4</v>
      </c>
      <c r="G1" s="1">
        <f t="shared" si="0"/>
        <v>5</v>
      </c>
      <c r="H1" s="1">
        <f t="shared" si="0"/>
        <v>6</v>
      </c>
      <c r="I1" s="1">
        <f t="shared" si="0"/>
        <v>7</v>
      </c>
      <c r="J1" s="1">
        <f t="shared" si="0"/>
        <v>8</v>
      </c>
      <c r="K1" s="1">
        <f t="shared" si="0"/>
        <v>9</v>
      </c>
      <c r="L1" s="1">
        <f t="shared" si="0"/>
        <v>10</v>
      </c>
      <c r="M1" s="1">
        <f t="shared" si="0"/>
        <v>11</v>
      </c>
      <c r="N1" s="1">
        <f t="shared" si="0"/>
        <v>12</v>
      </c>
      <c r="O1" s="1">
        <f t="shared" si="0"/>
        <v>13</v>
      </c>
      <c r="P1" s="1">
        <f t="shared" si="0"/>
        <v>14</v>
      </c>
      <c r="Q1" s="1">
        <f t="shared" si="0"/>
        <v>15</v>
      </c>
      <c r="R1" s="1">
        <f t="shared" si="0"/>
        <v>16</v>
      </c>
      <c r="S1" s="1">
        <f t="shared" si="0"/>
        <v>17</v>
      </c>
      <c r="T1" s="1">
        <f t="shared" si="0"/>
        <v>18</v>
      </c>
      <c r="U1" s="1">
        <f t="shared" si="0"/>
        <v>19</v>
      </c>
      <c r="V1" s="1">
        <f t="shared" si="0"/>
        <v>20</v>
      </c>
      <c r="W1" s="1">
        <f t="shared" si="0"/>
        <v>21</v>
      </c>
      <c r="X1" s="1">
        <f t="shared" si="0"/>
        <v>22</v>
      </c>
      <c r="Y1" s="1">
        <f t="shared" si="0"/>
        <v>23</v>
      </c>
      <c r="Z1" s="1">
        <f t="shared" si="0"/>
        <v>24</v>
      </c>
      <c r="AA1" s="1">
        <f t="shared" si="0"/>
        <v>25</v>
      </c>
      <c r="AB1" s="1">
        <f t="shared" si="0"/>
        <v>26</v>
      </c>
      <c r="AC1" s="1">
        <f t="shared" si="0"/>
        <v>27</v>
      </c>
      <c r="AD1" s="1">
        <f t="shared" si="0"/>
        <v>28</v>
      </c>
      <c r="AE1" s="1">
        <f t="shared" si="0"/>
        <v>29</v>
      </c>
      <c r="AF1" s="1">
        <f t="shared" si="0"/>
        <v>30</v>
      </c>
      <c r="AG1" s="1">
        <f t="shared" si="0"/>
        <v>31</v>
      </c>
      <c r="AH1" s="1">
        <f t="shared" si="0"/>
        <v>32</v>
      </c>
      <c r="AI1" s="1">
        <f t="shared" si="0"/>
        <v>33</v>
      </c>
      <c r="AJ1" s="1">
        <f t="shared" si="0"/>
        <v>34</v>
      </c>
      <c r="AK1" s="1">
        <f t="shared" si="0"/>
        <v>35</v>
      </c>
      <c r="AL1" s="1">
        <f t="shared" si="0"/>
        <v>36</v>
      </c>
      <c r="AM1" s="1">
        <f t="shared" si="0"/>
        <v>37</v>
      </c>
      <c r="AN1" s="1">
        <f t="shared" si="0"/>
        <v>38</v>
      </c>
      <c r="AO1" s="1">
        <f t="shared" si="0"/>
        <v>39</v>
      </c>
      <c r="AP1" s="1">
        <f t="shared" si="0"/>
        <v>40</v>
      </c>
      <c r="AQ1" s="1">
        <f t="shared" si="0"/>
        <v>41</v>
      </c>
      <c r="AR1" s="1">
        <f t="shared" si="0"/>
        <v>42</v>
      </c>
      <c r="AS1" s="1">
        <f t="shared" si="0"/>
        <v>43</v>
      </c>
      <c r="AT1" s="1">
        <f t="shared" si="0"/>
        <v>44</v>
      </c>
      <c r="AU1" s="1">
        <f t="shared" si="0"/>
        <v>45</v>
      </c>
      <c r="AV1" s="1">
        <f t="shared" si="0"/>
        <v>46</v>
      </c>
      <c r="AW1" s="1">
        <f t="shared" si="0"/>
        <v>47</v>
      </c>
      <c r="AX1" s="1">
        <f t="shared" si="0"/>
        <v>48</v>
      </c>
      <c r="AY1" s="1">
        <f t="shared" si="0"/>
        <v>49</v>
      </c>
      <c r="AZ1" s="1">
        <f t="shared" si="0"/>
        <v>50</v>
      </c>
      <c r="BA1" s="1">
        <f t="shared" si="0"/>
        <v>51</v>
      </c>
      <c r="BB1" s="1">
        <f t="shared" si="0"/>
        <v>52</v>
      </c>
      <c r="BC1" s="1">
        <f t="shared" si="0"/>
        <v>53</v>
      </c>
      <c r="BD1" s="1">
        <f t="shared" si="0"/>
        <v>54</v>
      </c>
      <c r="BE1" s="48">
        <v>180</v>
      </c>
      <c r="BF1" s="40">
        <v>301</v>
      </c>
      <c r="BG1" s="49">
        <v>302</v>
      </c>
      <c r="BH1" s="49">
        <v>303</v>
      </c>
      <c r="BI1" s="49">
        <v>304</v>
      </c>
      <c r="BJ1" s="49">
        <v>305</v>
      </c>
      <c r="BK1" s="50">
        <v>309</v>
      </c>
      <c r="BL1" s="41">
        <v>310</v>
      </c>
      <c r="BM1" s="12">
        <v>409</v>
      </c>
      <c r="BN1" s="12">
        <v>509</v>
      </c>
      <c r="BO1" s="43">
        <v>600</v>
      </c>
      <c r="BP1" s="13">
        <v>700</v>
      </c>
    </row>
    <row r="2" spans="1:68" ht="15" customHeight="1" x14ac:dyDescent="0.3">
      <c r="A2" s="14">
        <v>1</v>
      </c>
      <c r="B2" s="15" t="s">
        <v>2</v>
      </c>
      <c r="C2" s="20">
        <v>906208.17838579183</v>
      </c>
      <c r="D2" s="20">
        <v>0</v>
      </c>
      <c r="E2" s="45">
        <v>0</v>
      </c>
      <c r="F2" s="45">
        <v>0</v>
      </c>
      <c r="G2" s="45">
        <v>0</v>
      </c>
      <c r="H2" s="20">
        <v>595.08837297856621</v>
      </c>
      <c r="I2" s="20">
        <v>0</v>
      </c>
      <c r="J2" s="20">
        <v>0</v>
      </c>
      <c r="K2" s="20">
        <v>21221.244401163076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f>31410001.7462524-18000000</f>
        <v>13410001.746252399</v>
      </c>
      <c r="R2" s="20">
        <v>3.1965272440244474E-5</v>
      </c>
      <c r="S2" s="20">
        <v>0</v>
      </c>
      <c r="T2" s="20">
        <v>0</v>
      </c>
      <c r="U2" s="20">
        <v>0</v>
      </c>
      <c r="V2" s="20">
        <v>0</v>
      </c>
      <c r="W2" s="20">
        <v>4294.9876520282951</v>
      </c>
      <c r="X2" s="20">
        <v>0</v>
      </c>
      <c r="Y2" s="20">
        <v>1969.591321621366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4204.0744647544161</v>
      </c>
      <c r="AS2" s="20">
        <v>146154.97846919156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60689.588824203987</v>
      </c>
      <c r="BB2" s="20">
        <v>4772.4869573991673</v>
      </c>
      <c r="BC2" s="20">
        <v>6632.4278317035778</v>
      </c>
      <c r="BD2" s="20">
        <v>31683.071053078504</v>
      </c>
      <c r="BE2" s="29">
        <f>SUM(C2:BD2)</f>
        <v>14598427.464018278</v>
      </c>
      <c r="BF2" s="37">
        <v>334040.18241829495</v>
      </c>
      <c r="BG2" s="21">
        <v>0</v>
      </c>
      <c r="BH2" s="21">
        <v>0</v>
      </c>
      <c r="BI2" s="21">
        <v>60037.038036270897</v>
      </c>
      <c r="BJ2" s="21">
        <v>240473.06117150502</v>
      </c>
      <c r="BK2" s="22">
        <f>SUM(BF2:BJ2)</f>
        <v>634550.28162607085</v>
      </c>
      <c r="BL2" s="23">
        <f>+BK2+BE2</f>
        <v>15232977.74564435</v>
      </c>
      <c r="BM2" s="24">
        <v>0</v>
      </c>
      <c r="BN2" s="24">
        <v>0</v>
      </c>
      <c r="BO2" s="24">
        <v>15232977.745622192</v>
      </c>
      <c r="BP2" s="25">
        <f>SUM(BM2:BO2)</f>
        <v>15232977.745622192</v>
      </c>
    </row>
    <row r="3" spans="1:68" x14ac:dyDescent="0.3">
      <c r="A3" s="14">
        <f>+A2+1</f>
        <v>2</v>
      </c>
      <c r="B3" s="16" t="s">
        <v>3</v>
      </c>
      <c r="C3" s="20">
        <v>0</v>
      </c>
      <c r="D3" s="20">
        <v>70825.348762965499</v>
      </c>
      <c r="E3" s="45">
        <v>0</v>
      </c>
      <c r="F3" s="45">
        <v>0</v>
      </c>
      <c r="G3" s="45">
        <v>53.109220000000008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977456.4599721859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8473.871283948145</v>
      </c>
      <c r="X3" s="20">
        <v>6.9103009747959732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20.06717228219884</v>
      </c>
      <c r="AE3" s="20">
        <v>0</v>
      </c>
      <c r="AF3" s="20">
        <v>21.563953266021759</v>
      </c>
      <c r="AG3" s="20">
        <v>0</v>
      </c>
      <c r="AH3" s="20">
        <v>0</v>
      </c>
      <c r="AI3" s="20">
        <v>26599.862996973283</v>
      </c>
      <c r="AJ3" s="20">
        <v>0</v>
      </c>
      <c r="AK3" s="20">
        <v>0</v>
      </c>
      <c r="AL3" s="20">
        <v>1699.721053948723</v>
      </c>
      <c r="AM3" s="20">
        <v>0</v>
      </c>
      <c r="AN3" s="20">
        <v>854.15246079903829</v>
      </c>
      <c r="AO3" s="20">
        <v>0</v>
      </c>
      <c r="AP3" s="20">
        <v>10225.014918310862</v>
      </c>
      <c r="AQ3" s="20">
        <v>0</v>
      </c>
      <c r="AR3" s="20">
        <v>13169.728794806932</v>
      </c>
      <c r="AS3" s="20">
        <v>345173.14296994358</v>
      </c>
      <c r="AT3" s="20">
        <v>0.26115274207507222</v>
      </c>
      <c r="AU3" s="20">
        <v>201.21427447932348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1799.8396949765765</v>
      </c>
      <c r="BB3" s="20">
        <v>1978.721560144176</v>
      </c>
      <c r="BC3" s="20">
        <v>48216.514818014286</v>
      </c>
      <c r="BD3" s="20">
        <v>3637.545035377525</v>
      </c>
      <c r="BE3" s="29">
        <f t="shared" ref="BE3:BE55" si="1">SUM(C3:BD3)</f>
        <v>1510413.0503961386</v>
      </c>
      <c r="BF3" s="37">
        <v>4036683.49237188</v>
      </c>
      <c r="BG3" s="21">
        <v>0</v>
      </c>
      <c r="BH3" s="21">
        <v>173897.27938248072</v>
      </c>
      <c r="BI3" s="33">
        <v>47507.398762157012</v>
      </c>
      <c r="BJ3" s="21">
        <v>574833.77565298206</v>
      </c>
      <c r="BK3" s="22">
        <f t="shared" ref="BK3:BK55" si="2">SUM(BF3:BJ3)</f>
        <v>4832921.9461695002</v>
      </c>
      <c r="BL3" s="23">
        <f t="shared" ref="BL3:BL55" si="3">+BK3+BE3</f>
        <v>6343334.996565639</v>
      </c>
      <c r="BM3" s="24">
        <v>0</v>
      </c>
      <c r="BN3" s="24">
        <v>0</v>
      </c>
      <c r="BO3" s="24">
        <v>6343334.9965230143</v>
      </c>
      <c r="BP3" s="25">
        <f t="shared" ref="BP3:BP57" si="4">SUM(BM3:BO3)</f>
        <v>6343334.9965230143</v>
      </c>
    </row>
    <row r="4" spans="1:68" x14ac:dyDescent="0.3">
      <c r="A4" s="14">
        <f>+A3+1</f>
        <v>3</v>
      </c>
      <c r="B4" s="44" t="s">
        <v>4</v>
      </c>
      <c r="C4" s="20">
        <v>0</v>
      </c>
      <c r="D4" s="20">
        <v>0</v>
      </c>
      <c r="E4" s="45">
        <f>2030126.257552-1000000-300000</f>
        <v>730126.257552</v>
      </c>
      <c r="F4" s="45">
        <v>0</v>
      </c>
      <c r="G4" s="45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f>3629131.9238744+6000000+845241-1635000</f>
        <v>8839372.9238744006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3409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9">
        <f t="shared" si="1"/>
        <v>9572908.1814264003</v>
      </c>
      <c r="BF4" s="37">
        <v>0</v>
      </c>
      <c r="BG4" s="21">
        <v>0</v>
      </c>
      <c r="BH4" s="21">
        <v>0</v>
      </c>
      <c r="BI4" s="21">
        <v>0</v>
      </c>
      <c r="BJ4" s="21">
        <v>40.261699999999998</v>
      </c>
      <c r="BK4" s="22">
        <f t="shared" si="2"/>
        <v>40.261699999999998</v>
      </c>
      <c r="BL4" s="23">
        <f t="shared" si="3"/>
        <v>9572948.4431264009</v>
      </c>
      <c r="BM4" s="24">
        <v>0</v>
      </c>
      <c r="BN4" s="24">
        <v>0</v>
      </c>
      <c r="BO4" s="24">
        <v>9572948.4430895988</v>
      </c>
      <c r="BP4" s="25">
        <f t="shared" si="4"/>
        <v>9572948.4430895988</v>
      </c>
    </row>
    <row r="5" spans="1:68" x14ac:dyDescent="0.3">
      <c r="A5" s="14">
        <f t="shared" ref="A5:A55" si="5">+A4+1</f>
        <v>4</v>
      </c>
      <c r="B5" s="44" t="s">
        <v>5</v>
      </c>
      <c r="C5" s="20">
        <v>0</v>
      </c>
      <c r="D5" s="20">
        <v>0</v>
      </c>
      <c r="E5" s="45">
        <v>0</v>
      </c>
      <c r="F5" s="45">
        <f>2056980.451053-500000</f>
        <v>1556980.4510530001</v>
      </c>
      <c r="G5" s="45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f>18971823.3374414-189677+2845000-414481+1000000-6000000</f>
        <v>16212665.3374414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9809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9">
        <f t="shared" si="1"/>
        <v>17779454.788494401</v>
      </c>
      <c r="BF5" s="37">
        <v>0</v>
      </c>
      <c r="BG5" s="21">
        <v>0</v>
      </c>
      <c r="BH5" s="21">
        <v>0</v>
      </c>
      <c r="BI5" s="21">
        <v>0</v>
      </c>
      <c r="BJ5" s="33">
        <v>713825.51951320004</v>
      </c>
      <c r="BK5" s="22">
        <f t="shared" si="2"/>
        <v>713825.51951320004</v>
      </c>
      <c r="BL5" s="23">
        <f t="shared" si="3"/>
        <v>18493280.308007602</v>
      </c>
      <c r="BM5" s="24">
        <v>0</v>
      </c>
      <c r="BN5" s="24">
        <v>0</v>
      </c>
      <c r="BO5" s="24">
        <v>18493280.30798338</v>
      </c>
      <c r="BP5" s="25">
        <f t="shared" si="4"/>
        <v>18493280.30798338</v>
      </c>
    </row>
    <row r="6" spans="1:68" x14ac:dyDescent="0.3">
      <c r="A6" s="14">
        <f t="shared" si="5"/>
        <v>5</v>
      </c>
      <c r="B6" s="44" t="s">
        <v>6</v>
      </c>
      <c r="C6" s="20">
        <v>0</v>
      </c>
      <c r="D6" s="20">
        <v>0</v>
      </c>
      <c r="E6" s="45">
        <v>0</v>
      </c>
      <c r="F6" s="45">
        <v>0</v>
      </c>
      <c r="G6" s="45">
        <f>411861.4700078-200000</f>
        <v>211861.47000779997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189677</v>
      </c>
      <c r="R6" s="20">
        <v>2.8159079638833324E-3</v>
      </c>
      <c r="S6" s="20">
        <v>0</v>
      </c>
      <c r="T6" s="20">
        <v>21.60307488891258</v>
      </c>
      <c r="U6" s="20">
        <v>33.571090454476845</v>
      </c>
      <c r="V6" s="20">
        <v>0</v>
      </c>
      <c r="W6" s="20">
        <v>595316.08938240062</v>
      </c>
      <c r="X6" s="20">
        <v>3244</v>
      </c>
      <c r="Y6" s="20">
        <v>11.761443865680041</v>
      </c>
      <c r="Z6" s="20">
        <v>0</v>
      </c>
      <c r="AA6" s="20">
        <v>0</v>
      </c>
      <c r="AB6" s="20">
        <v>3.565986943961247</v>
      </c>
      <c r="AC6" s="20">
        <v>0</v>
      </c>
      <c r="AD6" s="20">
        <v>1952.7729392420997</v>
      </c>
      <c r="AE6" s="20">
        <v>2268.5624735635133</v>
      </c>
      <c r="AF6" s="20">
        <v>0</v>
      </c>
      <c r="AG6" s="20">
        <v>0</v>
      </c>
      <c r="AH6" s="20">
        <v>0</v>
      </c>
      <c r="AI6" s="20">
        <v>218.97725093465095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53.981633818739411</v>
      </c>
      <c r="AS6" s="20">
        <v>101835.02751299625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17.547806669729994</v>
      </c>
      <c r="BB6" s="20">
        <v>95.782358804801547</v>
      </c>
      <c r="BC6" s="20">
        <v>6343.729355635106</v>
      </c>
      <c r="BD6" s="20">
        <v>839.53458802242312</v>
      </c>
      <c r="BE6" s="29">
        <f t="shared" si="1"/>
        <v>1113794.979721949</v>
      </c>
      <c r="BF6" s="37">
        <v>139987.443730028</v>
      </c>
      <c r="BG6" s="21">
        <v>0</v>
      </c>
      <c r="BH6" s="21">
        <v>1243398.4652928999</v>
      </c>
      <c r="BI6" s="21">
        <v>63207.855059137</v>
      </c>
      <c r="BJ6" s="33">
        <v>1227514.8804132</v>
      </c>
      <c r="BK6" s="22">
        <f t="shared" si="2"/>
        <v>2674108.6444952646</v>
      </c>
      <c r="BL6" s="23">
        <f t="shared" si="3"/>
        <v>3787903.6242172136</v>
      </c>
      <c r="BM6" s="24">
        <v>0</v>
      </c>
      <c r="BN6" s="24">
        <v>0</v>
      </c>
      <c r="BO6" s="24">
        <v>3787903.6242098804</v>
      </c>
      <c r="BP6" s="25">
        <f t="shared" si="4"/>
        <v>3787903.6242098804</v>
      </c>
    </row>
    <row r="7" spans="1:68" x14ac:dyDescent="0.3">
      <c r="A7" s="14">
        <f t="shared" si="5"/>
        <v>6</v>
      </c>
      <c r="B7" s="16" t="s">
        <v>7</v>
      </c>
      <c r="C7" s="20">
        <v>23495.710739687798</v>
      </c>
      <c r="D7" s="20">
        <v>57931.433696896107</v>
      </c>
      <c r="E7" s="45">
        <v>0</v>
      </c>
      <c r="F7" s="45">
        <v>825.71579040000006</v>
      </c>
      <c r="G7" s="45">
        <v>228.36964600000002</v>
      </c>
      <c r="H7" s="20">
        <v>111510.18342928855</v>
      </c>
      <c r="I7" s="20">
        <v>7181.7380148662342</v>
      </c>
      <c r="J7" s="20">
        <v>777.69041331956009</v>
      </c>
      <c r="K7" s="20">
        <v>161.28310329837603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4138022.9095328907</v>
      </c>
      <c r="R7" s="20">
        <v>0</v>
      </c>
      <c r="S7" s="20">
        <v>4560.7131317346511</v>
      </c>
      <c r="T7" s="20">
        <v>22.97343607119263</v>
      </c>
      <c r="U7" s="20">
        <v>0</v>
      </c>
      <c r="V7" s="20">
        <v>0</v>
      </c>
      <c r="W7" s="20">
        <v>347.10913036986426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6.7799421590048221E-3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24484.565725751439</v>
      </c>
      <c r="AS7" s="20">
        <v>434693.41028047859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39536.230337120411</v>
      </c>
      <c r="BB7" s="20">
        <v>11239.759035588637</v>
      </c>
      <c r="BC7" s="20">
        <v>34537.142130677938</v>
      </c>
      <c r="BD7" s="20">
        <v>29262.472270275244</v>
      </c>
      <c r="BE7" s="29">
        <f t="shared" si="1"/>
        <v>4918819.4166246569</v>
      </c>
      <c r="BF7" s="37">
        <v>2630396.6940254085</v>
      </c>
      <c r="BG7" s="21">
        <v>0</v>
      </c>
      <c r="BH7" s="21">
        <v>3197987.6951500499</v>
      </c>
      <c r="BI7" s="21">
        <v>165037.66407679053</v>
      </c>
      <c r="BJ7" s="33">
        <v>28622.250322146025</v>
      </c>
      <c r="BK7" s="22">
        <f t="shared" si="2"/>
        <v>6022044.3035743944</v>
      </c>
      <c r="BL7" s="23">
        <f t="shared" si="3"/>
        <v>10940863.720199052</v>
      </c>
      <c r="BM7" s="24">
        <v>0</v>
      </c>
      <c r="BN7" s="24">
        <v>0</v>
      </c>
      <c r="BO7" s="24">
        <v>10940863.720245173</v>
      </c>
      <c r="BP7" s="25">
        <f t="shared" si="4"/>
        <v>10940863.720245173</v>
      </c>
    </row>
    <row r="8" spans="1:68" x14ac:dyDescent="0.3">
      <c r="A8" s="14">
        <f t="shared" si="5"/>
        <v>7</v>
      </c>
      <c r="B8" s="16" t="s">
        <v>8</v>
      </c>
      <c r="C8" s="20">
        <v>214693.36313396794</v>
      </c>
      <c r="D8" s="20">
        <v>63923.886314144343</v>
      </c>
      <c r="E8" s="45">
        <v>0</v>
      </c>
      <c r="F8" s="45">
        <f>48270.769026+1000000</f>
        <v>1048270.7690260001</v>
      </c>
      <c r="G8" s="45">
        <f>21208.1048226+697000</f>
        <v>718208.10482260003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7921.1579873235587</v>
      </c>
      <c r="BB8" s="20">
        <v>0</v>
      </c>
      <c r="BC8" s="20">
        <v>0</v>
      </c>
      <c r="BD8" s="20">
        <v>0</v>
      </c>
      <c r="BE8" s="29">
        <f t="shared" si="1"/>
        <v>2053017.2812840359</v>
      </c>
      <c r="BF8" s="38">
        <v>6348.7503274045803</v>
      </c>
      <c r="BG8" s="21">
        <v>0</v>
      </c>
      <c r="BH8" s="21">
        <v>0</v>
      </c>
      <c r="BI8" s="21">
        <v>0</v>
      </c>
      <c r="BJ8" s="21">
        <v>0</v>
      </c>
      <c r="BK8" s="22">
        <f t="shared" si="2"/>
        <v>6348.7503274045803</v>
      </c>
      <c r="BL8" s="23">
        <f t="shared" si="3"/>
        <v>2059366.0316114405</v>
      </c>
      <c r="BM8" s="24">
        <v>0</v>
      </c>
      <c r="BN8" s="24">
        <v>0</v>
      </c>
      <c r="BO8" s="24">
        <v>2059366.0315774214</v>
      </c>
      <c r="BP8" s="25">
        <f t="shared" si="4"/>
        <v>2059366.0315774214</v>
      </c>
    </row>
    <row r="9" spans="1:68" x14ac:dyDescent="0.3">
      <c r="A9" s="14">
        <f t="shared" si="5"/>
        <v>8</v>
      </c>
      <c r="B9" s="16" t="s">
        <v>9</v>
      </c>
      <c r="C9" s="20">
        <v>0.8801797393250741</v>
      </c>
      <c r="D9" s="20">
        <v>597.34070366498963</v>
      </c>
      <c r="E9" s="45">
        <v>0</v>
      </c>
      <c r="F9" s="45">
        <v>14908.490622599998</v>
      </c>
      <c r="G9" s="45">
        <v>1115.2936200000001</v>
      </c>
      <c r="H9" s="20">
        <v>5503.458863451071</v>
      </c>
      <c r="I9" s="20">
        <v>2.1599887098083301</v>
      </c>
      <c r="J9" s="20">
        <v>116857.67061906155</v>
      </c>
      <c r="K9" s="20">
        <v>666.63207502128375</v>
      </c>
      <c r="L9" s="20">
        <v>0</v>
      </c>
      <c r="M9" s="20">
        <v>18552.227746146596</v>
      </c>
      <c r="N9" s="20">
        <v>0</v>
      </c>
      <c r="O9" s="20">
        <v>4926.6537854513354</v>
      </c>
      <c r="P9" s="20">
        <v>1225.4512689358833</v>
      </c>
      <c r="Q9" s="20">
        <v>65050.516596321868</v>
      </c>
      <c r="R9" s="20">
        <v>9.6926571504568897E-7</v>
      </c>
      <c r="S9" s="20">
        <v>3014.1920482217706</v>
      </c>
      <c r="T9" s="20">
        <v>3.0559066584279777</v>
      </c>
      <c r="U9" s="20">
        <v>537192.56917011342</v>
      </c>
      <c r="V9" s="20">
        <v>558835.32586329535</v>
      </c>
      <c r="W9" s="20">
        <v>29466.516760890172</v>
      </c>
      <c r="X9" s="20">
        <v>13213.281725718258</v>
      </c>
      <c r="Y9" s="20">
        <v>126.38214716723169</v>
      </c>
      <c r="Z9" s="20">
        <v>0.40782916905587535</v>
      </c>
      <c r="AA9" s="20">
        <v>72.026030241059161</v>
      </c>
      <c r="AB9" s="20">
        <v>0</v>
      </c>
      <c r="AC9" s="20">
        <v>264.98783055102797</v>
      </c>
      <c r="AD9" s="20">
        <v>3565.2810508804155</v>
      </c>
      <c r="AE9" s="20">
        <v>3464.3423018528961</v>
      </c>
      <c r="AF9" s="20">
        <v>0</v>
      </c>
      <c r="AG9" s="20">
        <v>0</v>
      </c>
      <c r="AH9" s="20">
        <v>0</v>
      </c>
      <c r="AI9" s="20">
        <v>2774882.1314058923</v>
      </c>
      <c r="AJ9" s="20">
        <v>2920.022910958935</v>
      </c>
      <c r="AK9" s="20">
        <v>1006.510099853195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333.0427806065731</v>
      </c>
      <c r="AS9" s="20">
        <v>3439.10149261477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65.034797263647548</v>
      </c>
      <c r="BB9" s="20">
        <v>7.384748313083055E-10</v>
      </c>
      <c r="BC9" s="20">
        <v>0</v>
      </c>
      <c r="BD9" s="20">
        <v>719.06464315852315</v>
      </c>
      <c r="BE9" s="29">
        <f t="shared" si="1"/>
        <v>4161990.0528651816</v>
      </c>
      <c r="BF9" s="38">
        <v>14104.921492156</v>
      </c>
      <c r="BG9" s="21">
        <v>0</v>
      </c>
      <c r="BH9" s="21">
        <v>0</v>
      </c>
      <c r="BI9" s="21">
        <v>-104.00740828148267</v>
      </c>
      <c r="BJ9" s="21">
        <v>4857266.5412787208</v>
      </c>
      <c r="BK9" s="22">
        <f t="shared" si="2"/>
        <v>4871267.4553625956</v>
      </c>
      <c r="BL9" s="23">
        <f t="shared" si="3"/>
        <v>9033257.5082277767</v>
      </c>
      <c r="BM9" s="24">
        <v>0</v>
      </c>
      <c r="BN9" s="24">
        <v>0</v>
      </c>
      <c r="BO9" s="24">
        <v>9033257.5082400255</v>
      </c>
      <c r="BP9" s="25">
        <f t="shared" si="4"/>
        <v>9033257.5082400255</v>
      </c>
    </row>
    <row r="10" spans="1:68" x14ac:dyDescent="0.3">
      <c r="A10" s="14">
        <f t="shared" si="5"/>
        <v>9</v>
      </c>
      <c r="B10" s="16" t="s">
        <v>10</v>
      </c>
      <c r="C10" s="20">
        <v>0</v>
      </c>
      <c r="D10" s="20">
        <v>0</v>
      </c>
      <c r="E10" s="45">
        <v>0</v>
      </c>
      <c r="F10" s="45">
        <v>0</v>
      </c>
      <c r="G10" s="45">
        <v>0</v>
      </c>
      <c r="H10" s="20">
        <v>0</v>
      </c>
      <c r="I10" s="20">
        <v>0</v>
      </c>
      <c r="J10" s="20">
        <v>0</v>
      </c>
      <c r="K10" s="20">
        <v>274487.90859259485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4764937.3137063645</v>
      </c>
      <c r="R10" s="20">
        <v>0</v>
      </c>
      <c r="S10" s="20">
        <v>0</v>
      </c>
      <c r="T10" s="20">
        <v>7.9254546693238907E-5</v>
      </c>
      <c r="U10" s="20">
        <v>0</v>
      </c>
      <c r="V10" s="20">
        <v>0</v>
      </c>
      <c r="W10" s="20">
        <v>2066.9747251983372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12.741077307393402</v>
      </c>
      <c r="AE10" s="20">
        <v>2539.4927645767566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26400.992321886821</v>
      </c>
      <c r="AS10" s="20">
        <v>1052274.5176846595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6585.4985885423512</v>
      </c>
      <c r="BB10" s="20">
        <v>30859.127764487916</v>
      </c>
      <c r="BC10" s="20">
        <v>24747.901867765813</v>
      </c>
      <c r="BD10" s="20">
        <v>81262.681908261002</v>
      </c>
      <c r="BE10" s="29">
        <f t="shared" si="1"/>
        <v>6266175.1510808999</v>
      </c>
      <c r="BF10" s="37">
        <v>10632031.727743899</v>
      </c>
      <c r="BG10" s="21">
        <v>0</v>
      </c>
      <c r="BH10" s="21">
        <v>200335.68121029501</v>
      </c>
      <c r="BI10" s="21">
        <v>-8.8097717556681526E-2</v>
      </c>
      <c r="BJ10" s="21">
        <v>32880.0070713307</v>
      </c>
      <c r="BK10" s="22">
        <f t="shared" si="2"/>
        <v>10865247.327927807</v>
      </c>
      <c r="BL10" s="23">
        <f t="shared" si="3"/>
        <v>17131422.479008708</v>
      </c>
      <c r="BM10" s="24">
        <v>0</v>
      </c>
      <c r="BN10" s="24">
        <v>0</v>
      </c>
      <c r="BO10" s="24">
        <v>17131422.48165112</v>
      </c>
      <c r="BP10" s="25">
        <f t="shared" si="4"/>
        <v>17131422.48165112</v>
      </c>
    </row>
    <row r="11" spans="1:68" x14ac:dyDescent="0.3">
      <c r="A11" s="14">
        <f t="shared" si="5"/>
        <v>10</v>
      </c>
      <c r="B11" s="16" t="s">
        <v>11</v>
      </c>
      <c r="C11" s="20">
        <v>1072.1188732156238</v>
      </c>
      <c r="D11" s="20">
        <v>663.70192369943982</v>
      </c>
      <c r="E11" s="45">
        <v>0</v>
      </c>
      <c r="F11" s="45">
        <v>0</v>
      </c>
      <c r="G11" s="45">
        <v>53.109220000000008</v>
      </c>
      <c r="H11" s="20">
        <v>6517.1656429483091</v>
      </c>
      <c r="I11" s="20">
        <v>30.084345004499372</v>
      </c>
      <c r="J11" s="20">
        <v>1550.2556547406621</v>
      </c>
      <c r="K11" s="20">
        <v>922.0251451705667</v>
      </c>
      <c r="L11" s="20">
        <v>4723805.4898004988</v>
      </c>
      <c r="M11" s="20">
        <v>122301.30111870785</v>
      </c>
      <c r="N11" s="20">
        <v>0</v>
      </c>
      <c r="O11" s="20">
        <v>7898.8557561943562</v>
      </c>
      <c r="P11" s="20">
        <v>5821097.5987256998</v>
      </c>
      <c r="Q11" s="20">
        <v>3959.3163486289181</v>
      </c>
      <c r="R11" s="20">
        <v>5.3883288357652403E-6</v>
      </c>
      <c r="S11" s="20">
        <v>101.23361665977023</v>
      </c>
      <c r="T11" s="20">
        <v>0.62164623351598647</v>
      </c>
      <c r="U11" s="20">
        <v>229.50722083903821</v>
      </c>
      <c r="V11" s="20">
        <v>3030.8134229015245</v>
      </c>
      <c r="W11" s="20">
        <v>3087636.1794904401</v>
      </c>
      <c r="X11" s="20">
        <v>1436914.5448009581</v>
      </c>
      <c r="Y11" s="20">
        <v>63018.689665379366</v>
      </c>
      <c r="Z11" s="20">
        <v>18717.593982773284</v>
      </c>
      <c r="AA11" s="20">
        <v>19585.72219252642</v>
      </c>
      <c r="AB11" s="20">
        <v>2.0020932457612148</v>
      </c>
      <c r="AC11" s="20">
        <v>338.43257529109565</v>
      </c>
      <c r="AD11" s="20">
        <v>94.162860134589437</v>
      </c>
      <c r="AE11" s="20">
        <v>129.05322488609681</v>
      </c>
      <c r="AF11" s="20">
        <v>2199300.0824733539</v>
      </c>
      <c r="AG11" s="20">
        <v>20166.689360471566</v>
      </c>
      <c r="AH11" s="20">
        <v>170.82498478361475</v>
      </c>
      <c r="AI11" s="20">
        <v>78897.36536445457</v>
      </c>
      <c r="AJ11" s="20">
        <v>5129.3134894698997</v>
      </c>
      <c r="AK11" s="20">
        <v>35428.183216808815</v>
      </c>
      <c r="AL11" s="20">
        <v>511.07933136246021</v>
      </c>
      <c r="AM11" s="20">
        <v>4523.1904429833012</v>
      </c>
      <c r="AN11" s="20">
        <v>1051.5672192424477</v>
      </c>
      <c r="AO11" s="20">
        <v>552.65820382112418</v>
      </c>
      <c r="AP11" s="20">
        <v>5813.1092819372152</v>
      </c>
      <c r="AQ11" s="20">
        <v>964.77027863988803</v>
      </c>
      <c r="AR11" s="20">
        <v>207.7231228226143</v>
      </c>
      <c r="AS11" s="20">
        <v>715.63995639851305</v>
      </c>
      <c r="AT11" s="20">
        <v>14674.872905186157</v>
      </c>
      <c r="AU11" s="20">
        <v>6924.5640932565138</v>
      </c>
      <c r="AV11" s="20">
        <v>3512.4390944832207</v>
      </c>
      <c r="AW11" s="20">
        <v>888.98574113726386</v>
      </c>
      <c r="AX11" s="20">
        <v>5.4779970716845092</v>
      </c>
      <c r="AY11" s="20">
        <v>4194.9792783491666</v>
      </c>
      <c r="AZ11" s="20">
        <v>687.63491228985333</v>
      </c>
      <c r="BA11" s="20">
        <v>14725.479896630599</v>
      </c>
      <c r="BB11" s="20">
        <v>6636.3624973400574</v>
      </c>
      <c r="BC11" s="20">
        <v>503.16653499271553</v>
      </c>
      <c r="BD11" s="20">
        <v>770.58369259161884</v>
      </c>
      <c r="BE11" s="29">
        <f t="shared" si="1"/>
        <v>17726626.322722055</v>
      </c>
      <c r="BF11" s="37">
        <v>18337.312238325867</v>
      </c>
      <c r="BG11" s="21">
        <v>0</v>
      </c>
      <c r="BH11" s="21">
        <v>4637.6577316757603</v>
      </c>
      <c r="BI11" s="21">
        <v>-1000033.4250532036</v>
      </c>
      <c r="BJ11" s="33">
        <v>27273787.020368699</v>
      </c>
      <c r="BK11" s="22">
        <f t="shared" si="2"/>
        <v>26296728.565285496</v>
      </c>
      <c r="BL11" s="23">
        <f t="shared" si="3"/>
        <v>44023354.888007551</v>
      </c>
      <c r="BM11" s="24">
        <v>0</v>
      </c>
      <c r="BN11" s="24">
        <v>0</v>
      </c>
      <c r="BO11" s="24">
        <v>44023354.887796864</v>
      </c>
      <c r="BP11" s="25">
        <f t="shared" si="4"/>
        <v>44023354.887796864</v>
      </c>
    </row>
    <row r="12" spans="1:68" x14ac:dyDescent="0.3">
      <c r="A12" s="14">
        <f t="shared" si="5"/>
        <v>11</v>
      </c>
      <c r="B12" s="16" t="s">
        <v>12</v>
      </c>
      <c r="C12" s="20">
        <v>1248.8626025091899</v>
      </c>
      <c r="D12" s="20">
        <v>788.49723657983293</v>
      </c>
      <c r="E12" s="45">
        <v>0</v>
      </c>
      <c r="F12" s="45">
        <v>0</v>
      </c>
      <c r="G12" s="45">
        <v>53.109220000000008</v>
      </c>
      <c r="H12" s="20">
        <v>7573.5857390474775</v>
      </c>
      <c r="I12" s="20">
        <v>38.59210935750442</v>
      </c>
      <c r="J12" s="20">
        <v>1833.9266308987951</v>
      </c>
      <c r="K12" s="20">
        <v>1137.2994206044871</v>
      </c>
      <c r="L12" s="20">
        <v>14676.308686008128</v>
      </c>
      <c r="M12" s="20">
        <v>7374639.2221043063</v>
      </c>
      <c r="N12" s="20">
        <v>0</v>
      </c>
      <c r="O12" s="20">
        <v>5383.4175180132579</v>
      </c>
      <c r="P12" s="20">
        <v>201664.2597520811</v>
      </c>
      <c r="Q12" s="20">
        <v>4645.1203492708119</v>
      </c>
      <c r="R12" s="20">
        <v>6.6066438953688838E-6</v>
      </c>
      <c r="S12" s="20">
        <v>201.8019465068092</v>
      </c>
      <c r="T12" s="20">
        <v>0.89092364980779781</v>
      </c>
      <c r="U12" s="20">
        <v>332.66595063321427</v>
      </c>
      <c r="V12" s="20">
        <v>5466.1995818627493</v>
      </c>
      <c r="W12" s="20">
        <v>20919.807283828341</v>
      </c>
      <c r="X12" s="20">
        <v>4171.1052174648848</v>
      </c>
      <c r="Y12" s="20">
        <v>816692.91878995823</v>
      </c>
      <c r="Z12" s="20">
        <v>5637.363011376724</v>
      </c>
      <c r="AA12" s="20">
        <v>43305.040415109346</v>
      </c>
      <c r="AB12" s="20">
        <v>3.2569569543602648</v>
      </c>
      <c r="AC12" s="20">
        <v>411.61686094853331</v>
      </c>
      <c r="AD12" s="20">
        <v>112.82991621436108</v>
      </c>
      <c r="AE12" s="20">
        <v>153.97554152369165</v>
      </c>
      <c r="AF12" s="20">
        <v>850487.6627252592</v>
      </c>
      <c r="AG12" s="20">
        <v>4941.1697618497537</v>
      </c>
      <c r="AH12" s="20">
        <v>395.06594425099303</v>
      </c>
      <c r="AI12" s="20">
        <v>47380.675390487078</v>
      </c>
      <c r="AJ12" s="20">
        <v>6420.396876107101</v>
      </c>
      <c r="AK12" s="20">
        <v>43542.119402931166</v>
      </c>
      <c r="AL12" s="20">
        <v>1050.8492842494838</v>
      </c>
      <c r="AM12" s="20">
        <v>5262.4303321125399</v>
      </c>
      <c r="AN12" s="20">
        <v>1223.7230016018898</v>
      </c>
      <c r="AO12" s="20">
        <v>684.04081030872351</v>
      </c>
      <c r="AP12" s="20">
        <v>6728.9649028341437</v>
      </c>
      <c r="AQ12" s="20">
        <v>1195.2761924003339</v>
      </c>
      <c r="AR12" s="20">
        <v>281.19593669228436</v>
      </c>
      <c r="AS12" s="20">
        <v>959.55210869212954</v>
      </c>
      <c r="AT12" s="20">
        <v>17592.489224479912</v>
      </c>
      <c r="AU12" s="20">
        <v>8068.0007520698337</v>
      </c>
      <c r="AV12" s="20">
        <v>4126.6079319597848</v>
      </c>
      <c r="AW12" s="20">
        <v>1054.5381148488129</v>
      </c>
      <c r="AX12" s="20">
        <v>6.5056142618578292</v>
      </c>
      <c r="AY12" s="20">
        <v>4966.1494381057755</v>
      </c>
      <c r="AZ12" s="20">
        <v>819.46339349580091</v>
      </c>
      <c r="BA12" s="20">
        <v>18294.766672905389</v>
      </c>
      <c r="BB12" s="20">
        <v>8162.8216936208273</v>
      </c>
      <c r="BC12" s="20">
        <v>854.33902077494122</v>
      </c>
      <c r="BD12" s="20">
        <v>1217.4965734709349</v>
      </c>
      <c r="BE12" s="29">
        <f t="shared" si="1"/>
        <v>9546807.9748710934</v>
      </c>
      <c r="BF12" s="37">
        <v>36699.420364244528</v>
      </c>
      <c r="BG12" s="21">
        <v>0</v>
      </c>
      <c r="BH12" s="21">
        <v>3896.0833751522719</v>
      </c>
      <c r="BI12" s="21">
        <v>191.81264516409266</v>
      </c>
      <c r="BJ12" s="21">
        <v>47590201.909017406</v>
      </c>
      <c r="BK12" s="22">
        <f t="shared" si="2"/>
        <v>47630989.225401968</v>
      </c>
      <c r="BL12" s="23">
        <f t="shared" si="3"/>
        <v>57177797.200273059</v>
      </c>
      <c r="BM12" s="24">
        <v>0</v>
      </c>
      <c r="BN12" s="24">
        <v>0</v>
      </c>
      <c r="BO12" s="24">
        <v>57177797.196606725</v>
      </c>
      <c r="BP12" s="25">
        <f t="shared" si="4"/>
        <v>57177797.196606725</v>
      </c>
    </row>
    <row r="13" spans="1:68" x14ac:dyDescent="0.3">
      <c r="A13" s="14">
        <f t="shared" si="5"/>
        <v>12</v>
      </c>
      <c r="B13" s="16" t="s">
        <v>13</v>
      </c>
      <c r="C13" s="20">
        <v>0</v>
      </c>
      <c r="D13" s="20">
        <v>0</v>
      </c>
      <c r="E13" s="45">
        <v>0</v>
      </c>
      <c r="F13" s="45">
        <v>0</v>
      </c>
      <c r="G13" s="45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9">
        <f t="shared" si="1"/>
        <v>0</v>
      </c>
      <c r="BF13" s="37">
        <v>0</v>
      </c>
      <c r="BG13" s="21">
        <v>0</v>
      </c>
      <c r="BH13" s="21">
        <v>0</v>
      </c>
      <c r="BI13" s="21">
        <v>0</v>
      </c>
      <c r="BJ13" s="21">
        <v>0</v>
      </c>
      <c r="BK13" s="22">
        <f t="shared" si="2"/>
        <v>0</v>
      </c>
      <c r="BL13" s="23">
        <f t="shared" si="3"/>
        <v>0</v>
      </c>
      <c r="BM13" s="24">
        <v>0</v>
      </c>
      <c r="BN13" s="24">
        <v>0</v>
      </c>
      <c r="BO13" s="24">
        <v>0</v>
      </c>
      <c r="BP13" s="25">
        <f t="shared" si="4"/>
        <v>0</v>
      </c>
    </row>
    <row r="14" spans="1:68" x14ac:dyDescent="0.3">
      <c r="A14" s="14">
        <f t="shared" si="5"/>
        <v>13</v>
      </c>
      <c r="B14" s="16" t="s">
        <v>14</v>
      </c>
      <c r="C14" s="20">
        <v>319.49262918860313</v>
      </c>
      <c r="D14" s="20">
        <v>161.87661260748138</v>
      </c>
      <c r="E14" s="45">
        <v>0</v>
      </c>
      <c r="F14" s="45">
        <v>0</v>
      </c>
      <c r="G14" s="45">
        <v>53.109220000000008</v>
      </c>
      <c r="H14" s="20">
        <v>1299.9847513628401</v>
      </c>
      <c r="I14" s="20">
        <v>6.7068291581223587</v>
      </c>
      <c r="J14" s="20">
        <v>392.42898412241095</v>
      </c>
      <c r="K14" s="20">
        <v>196.00810676672805</v>
      </c>
      <c r="L14" s="20">
        <v>421625.14735991403</v>
      </c>
      <c r="M14" s="20">
        <v>6011675.5547028072</v>
      </c>
      <c r="N14" s="20">
        <v>0</v>
      </c>
      <c r="O14" s="20">
        <v>638807.37975481618</v>
      </c>
      <c r="P14" s="20">
        <v>937.73223418138173</v>
      </c>
      <c r="Q14" s="20">
        <v>150816.25950416553</v>
      </c>
      <c r="R14" s="20">
        <v>1.2037082685010724E-6</v>
      </c>
      <c r="S14" s="20">
        <v>19.830078715906634</v>
      </c>
      <c r="T14" s="20">
        <v>1.4151493179721595</v>
      </c>
      <c r="U14" s="20">
        <v>121.20921963098554</v>
      </c>
      <c r="V14" s="20">
        <v>596.90934069967057</v>
      </c>
      <c r="W14" s="20">
        <v>532147.05516401853</v>
      </c>
      <c r="X14" s="20">
        <v>21129.683601713412</v>
      </c>
      <c r="Y14" s="20">
        <v>245768.14206419716</v>
      </c>
      <c r="Z14" s="20">
        <v>165.74476110275444</v>
      </c>
      <c r="AA14" s="20">
        <v>2088.1395665610348</v>
      </c>
      <c r="AB14" s="20">
        <v>2.1244334589060943</v>
      </c>
      <c r="AC14" s="20">
        <v>212.83297214594913</v>
      </c>
      <c r="AD14" s="20">
        <v>1292.6179328160208</v>
      </c>
      <c r="AE14" s="20">
        <v>7567.0171141871851</v>
      </c>
      <c r="AF14" s="20">
        <v>7197.5002207387724</v>
      </c>
      <c r="AG14" s="20">
        <v>1.778399831055216</v>
      </c>
      <c r="AH14" s="20">
        <v>40.434921339745202</v>
      </c>
      <c r="AI14" s="20">
        <v>7762259.0653702002</v>
      </c>
      <c r="AJ14" s="20">
        <v>1036.4998009789344</v>
      </c>
      <c r="AK14" s="20">
        <v>7412.9563987410784</v>
      </c>
      <c r="AL14" s="20">
        <v>125.71011004290034</v>
      </c>
      <c r="AM14" s="20">
        <v>876.58568311131899</v>
      </c>
      <c r="AN14" s="20">
        <v>212.59783344610358</v>
      </c>
      <c r="AO14" s="20">
        <v>112.23471581004705</v>
      </c>
      <c r="AP14" s="20">
        <v>1126.6162397376277</v>
      </c>
      <c r="AQ14" s="20">
        <v>226.88400903145083</v>
      </c>
      <c r="AR14" s="20">
        <v>42.877566448009262</v>
      </c>
      <c r="AS14" s="20">
        <v>143.38842389116385</v>
      </c>
      <c r="AT14" s="20">
        <v>2948.0780128976612</v>
      </c>
      <c r="AU14" s="20">
        <v>1362.9584995041655</v>
      </c>
      <c r="AV14" s="20">
        <v>688.26563338890526</v>
      </c>
      <c r="AW14" s="20">
        <v>173.78145905109508</v>
      </c>
      <c r="AX14" s="20">
        <v>1.0807062443777469</v>
      </c>
      <c r="AY14" s="20">
        <v>1165.2631333732636</v>
      </c>
      <c r="AZ14" s="20">
        <v>134.89974498502337</v>
      </c>
      <c r="BA14" s="20">
        <v>3208.4910049672985</v>
      </c>
      <c r="BB14" s="20">
        <v>1316.0393746358741</v>
      </c>
      <c r="BC14" s="20">
        <v>101.79208012596293</v>
      </c>
      <c r="BD14" s="20">
        <v>157.67616916625053</v>
      </c>
      <c r="BE14" s="29">
        <f t="shared" si="1"/>
        <v>15829477.857600549</v>
      </c>
      <c r="BF14" s="37">
        <v>55235.697327798618</v>
      </c>
      <c r="BG14" s="21">
        <v>0</v>
      </c>
      <c r="BH14" s="21">
        <v>276049.54308297631</v>
      </c>
      <c r="BI14" s="33">
        <v>1280.580799725361</v>
      </c>
      <c r="BJ14" s="21">
        <v>22413430.959214401</v>
      </c>
      <c r="BK14" s="22">
        <f t="shared" si="2"/>
        <v>22745996.7804249</v>
      </c>
      <c r="BL14" s="23">
        <f t="shared" si="3"/>
        <v>38575474.638025448</v>
      </c>
      <c r="BM14" s="24">
        <v>0</v>
      </c>
      <c r="BN14" s="24">
        <v>0</v>
      </c>
      <c r="BO14" s="24">
        <v>38575474.635965444</v>
      </c>
      <c r="BP14" s="25">
        <f t="shared" si="4"/>
        <v>38575474.635965444</v>
      </c>
    </row>
    <row r="15" spans="1:68" x14ac:dyDescent="0.3">
      <c r="A15" s="14">
        <f t="shared" si="5"/>
        <v>14</v>
      </c>
      <c r="B15" s="16" t="s">
        <v>15</v>
      </c>
      <c r="C15" s="20">
        <v>12065.159972710511</v>
      </c>
      <c r="D15" s="20">
        <v>15509.734593778112</v>
      </c>
      <c r="E15" s="45">
        <v>0</v>
      </c>
      <c r="F15" s="45">
        <v>0</v>
      </c>
      <c r="G15" s="45">
        <v>1115.2936200000001</v>
      </c>
      <c r="H15" s="20">
        <v>876891.75203138031</v>
      </c>
      <c r="I15" s="20">
        <v>1166.5333526266586</v>
      </c>
      <c r="J15" s="20">
        <v>139743.53817044009</v>
      </c>
      <c r="K15" s="20">
        <v>297678.26525277615</v>
      </c>
      <c r="L15" s="20">
        <v>100658.18701821986</v>
      </c>
      <c r="M15" s="20">
        <v>1798036.6346431347</v>
      </c>
      <c r="N15" s="20">
        <v>0</v>
      </c>
      <c r="O15" s="20">
        <v>1455330.1754200237</v>
      </c>
      <c r="P15" s="20">
        <v>110939.16108911877</v>
      </c>
      <c r="Q15" s="20">
        <v>229416.21136301203</v>
      </c>
      <c r="R15" s="20">
        <v>5.1035578436159682E-4</v>
      </c>
      <c r="S15" s="20">
        <v>15901.950813478927</v>
      </c>
      <c r="T15" s="20">
        <v>58.071284308314105</v>
      </c>
      <c r="U15" s="20">
        <v>28044.168136607579</v>
      </c>
      <c r="V15" s="20">
        <v>458806.95589480933</v>
      </c>
      <c r="W15" s="20">
        <v>251899.56364339875</v>
      </c>
      <c r="X15" s="20">
        <v>229225.95373404541</v>
      </c>
      <c r="Y15" s="20">
        <v>51405.003413824321</v>
      </c>
      <c r="Z15" s="20">
        <v>3178.5919360937146</v>
      </c>
      <c r="AA15" s="20">
        <v>9192.104085109544</v>
      </c>
      <c r="AB15" s="20">
        <v>45.409296934426976</v>
      </c>
      <c r="AC15" s="20">
        <v>12834.803697576617</v>
      </c>
      <c r="AD15" s="20">
        <v>3507.2783905132733</v>
      </c>
      <c r="AE15" s="20">
        <v>10623.840909642384</v>
      </c>
      <c r="AF15" s="20">
        <v>18238.890086311902</v>
      </c>
      <c r="AG15" s="20">
        <v>2856.0784967952559</v>
      </c>
      <c r="AH15" s="20">
        <v>4929.533479578201</v>
      </c>
      <c r="AI15" s="20">
        <v>6582568.0118854912</v>
      </c>
      <c r="AJ15" s="20">
        <v>381314.0446698434</v>
      </c>
      <c r="AK15" s="20">
        <v>4753005.0794509714</v>
      </c>
      <c r="AL15" s="20">
        <v>167919.19958715196</v>
      </c>
      <c r="AM15" s="20">
        <v>2778008.0453037275</v>
      </c>
      <c r="AN15" s="20">
        <v>360627.90478267038</v>
      </c>
      <c r="AO15" s="20">
        <v>227385.31010410783</v>
      </c>
      <c r="AP15" s="20">
        <v>1531397.1206376986</v>
      </c>
      <c r="AQ15" s="20">
        <v>26698.781983123881</v>
      </c>
      <c r="AR15" s="20">
        <v>4011.0094043268246</v>
      </c>
      <c r="AS15" s="20">
        <v>44911.454831016257</v>
      </c>
      <c r="AT15" s="20">
        <v>55055.846465628703</v>
      </c>
      <c r="AU15" s="20">
        <v>4131.5026862956893</v>
      </c>
      <c r="AV15" s="20">
        <v>3307.3666026989031</v>
      </c>
      <c r="AW15" s="20">
        <v>33.488136552850541</v>
      </c>
      <c r="AX15" s="20">
        <v>22.048771053537759</v>
      </c>
      <c r="AY15" s="20">
        <v>66473.811278909605</v>
      </c>
      <c r="AZ15" s="20">
        <v>35514.355385023264</v>
      </c>
      <c r="BA15" s="20">
        <v>29178.194801459293</v>
      </c>
      <c r="BB15" s="20">
        <v>51087.537456640457</v>
      </c>
      <c r="BC15" s="20">
        <v>46432.202585644445</v>
      </c>
      <c r="BD15" s="20">
        <v>123016.5015576287</v>
      </c>
      <c r="BE15" s="29">
        <f t="shared" si="1"/>
        <v>23411397.662704274</v>
      </c>
      <c r="BF15" s="37">
        <v>2550793.5453205202</v>
      </c>
      <c r="BG15" s="21">
        <v>0</v>
      </c>
      <c r="BH15" s="21">
        <v>0</v>
      </c>
      <c r="BI15" s="21">
        <v>242016.21363480811</v>
      </c>
      <c r="BJ15" s="21">
        <v>1578087.22045965</v>
      </c>
      <c r="BK15" s="22">
        <f t="shared" si="2"/>
        <v>4370896.9794149781</v>
      </c>
      <c r="BL15" s="23">
        <f t="shared" si="3"/>
        <v>27782294.642119251</v>
      </c>
      <c r="BM15" s="24">
        <v>0</v>
      </c>
      <c r="BN15" s="24">
        <v>0</v>
      </c>
      <c r="BO15" s="24">
        <v>27782294.640344191</v>
      </c>
      <c r="BP15" s="25">
        <f t="shared" si="4"/>
        <v>27782294.640344191</v>
      </c>
    </row>
    <row r="16" spans="1:68" x14ac:dyDescent="0.3">
      <c r="A16" s="14">
        <f t="shared" si="5"/>
        <v>15</v>
      </c>
      <c r="B16" s="16" t="s">
        <v>16</v>
      </c>
      <c r="C16" s="20">
        <v>289.4062985689884</v>
      </c>
      <c r="D16" s="20">
        <v>277.61387147869192</v>
      </c>
      <c r="E16" s="45">
        <v>202872.54027679999</v>
      </c>
      <c r="F16" s="45">
        <v>482443.65323399997</v>
      </c>
      <c r="G16" s="45">
        <v>20771.015942000002</v>
      </c>
      <c r="H16" s="20">
        <v>359108.16298471513</v>
      </c>
      <c r="I16" s="20">
        <v>462203.20812697499</v>
      </c>
      <c r="J16" s="20">
        <v>1190.9483032581738</v>
      </c>
      <c r="K16" s="20">
        <v>515689.70990704093</v>
      </c>
      <c r="L16" s="20">
        <v>34892.592918441391</v>
      </c>
      <c r="M16" s="20">
        <v>108734.2998989257</v>
      </c>
      <c r="N16" s="20">
        <v>0</v>
      </c>
      <c r="O16" s="20">
        <v>1166.4570430103979</v>
      </c>
      <c r="P16" s="20">
        <v>8753.7919323477599</v>
      </c>
      <c r="Q16" s="20">
        <v>24218407.339719154</v>
      </c>
      <c r="R16" s="20">
        <v>7.3629130369462462E-2</v>
      </c>
      <c r="S16" s="20">
        <v>9035.10019326369</v>
      </c>
      <c r="T16" s="20">
        <v>307.59632508450164</v>
      </c>
      <c r="U16" s="20">
        <v>10644.294559724096</v>
      </c>
      <c r="V16" s="20">
        <v>42133.540137751785</v>
      </c>
      <c r="W16" s="20">
        <v>369627.14910907892</v>
      </c>
      <c r="X16" s="20">
        <v>17659.906612882565</v>
      </c>
      <c r="Y16" s="20">
        <v>3003.8311753589196</v>
      </c>
      <c r="Z16" s="20">
        <v>328.64503298053359</v>
      </c>
      <c r="AA16" s="20">
        <v>2118.1014595949246</v>
      </c>
      <c r="AB16" s="20">
        <v>35.751020762065117</v>
      </c>
      <c r="AC16" s="20">
        <v>2683.2047160146099</v>
      </c>
      <c r="AD16" s="20">
        <v>1469.4829577780561</v>
      </c>
      <c r="AE16" s="20">
        <v>2135.3516352329889</v>
      </c>
      <c r="AF16" s="20">
        <v>1804.9740074614815</v>
      </c>
      <c r="AG16" s="20">
        <v>157.31449359681156</v>
      </c>
      <c r="AH16" s="20">
        <v>6294.843820199103</v>
      </c>
      <c r="AI16" s="20">
        <v>95672.306203610686</v>
      </c>
      <c r="AJ16" s="20">
        <v>14658.112594735669</v>
      </c>
      <c r="AK16" s="20">
        <v>119262.68905529614</v>
      </c>
      <c r="AL16" s="20">
        <v>4698.100074298899</v>
      </c>
      <c r="AM16" s="20">
        <v>854.29598885951032</v>
      </c>
      <c r="AN16" s="20">
        <v>89562.412305398888</v>
      </c>
      <c r="AO16" s="20">
        <v>19863.040911846529</v>
      </c>
      <c r="AP16" s="20">
        <v>131482.57724845436</v>
      </c>
      <c r="AQ16" s="20">
        <v>7626.4061937379929</v>
      </c>
      <c r="AR16" s="20">
        <v>277714.51489059639</v>
      </c>
      <c r="AS16" s="20">
        <v>5454876.0789431073</v>
      </c>
      <c r="AT16" s="20">
        <v>19425.660654201987</v>
      </c>
      <c r="AU16" s="20">
        <v>26857.728371589496</v>
      </c>
      <c r="AV16" s="20">
        <v>36779.488184411151</v>
      </c>
      <c r="AW16" s="20">
        <v>1596.0147700870414</v>
      </c>
      <c r="AX16" s="20">
        <v>36.516435102232755</v>
      </c>
      <c r="AY16" s="20">
        <v>13475.858726730654</v>
      </c>
      <c r="AZ16" s="20">
        <v>3376.59857859367</v>
      </c>
      <c r="BA16" s="20">
        <v>582336.77053377032</v>
      </c>
      <c r="BB16" s="20">
        <v>598348.36753299867</v>
      </c>
      <c r="BC16" s="20">
        <v>659444.37447714224</v>
      </c>
      <c r="BD16" s="20">
        <v>179623.63391774803</v>
      </c>
      <c r="BE16" s="29">
        <f t="shared" si="1"/>
        <v>35223811.447934933</v>
      </c>
      <c r="BF16" s="38">
        <v>71048143.7564722</v>
      </c>
      <c r="BG16" s="21">
        <v>828181.85432557401</v>
      </c>
      <c r="BH16" s="21">
        <v>9536.2509726160442</v>
      </c>
      <c r="BI16" s="21">
        <v>-1345099</v>
      </c>
      <c r="BJ16" s="21">
        <v>29827341.829602905</v>
      </c>
      <c r="BK16" s="22">
        <f t="shared" si="2"/>
        <v>100368104.69137329</v>
      </c>
      <c r="BL16" s="23">
        <f t="shared" si="3"/>
        <v>135591916.13930821</v>
      </c>
      <c r="BM16" s="24">
        <v>0</v>
      </c>
      <c r="BN16" s="24">
        <v>0</v>
      </c>
      <c r="BO16" s="24">
        <v>135591916.13578528</v>
      </c>
      <c r="BP16" s="25">
        <f t="shared" si="4"/>
        <v>135591916.13578528</v>
      </c>
    </row>
    <row r="17" spans="1:68" x14ac:dyDescent="0.3">
      <c r="A17" s="14">
        <f t="shared" si="5"/>
        <v>16</v>
      </c>
      <c r="B17" s="16" t="s">
        <v>17</v>
      </c>
      <c r="C17" s="20">
        <v>1.435605589766439</v>
      </c>
      <c r="D17" s="20">
        <v>0.88872065906634312</v>
      </c>
      <c r="E17" s="45">
        <v>0</v>
      </c>
      <c r="F17" s="45">
        <v>0</v>
      </c>
      <c r="G17" s="45">
        <v>5.3109219999999997</v>
      </c>
      <c r="H17" s="20">
        <v>8.7267183333771001</v>
      </c>
      <c r="I17" s="20">
        <v>4.0284016009701516E-2</v>
      </c>
      <c r="J17" s="20">
        <v>2.0758478738813531</v>
      </c>
      <c r="K17" s="20">
        <v>142.65332442219974</v>
      </c>
      <c r="L17" s="20">
        <v>14.396352127639339</v>
      </c>
      <c r="M17" s="20">
        <v>122.97735020182415</v>
      </c>
      <c r="N17" s="20">
        <v>0</v>
      </c>
      <c r="O17" s="20">
        <v>6.2395223439536895</v>
      </c>
      <c r="P17" s="20">
        <v>1.5680104216883033</v>
      </c>
      <c r="Q17" s="20">
        <v>4.2795234375601661</v>
      </c>
      <c r="R17" s="20">
        <v>2.229130529610678</v>
      </c>
      <c r="S17" s="20">
        <v>0.1355554403339097</v>
      </c>
      <c r="T17" s="20">
        <v>8.2359404317811828E-4</v>
      </c>
      <c r="U17" s="20">
        <v>0.30679653162153553</v>
      </c>
      <c r="V17" s="20">
        <v>4.0583677800637874</v>
      </c>
      <c r="W17" s="20">
        <v>1.1501479237050374</v>
      </c>
      <c r="X17" s="20">
        <v>3.3680168219157611</v>
      </c>
      <c r="Y17" s="20">
        <v>0.56744530827219986</v>
      </c>
      <c r="Z17" s="20">
        <v>1.6685555551228623E-2</v>
      </c>
      <c r="AA17" s="20">
        <v>0.26449344490224308</v>
      </c>
      <c r="AB17" s="20">
        <v>2.6690445976822255E-3</v>
      </c>
      <c r="AC17" s="20">
        <v>0.45217025919594933</v>
      </c>
      <c r="AD17" s="20">
        <v>0.11740658373375698</v>
      </c>
      <c r="AE17" s="20">
        <v>0.12142851873314531</v>
      </c>
      <c r="AF17" s="20">
        <v>3.1573672755866005</v>
      </c>
      <c r="AG17" s="20">
        <v>1.090399337278285E-2</v>
      </c>
      <c r="AH17" s="20">
        <v>0.22874077600329892</v>
      </c>
      <c r="AI17" s="20">
        <v>52.872163123590745</v>
      </c>
      <c r="AJ17" s="20">
        <v>6.8683345672867464</v>
      </c>
      <c r="AK17" s="20">
        <v>47.439606868193948</v>
      </c>
      <c r="AL17" s="20">
        <v>0.68435353881740579</v>
      </c>
      <c r="AM17" s="20">
        <v>6.0567140881018613</v>
      </c>
      <c r="AN17" s="20">
        <v>1.4080861886441121</v>
      </c>
      <c r="AO17" s="20">
        <v>0.74002913898552158</v>
      </c>
      <c r="AP17" s="20">
        <v>7.7839616366811484</v>
      </c>
      <c r="AQ17" s="20">
        <v>1.2918619748776612</v>
      </c>
      <c r="AR17" s="20">
        <v>0.2781487050530731</v>
      </c>
      <c r="AS17" s="20">
        <v>0.95826754600866981</v>
      </c>
      <c r="AT17" s="20">
        <v>19.650180682492536</v>
      </c>
      <c r="AU17" s="20">
        <v>9.2722394571405946</v>
      </c>
      <c r="AV17" s="20">
        <v>4.7032818129861829</v>
      </c>
      <c r="AW17" s="20">
        <v>1.1903837634827659</v>
      </c>
      <c r="AX17" s="20">
        <v>7.3352343786721235E-3</v>
      </c>
      <c r="AY17" s="20">
        <v>5.6172275774696088</v>
      </c>
      <c r="AZ17" s="20">
        <v>0.9207677884085983</v>
      </c>
      <c r="BA17" s="20">
        <v>19.717579832435785</v>
      </c>
      <c r="BB17" s="20">
        <v>8.8863271927325229</v>
      </c>
      <c r="BC17" s="20">
        <v>0.67375802092951786</v>
      </c>
      <c r="BD17" s="20">
        <v>1.4326002835751805</v>
      </c>
      <c r="BE17" s="29">
        <f t="shared" si="1"/>
        <v>525.23353983048207</v>
      </c>
      <c r="BF17" s="38">
        <v>1565.014984449303</v>
      </c>
      <c r="BG17" s="21">
        <v>0</v>
      </c>
      <c r="BH17" s="21">
        <v>4.5197292516125076</v>
      </c>
      <c r="BI17" s="33">
        <v>-0.37541226554109919</v>
      </c>
      <c r="BJ17" s="21">
        <v>0</v>
      </c>
      <c r="BK17" s="22">
        <f t="shared" si="2"/>
        <v>1569.1593014353743</v>
      </c>
      <c r="BL17" s="23">
        <f t="shared" si="3"/>
        <v>2094.3928412658565</v>
      </c>
      <c r="BM17" s="24">
        <v>0</v>
      </c>
      <c r="BN17" s="24">
        <v>0</v>
      </c>
      <c r="BO17" s="24">
        <v>2094.3918299175275</v>
      </c>
      <c r="BP17" s="25">
        <f t="shared" si="4"/>
        <v>2094.3918299175275</v>
      </c>
    </row>
    <row r="18" spans="1:68" x14ac:dyDescent="0.3">
      <c r="A18" s="14">
        <f t="shared" si="5"/>
        <v>17</v>
      </c>
      <c r="B18" s="16" t="s">
        <v>18</v>
      </c>
      <c r="C18" s="20">
        <v>1454.2939142890966</v>
      </c>
      <c r="D18" s="20">
        <v>3493.2937519288052</v>
      </c>
      <c r="E18" s="45">
        <v>83069.437927999999</v>
      </c>
      <c r="F18" s="45">
        <v>2928.410652</v>
      </c>
      <c r="G18" s="45">
        <v>181.10244020000002</v>
      </c>
      <c r="H18" s="20">
        <v>1821.3114130599624</v>
      </c>
      <c r="I18" s="20">
        <v>1.5702782549687178</v>
      </c>
      <c r="J18" s="20">
        <v>206.67827007190576</v>
      </c>
      <c r="K18" s="20">
        <v>300.27639037390031</v>
      </c>
      <c r="L18" s="20">
        <v>320.03548666318483</v>
      </c>
      <c r="M18" s="20">
        <v>2075.4636391037025</v>
      </c>
      <c r="N18" s="20">
        <v>0</v>
      </c>
      <c r="O18" s="20">
        <v>57.355505782165345</v>
      </c>
      <c r="P18" s="20">
        <v>0.61967270529594987</v>
      </c>
      <c r="Q18" s="20">
        <v>1462.5952493294378</v>
      </c>
      <c r="R18" s="20">
        <v>1.5975144316651003E-7</v>
      </c>
      <c r="S18" s="20">
        <v>22614.446773190859</v>
      </c>
      <c r="T18" s="20">
        <v>6.2157158465983269</v>
      </c>
      <c r="U18" s="20">
        <v>232.86432136677871</v>
      </c>
      <c r="V18" s="20">
        <v>1558.261406967327</v>
      </c>
      <c r="W18" s="20">
        <v>1131.8823998517605</v>
      </c>
      <c r="X18" s="20">
        <v>8485.8873596112917</v>
      </c>
      <c r="Y18" s="20">
        <v>47.866744504213301</v>
      </c>
      <c r="Z18" s="20">
        <v>0.43381775868074618</v>
      </c>
      <c r="AA18" s="20">
        <v>138.14804504975646</v>
      </c>
      <c r="AB18" s="20">
        <v>9.6924650543738125E-2</v>
      </c>
      <c r="AC18" s="20">
        <v>29.482113320973536</v>
      </c>
      <c r="AD18" s="20">
        <v>963.16416354252931</v>
      </c>
      <c r="AE18" s="20">
        <v>234.3704709338873</v>
      </c>
      <c r="AF18" s="20">
        <v>0.26188156335007112</v>
      </c>
      <c r="AG18" s="20">
        <v>0.33801230687779671</v>
      </c>
      <c r="AH18" s="20">
        <v>26.332030685036415</v>
      </c>
      <c r="AI18" s="20">
        <v>11257.983478994471</v>
      </c>
      <c r="AJ18" s="20">
        <v>3284.0734798608091</v>
      </c>
      <c r="AK18" s="20">
        <v>14915.560177916652</v>
      </c>
      <c r="AL18" s="20">
        <v>0.11796050496690622</v>
      </c>
      <c r="AM18" s="20">
        <v>8.2298806372714157</v>
      </c>
      <c r="AN18" s="20">
        <v>26.836520072699791</v>
      </c>
      <c r="AO18" s="20">
        <v>0.18039247431832287</v>
      </c>
      <c r="AP18" s="20">
        <v>5.8552449863933989</v>
      </c>
      <c r="AQ18" s="20">
        <v>160.11651616858998</v>
      </c>
      <c r="AR18" s="20">
        <v>314.59560573495884</v>
      </c>
      <c r="AS18" s="20">
        <v>196.07678625760866</v>
      </c>
      <c r="AT18" s="20">
        <v>254.96135428637035</v>
      </c>
      <c r="AU18" s="20">
        <v>736.02102390634877</v>
      </c>
      <c r="AV18" s="20">
        <v>107.27333496031579</v>
      </c>
      <c r="AW18" s="20">
        <v>20.861744712783718</v>
      </c>
      <c r="AX18" s="20">
        <v>0.13610009253685379</v>
      </c>
      <c r="AY18" s="20">
        <v>476.89954429210832</v>
      </c>
      <c r="AZ18" s="20">
        <v>79.245144951967603</v>
      </c>
      <c r="BA18" s="20">
        <v>3109.7131463885776</v>
      </c>
      <c r="BB18" s="20">
        <v>4157.1856158191949</v>
      </c>
      <c r="BC18" s="20">
        <v>6939.1025701229346</v>
      </c>
      <c r="BD18" s="20">
        <v>8233.8600817812094</v>
      </c>
      <c r="BE18" s="29">
        <f t="shared" si="1"/>
        <v>187127.38247799568</v>
      </c>
      <c r="BF18" s="38">
        <v>463449.10829544999</v>
      </c>
      <c r="BG18" s="21">
        <v>0</v>
      </c>
      <c r="BH18" s="21">
        <v>22628.033732008651</v>
      </c>
      <c r="BI18" s="21">
        <v>588.15018622561774</v>
      </c>
      <c r="BJ18" s="21">
        <v>4271.3848531453004</v>
      </c>
      <c r="BK18" s="22">
        <f t="shared" si="2"/>
        <v>490936.67706682952</v>
      </c>
      <c r="BL18" s="23">
        <f t="shared" si="3"/>
        <v>678064.05954482523</v>
      </c>
      <c r="BM18" s="24">
        <v>0</v>
      </c>
      <c r="BN18" s="24">
        <v>0</v>
      </c>
      <c r="BO18" s="24">
        <v>678064.05914763873</v>
      </c>
      <c r="BP18" s="25">
        <f t="shared" si="4"/>
        <v>678064.05914763873</v>
      </c>
    </row>
    <row r="19" spans="1:68" x14ac:dyDescent="0.3">
      <c r="A19" s="14">
        <f t="shared" si="5"/>
        <v>18</v>
      </c>
      <c r="B19" s="16" t="s">
        <v>19</v>
      </c>
      <c r="C19" s="20">
        <v>0</v>
      </c>
      <c r="D19" s="20">
        <v>0</v>
      </c>
      <c r="E19" s="45">
        <v>0</v>
      </c>
      <c r="F19" s="45">
        <v>0</v>
      </c>
      <c r="G19" s="45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34</v>
      </c>
      <c r="R19" s="20">
        <v>3.2457119309724853E-6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23.997702825176116</v>
      </c>
      <c r="AE19" s="20">
        <v>0</v>
      </c>
      <c r="AF19" s="20">
        <v>0</v>
      </c>
      <c r="AG19" s="20">
        <v>0</v>
      </c>
      <c r="AH19" s="20">
        <v>30.147070878808741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2.384752109340214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9">
        <f t="shared" si="1"/>
        <v>90.529529059037003</v>
      </c>
      <c r="BF19" s="38">
        <v>2998.74</v>
      </c>
      <c r="BG19" s="21">
        <v>0</v>
      </c>
      <c r="BH19" s="21">
        <v>0</v>
      </c>
      <c r="BI19" s="21">
        <v>-69.979884323157805</v>
      </c>
      <c r="BJ19" s="21">
        <v>0</v>
      </c>
      <c r="BK19" s="22">
        <f t="shared" si="2"/>
        <v>2928.7601156768419</v>
      </c>
      <c r="BL19" s="23">
        <f t="shared" si="3"/>
        <v>3019.2896447358789</v>
      </c>
      <c r="BM19" s="24">
        <v>0</v>
      </c>
      <c r="BN19" s="24">
        <v>0</v>
      </c>
      <c r="BO19" s="24">
        <v>3019.2874516254628</v>
      </c>
      <c r="BP19" s="25">
        <f t="shared" si="4"/>
        <v>3019.2874516254628</v>
      </c>
    </row>
    <row r="20" spans="1:68" x14ac:dyDescent="0.3">
      <c r="A20" s="14">
        <f t="shared" si="5"/>
        <v>19</v>
      </c>
      <c r="B20" s="16" t="s">
        <v>20</v>
      </c>
      <c r="C20" s="20">
        <v>300.62894178486567</v>
      </c>
      <c r="D20" s="20">
        <v>449.14953848550778</v>
      </c>
      <c r="E20" s="45">
        <v>40274.575040000003</v>
      </c>
      <c r="F20" s="45">
        <v>0</v>
      </c>
      <c r="G20" s="45">
        <v>106.21844000000002</v>
      </c>
      <c r="H20" s="20">
        <v>2398.8733079482258</v>
      </c>
      <c r="I20" s="20">
        <v>60.377394381531843</v>
      </c>
      <c r="J20" s="20">
        <v>210.16635016373272</v>
      </c>
      <c r="K20" s="20">
        <v>248.89561843541333</v>
      </c>
      <c r="L20" s="20">
        <v>591.50310898752866</v>
      </c>
      <c r="M20" s="20">
        <v>5849.1067156710142</v>
      </c>
      <c r="N20" s="20">
        <v>0</v>
      </c>
      <c r="O20" s="20">
        <v>1533.5500922608758</v>
      </c>
      <c r="P20" s="20">
        <v>107.72401276430153</v>
      </c>
      <c r="Q20" s="20">
        <v>8535.159834881033</v>
      </c>
      <c r="R20" s="20">
        <v>5.7088864142802245E-2</v>
      </c>
      <c r="S20" s="20">
        <v>69.344380955715195</v>
      </c>
      <c r="T20" s="20">
        <v>0.27108313517206173</v>
      </c>
      <c r="U20" s="20">
        <v>6894.9562143753146</v>
      </c>
      <c r="V20" s="20">
        <v>2042.9801549202366</v>
      </c>
      <c r="W20" s="20">
        <v>1106.8276317826453</v>
      </c>
      <c r="X20" s="20">
        <v>3233.2766406499691</v>
      </c>
      <c r="Y20" s="20">
        <v>146.84212577254468</v>
      </c>
      <c r="Z20" s="20">
        <v>12.120230776705897</v>
      </c>
      <c r="AA20" s="20">
        <v>208.5776970148201</v>
      </c>
      <c r="AB20" s="20">
        <v>5.1895360830889681</v>
      </c>
      <c r="AC20" s="20">
        <v>353.82793799928004</v>
      </c>
      <c r="AD20" s="20">
        <v>1702.7527037417269</v>
      </c>
      <c r="AE20" s="20">
        <v>2338.1972114224031</v>
      </c>
      <c r="AF20" s="20">
        <v>143.93125476424544</v>
      </c>
      <c r="AG20" s="20">
        <v>0.98966692953110447</v>
      </c>
      <c r="AH20" s="20">
        <v>36.90434640799247</v>
      </c>
      <c r="AI20" s="20">
        <v>271600.90403602796</v>
      </c>
      <c r="AJ20" s="20">
        <v>736.92552052947349</v>
      </c>
      <c r="AK20" s="20">
        <v>11320.259821303649</v>
      </c>
      <c r="AL20" s="20">
        <v>66.111409215624704</v>
      </c>
      <c r="AM20" s="20">
        <v>827.32695000244598</v>
      </c>
      <c r="AN20" s="20">
        <v>104.35626547576761</v>
      </c>
      <c r="AO20" s="20">
        <v>80.564707057211862</v>
      </c>
      <c r="AP20" s="20">
        <v>664.99021350077783</v>
      </c>
      <c r="AQ20" s="20">
        <v>74.337482073710376</v>
      </c>
      <c r="AR20" s="20">
        <v>72.009579098748688</v>
      </c>
      <c r="AS20" s="20">
        <v>1349.2150624609046</v>
      </c>
      <c r="AT20" s="20">
        <v>1173.4484501849706</v>
      </c>
      <c r="AU20" s="20">
        <v>359.96784693285929</v>
      </c>
      <c r="AV20" s="20">
        <v>204.74308514952418</v>
      </c>
      <c r="AW20" s="20">
        <v>50.913083325075327</v>
      </c>
      <c r="AX20" s="20">
        <v>0.31331259699403419</v>
      </c>
      <c r="AY20" s="20">
        <v>285.89031735832395</v>
      </c>
      <c r="AZ20" s="20">
        <v>63.547062931246188</v>
      </c>
      <c r="BA20" s="20">
        <v>1052.4070394086061</v>
      </c>
      <c r="BB20" s="20">
        <v>709.46410065964983</v>
      </c>
      <c r="BC20" s="20">
        <v>344.99934381514208</v>
      </c>
      <c r="BD20" s="20">
        <v>731.06933920579888</v>
      </c>
      <c r="BE20" s="29">
        <f t="shared" si="1"/>
        <v>370836.73832967394</v>
      </c>
      <c r="BF20" s="37">
        <v>35475.647451998797</v>
      </c>
      <c r="BG20" s="21">
        <v>70.94145012332929</v>
      </c>
      <c r="BH20" s="21">
        <v>7636.2164722653179</v>
      </c>
      <c r="BI20" s="21">
        <v>11345.687008591005</v>
      </c>
      <c r="BJ20" s="21">
        <v>1887852.9785800199</v>
      </c>
      <c r="BK20" s="22">
        <f t="shared" si="2"/>
        <v>1942381.4709629985</v>
      </c>
      <c r="BL20" s="23">
        <f t="shared" si="3"/>
        <v>2313218.2092926726</v>
      </c>
      <c r="BM20" s="24">
        <v>0</v>
      </c>
      <c r="BN20" s="24">
        <v>0</v>
      </c>
      <c r="BO20" s="24">
        <v>2313218.2116401913</v>
      </c>
      <c r="BP20" s="25">
        <f t="shared" si="4"/>
        <v>2313218.2116401913</v>
      </c>
    </row>
    <row r="21" spans="1:68" x14ac:dyDescent="0.3">
      <c r="A21" s="14">
        <f t="shared" si="5"/>
        <v>20</v>
      </c>
      <c r="B21" s="16" t="s">
        <v>21</v>
      </c>
      <c r="C21" s="20">
        <v>3817.0134560676634</v>
      </c>
      <c r="D21" s="20">
        <v>11973.491030722585</v>
      </c>
      <c r="E21" s="45">
        <v>6791.6441759999998</v>
      </c>
      <c r="F21" s="45">
        <v>0</v>
      </c>
      <c r="G21" s="45">
        <v>169.94950399999999</v>
      </c>
      <c r="H21" s="20">
        <v>43316.883928374846</v>
      </c>
      <c r="I21" s="20">
        <v>337.23088890646864</v>
      </c>
      <c r="J21" s="20">
        <v>1653.9843949854355</v>
      </c>
      <c r="K21" s="20">
        <v>1283.3121369972439</v>
      </c>
      <c r="L21" s="20">
        <v>68319.358296511346</v>
      </c>
      <c r="M21" s="20">
        <v>350059.38188749057</v>
      </c>
      <c r="N21" s="20">
        <v>0</v>
      </c>
      <c r="O21" s="20">
        <v>15444.515304808863</v>
      </c>
      <c r="P21" s="20">
        <v>715.45506834609807</v>
      </c>
      <c r="Q21" s="20">
        <v>84446.797693878121</v>
      </c>
      <c r="R21" s="20">
        <v>0.3191064163743032</v>
      </c>
      <c r="S21" s="20">
        <v>1755.4840170158882</v>
      </c>
      <c r="T21" s="20">
        <v>11.028255858530573</v>
      </c>
      <c r="U21" s="20">
        <v>2121.6697012604627</v>
      </c>
      <c r="V21" s="20">
        <v>3375615.3196751294</v>
      </c>
      <c r="W21" s="20">
        <v>16939.405032146544</v>
      </c>
      <c r="X21" s="20">
        <v>75924.286306106223</v>
      </c>
      <c r="Y21" s="20">
        <v>4498.8704237225093</v>
      </c>
      <c r="Z21" s="20">
        <v>199.83883325559313</v>
      </c>
      <c r="AA21" s="20">
        <v>5341.1150669824374</v>
      </c>
      <c r="AB21" s="20">
        <v>33.212750144219036</v>
      </c>
      <c r="AC21" s="20">
        <v>2484.6236587286521</v>
      </c>
      <c r="AD21" s="20">
        <v>2142.599948796174</v>
      </c>
      <c r="AE21" s="20">
        <v>1649.2264536138919</v>
      </c>
      <c r="AF21" s="20">
        <v>562.64425739686942</v>
      </c>
      <c r="AG21" s="20">
        <v>22.324610914392416</v>
      </c>
      <c r="AH21" s="20">
        <v>405.27608539854646</v>
      </c>
      <c r="AI21" s="20">
        <v>415787.3648448009</v>
      </c>
      <c r="AJ21" s="20">
        <v>95552.927719723943</v>
      </c>
      <c r="AK21" s="20">
        <v>978645.91265007795</v>
      </c>
      <c r="AL21" s="20">
        <v>2276.5866288796551</v>
      </c>
      <c r="AM21" s="20">
        <v>5523.6711383627735</v>
      </c>
      <c r="AN21" s="20">
        <v>1212.20832004196</v>
      </c>
      <c r="AO21" s="20">
        <v>2374.0992919845808</v>
      </c>
      <c r="AP21" s="20">
        <v>3955.192890872308</v>
      </c>
      <c r="AQ21" s="20">
        <v>2479.1385565440205</v>
      </c>
      <c r="AR21" s="20">
        <v>1534.4546733614527</v>
      </c>
      <c r="AS21" s="20">
        <v>10794.576569420762</v>
      </c>
      <c r="AT21" s="20">
        <v>445955.04329806223</v>
      </c>
      <c r="AU21" s="20">
        <v>31073.430250762081</v>
      </c>
      <c r="AV21" s="20">
        <v>56664.854405387639</v>
      </c>
      <c r="AW21" s="20">
        <v>9544.6239043097703</v>
      </c>
      <c r="AX21" s="20">
        <v>73.034458208128157</v>
      </c>
      <c r="AY21" s="20">
        <v>34752.846455408442</v>
      </c>
      <c r="AZ21" s="20">
        <v>10469.840155687005</v>
      </c>
      <c r="BA21" s="20">
        <v>200536.59078981853</v>
      </c>
      <c r="BB21" s="20">
        <v>299002.45702270273</v>
      </c>
      <c r="BC21" s="20">
        <v>13875.698562840531</v>
      </c>
      <c r="BD21" s="20">
        <v>22576.782077272357</v>
      </c>
      <c r="BE21" s="29">
        <f t="shared" si="1"/>
        <v>6722697.5966145061</v>
      </c>
      <c r="BF21" s="37">
        <v>555329.56269389193</v>
      </c>
      <c r="BG21" s="21">
        <v>395.10608036564781</v>
      </c>
      <c r="BH21" s="21">
        <v>41358.793376298025</v>
      </c>
      <c r="BI21" s="21">
        <v>-20592.689968641003</v>
      </c>
      <c r="BJ21" s="21">
        <v>10926628.310983401</v>
      </c>
      <c r="BK21" s="22">
        <f t="shared" si="2"/>
        <v>11503119.083165316</v>
      </c>
      <c r="BL21" s="23">
        <f t="shared" si="3"/>
        <v>18225816.67977982</v>
      </c>
      <c r="BM21" s="24">
        <v>0</v>
      </c>
      <c r="BN21" s="24">
        <v>0</v>
      </c>
      <c r="BO21" s="24">
        <v>18225816.683575958</v>
      </c>
      <c r="BP21" s="25">
        <f t="shared" si="4"/>
        <v>18225816.683575958</v>
      </c>
    </row>
    <row r="22" spans="1:68" x14ac:dyDescent="0.3">
      <c r="A22" s="14">
        <f t="shared" si="5"/>
        <v>21</v>
      </c>
      <c r="B22" s="16" t="s">
        <v>22</v>
      </c>
      <c r="C22" s="20">
        <v>732680.09121239453</v>
      </c>
      <c r="D22" s="20">
        <v>478893.777459084</v>
      </c>
      <c r="E22" s="45">
        <v>924591.67423039989</v>
      </c>
      <c r="F22" s="45">
        <v>554741.79162599996</v>
      </c>
      <c r="G22" s="45">
        <v>58060.167706839995</v>
      </c>
      <c r="H22" s="20">
        <v>279866.88341977989</v>
      </c>
      <c r="I22" s="20">
        <v>10139.351907631981</v>
      </c>
      <c r="J22" s="20">
        <v>3336.1543254623239</v>
      </c>
      <c r="K22" s="20">
        <v>25128.974044067858</v>
      </c>
      <c r="L22" s="20">
        <v>12385.752204484403</v>
      </c>
      <c r="M22" s="20">
        <v>627684.25824960007</v>
      </c>
      <c r="N22" s="20">
        <v>0</v>
      </c>
      <c r="O22" s="20">
        <f>2323272.42118739-1000000</f>
        <v>1323272.4211873901</v>
      </c>
      <c r="P22" s="20">
        <v>8922.5203973666958</v>
      </c>
      <c r="Q22" s="20">
        <v>659443.01235456497</v>
      </c>
      <c r="R22" s="20">
        <v>2.3485822317018392E-3</v>
      </c>
      <c r="S22" s="20">
        <v>107718.06735429098</v>
      </c>
      <c r="T22" s="20">
        <v>310.23583302692879</v>
      </c>
      <c r="U22" s="20">
        <v>115369.83460381289</v>
      </c>
      <c r="V22" s="20">
        <f>1455676.56308779-500000</f>
        <v>955676.56308779004</v>
      </c>
      <c r="W22" s="20">
        <f>3926498.15651705-2000000</f>
        <v>1926498.1565170502</v>
      </c>
      <c r="X22" s="20">
        <f>10655921.7439032-5000000-2000000</f>
        <v>3655921.7439031992</v>
      </c>
      <c r="Y22" s="20">
        <v>140650.8906835329</v>
      </c>
      <c r="Z22" s="20">
        <v>16900.032683980455</v>
      </c>
      <c r="AA22" s="20">
        <v>89196.832430807597</v>
      </c>
      <c r="AB22" s="20">
        <v>249.59601702134267</v>
      </c>
      <c r="AC22" s="20">
        <v>19131.600901107093</v>
      </c>
      <c r="AD22" s="20">
        <v>26014.188580309241</v>
      </c>
      <c r="AE22" s="20">
        <v>58906.31291336818</v>
      </c>
      <c r="AF22" s="20">
        <v>11602.855083301361</v>
      </c>
      <c r="AG22" s="20">
        <v>15.066204624949174</v>
      </c>
      <c r="AH22" s="20">
        <v>130823.16911411189</v>
      </c>
      <c r="AI22" s="20">
        <f>3339506.14674524-2000000</f>
        <v>1339506.1467452399</v>
      </c>
      <c r="AJ22" s="20">
        <v>71068.625214035827</v>
      </c>
      <c r="AK22" s="20">
        <v>338718.2531858756</v>
      </c>
      <c r="AL22" s="20">
        <v>5134.460305620787</v>
      </c>
      <c r="AM22" s="20">
        <v>17011.7726289001</v>
      </c>
      <c r="AN22" s="20">
        <v>6061.6674574335138</v>
      </c>
      <c r="AO22" s="20">
        <v>7830.0052214009429</v>
      </c>
      <c r="AP22" s="20">
        <v>3593.4931730229855</v>
      </c>
      <c r="AQ22" s="20">
        <v>2768.255708812746</v>
      </c>
      <c r="AR22" s="20">
        <v>6398.3424511537023</v>
      </c>
      <c r="AS22" s="20">
        <v>17462.104191169085</v>
      </c>
      <c r="AT22" s="20">
        <v>69014.24918091674</v>
      </c>
      <c r="AU22" s="20">
        <v>14939.665227795263</v>
      </c>
      <c r="AV22" s="20">
        <v>23626.636088838721</v>
      </c>
      <c r="AW22" s="20">
        <v>3647.0531655950554</v>
      </c>
      <c r="AX22" s="20">
        <v>14.48583649109978</v>
      </c>
      <c r="AY22" s="20">
        <v>26959.460696757866</v>
      </c>
      <c r="AZ22" s="20">
        <v>10400.108660341122</v>
      </c>
      <c r="BA22" s="20">
        <v>137243.30284819787</v>
      </c>
      <c r="BB22" s="20">
        <v>319608.74470251601</v>
      </c>
      <c r="BC22" s="20">
        <v>772887.95420340577</v>
      </c>
      <c r="BD22" s="20">
        <v>241223.11326167008</v>
      </c>
      <c r="BE22" s="29">
        <f t="shared" si="1"/>
        <v>16389249.878740175</v>
      </c>
      <c r="BF22" s="37">
        <v>1741978.6325905398</v>
      </c>
      <c r="BG22" s="21">
        <v>1.1760328975502874</v>
      </c>
      <c r="BH22" s="21">
        <v>885.07947599875047</v>
      </c>
      <c r="BI22" s="21">
        <v>-61196.511851702002</v>
      </c>
      <c r="BJ22" s="33">
        <v>277207.30639099993</v>
      </c>
      <c r="BK22" s="22">
        <f t="shared" si="2"/>
        <v>1958875.6826387336</v>
      </c>
      <c r="BL22" s="23">
        <f t="shared" si="3"/>
        <v>18348125.561378907</v>
      </c>
      <c r="BM22" s="24">
        <v>0</v>
      </c>
      <c r="BN22" s="24">
        <v>0</v>
      </c>
      <c r="BO22" s="24">
        <v>18348125.560723744</v>
      </c>
      <c r="BP22" s="25">
        <f t="shared" si="4"/>
        <v>18348125.560723744</v>
      </c>
    </row>
    <row r="23" spans="1:68" x14ac:dyDescent="0.3">
      <c r="A23" s="14">
        <f t="shared" si="5"/>
        <v>22</v>
      </c>
      <c r="B23" s="16" t="s">
        <v>23</v>
      </c>
      <c r="C23" s="20">
        <v>6140.5569210126732</v>
      </c>
      <c r="D23" s="20">
        <v>8109.6331521441998</v>
      </c>
      <c r="E23" s="45">
        <v>4990.5451679999996</v>
      </c>
      <c r="F23" s="45">
        <v>0</v>
      </c>
      <c r="G23" s="45">
        <v>33570.869054199997</v>
      </c>
      <c r="H23" s="20">
        <v>94774.176265919174</v>
      </c>
      <c r="I23" s="20">
        <v>306.19727351007367</v>
      </c>
      <c r="J23" s="20">
        <v>1567.3156981421407</v>
      </c>
      <c r="K23" s="20">
        <v>2776.0643062187364</v>
      </c>
      <c r="L23" s="20">
        <v>5020.6238420910195</v>
      </c>
      <c r="M23" s="20">
        <v>39755.069862407101</v>
      </c>
      <c r="N23" s="20">
        <v>0</v>
      </c>
      <c r="O23" s="20">
        <v>15130.441516670122</v>
      </c>
      <c r="P23" s="20">
        <v>900.76353437929743</v>
      </c>
      <c r="Q23" s="20">
        <v>38125.649977675566</v>
      </c>
      <c r="R23" s="20">
        <v>0.19413659520502588</v>
      </c>
      <c r="S23" s="20">
        <v>3553.1689618707755</v>
      </c>
      <c r="T23" s="20">
        <v>43.200806982122813</v>
      </c>
      <c r="U23" s="20">
        <v>6528.3257751409983</v>
      </c>
      <c r="V23" s="20">
        <v>35420.928906968882</v>
      </c>
      <c r="W23" s="20">
        <v>31203.813789156917</v>
      </c>
      <c r="X23" s="20">
        <v>2444660.8695065309</v>
      </c>
      <c r="Y23" s="20">
        <v>1321.3239152861947</v>
      </c>
      <c r="Z23" s="20">
        <v>91.946199471995214</v>
      </c>
      <c r="AA23" s="20">
        <v>15134.967693862209</v>
      </c>
      <c r="AB23" s="20">
        <v>60.793594566706673</v>
      </c>
      <c r="AC23" s="20">
        <v>22655.80738200204</v>
      </c>
      <c r="AD23" s="20">
        <v>11325.370760540809</v>
      </c>
      <c r="AE23" s="20">
        <v>11984.087069669329</v>
      </c>
      <c r="AF23" s="20">
        <v>2246.1230956492059</v>
      </c>
      <c r="AG23" s="20">
        <v>6.3174188164553913</v>
      </c>
      <c r="AH23" s="20">
        <v>775.66583810777502</v>
      </c>
      <c r="AI23" s="20">
        <v>2527699.9253274482</v>
      </c>
      <c r="AJ23" s="20">
        <v>104184.77532195071</v>
      </c>
      <c r="AK23" s="20">
        <v>828331.85441842384</v>
      </c>
      <c r="AL23" s="20">
        <v>2136.969614967174</v>
      </c>
      <c r="AM23" s="20">
        <v>128837.51943740516</v>
      </c>
      <c r="AN23" s="20">
        <v>9776.6449756789571</v>
      </c>
      <c r="AO23" s="20">
        <v>6382.4087411037508</v>
      </c>
      <c r="AP23" s="20">
        <v>70357.896341033964</v>
      </c>
      <c r="AQ23" s="20">
        <v>10061.848544124632</v>
      </c>
      <c r="AR23" s="20">
        <v>563.28422376359788</v>
      </c>
      <c r="AS23" s="20">
        <v>14452.52855369037</v>
      </c>
      <c r="AT23" s="20">
        <v>15383.930681306312</v>
      </c>
      <c r="AU23" s="20">
        <v>21108.828812383963</v>
      </c>
      <c r="AV23" s="20">
        <v>12068.26279638589</v>
      </c>
      <c r="AW23" s="20">
        <v>6116.4604233835353</v>
      </c>
      <c r="AX23" s="20">
        <v>41.415209553191417</v>
      </c>
      <c r="AY23" s="20">
        <v>25836.564583370244</v>
      </c>
      <c r="AZ23" s="20">
        <v>4490.2458955628717</v>
      </c>
      <c r="BA23" s="20">
        <v>23838.12973284713</v>
      </c>
      <c r="BB23" s="20">
        <v>48287.217629583538</v>
      </c>
      <c r="BC23" s="20">
        <v>15778.265670787003</v>
      </c>
      <c r="BD23" s="20">
        <v>18915.345392606887</v>
      </c>
      <c r="BE23" s="29">
        <f t="shared" si="1"/>
        <v>6732831.13375095</v>
      </c>
      <c r="BF23" s="37">
        <v>968223.76729633845</v>
      </c>
      <c r="BG23" s="21">
        <v>212.98226507636878</v>
      </c>
      <c r="BH23" s="21">
        <v>24295.802282329205</v>
      </c>
      <c r="BI23" s="21">
        <v>-55203.601315015505</v>
      </c>
      <c r="BJ23" s="33">
        <v>30938229.1685321</v>
      </c>
      <c r="BK23" s="22">
        <f t="shared" si="2"/>
        <v>31875758.119060829</v>
      </c>
      <c r="BL23" s="23">
        <f t="shared" si="3"/>
        <v>38608589.252811782</v>
      </c>
      <c r="BM23" s="24">
        <v>0</v>
      </c>
      <c r="BN23" s="24">
        <v>0</v>
      </c>
      <c r="BO23" s="24">
        <v>38608589.254496448</v>
      </c>
      <c r="BP23" s="25">
        <f t="shared" si="4"/>
        <v>38608589.254496448</v>
      </c>
    </row>
    <row r="24" spans="1:68" x14ac:dyDescent="0.3">
      <c r="A24" s="14">
        <f t="shared" si="5"/>
        <v>23</v>
      </c>
      <c r="B24" s="16" t="s">
        <v>24</v>
      </c>
      <c r="C24" s="20">
        <v>8.2786035305933332</v>
      </c>
      <c r="D24" s="20">
        <v>23.532680878257782</v>
      </c>
      <c r="E24" s="45">
        <v>4027.4575040000004</v>
      </c>
      <c r="F24" s="45">
        <v>0</v>
      </c>
      <c r="G24" s="45">
        <v>5.3109219999999997</v>
      </c>
      <c r="H24" s="20">
        <v>7244.2080098168417</v>
      </c>
      <c r="I24" s="20">
        <v>2.6281951124595286</v>
      </c>
      <c r="J24" s="20">
        <v>6.5223363467581361</v>
      </c>
      <c r="K24" s="20">
        <v>33.803622290899966</v>
      </c>
      <c r="L24" s="20">
        <v>7.4205926270684479</v>
      </c>
      <c r="M24" s="20">
        <v>92.697622742116138</v>
      </c>
      <c r="N24" s="20">
        <v>0</v>
      </c>
      <c r="O24" s="20">
        <v>28.098501361352415</v>
      </c>
      <c r="P24" s="20">
        <v>9081.4985127745767</v>
      </c>
      <c r="Q24" s="20">
        <v>9747.6928958404169</v>
      </c>
      <c r="R24" s="20">
        <v>1.7624704588091655E-3</v>
      </c>
      <c r="S24" s="20">
        <v>321.08674168555837</v>
      </c>
      <c r="T24" s="20">
        <v>0.30339557972771042</v>
      </c>
      <c r="U24" s="20">
        <v>5371.7465100393001</v>
      </c>
      <c r="V24" s="20">
        <v>939.52340751677946</v>
      </c>
      <c r="W24" s="20">
        <v>5471.386600641983</v>
      </c>
      <c r="X24" s="20">
        <v>74690.142345458837</v>
      </c>
      <c r="Y24" s="20">
        <v>116031.84864355532</v>
      </c>
      <c r="Z24" s="20">
        <v>168.38543697006983</v>
      </c>
      <c r="AA24" s="20">
        <v>2145.2664706128189</v>
      </c>
      <c r="AB24" s="20">
        <v>2.4903321171414361</v>
      </c>
      <c r="AC24" s="20">
        <v>1747.331912128926</v>
      </c>
      <c r="AD24" s="20">
        <v>2113.4396362262414</v>
      </c>
      <c r="AE24" s="20">
        <v>9845.7477481280966</v>
      </c>
      <c r="AF24" s="20">
        <v>240.9839890643824</v>
      </c>
      <c r="AG24" s="20">
        <v>2.0640390466871137E-2</v>
      </c>
      <c r="AH24" s="20">
        <v>653.31786537102937</v>
      </c>
      <c r="AI24" s="20">
        <f>17216896.0132254-14000000-648000</f>
        <v>2568896.013225399</v>
      </c>
      <c r="AJ24" s="20">
        <v>1353.2689795392378</v>
      </c>
      <c r="AK24" s="20">
        <v>8478.5560091854404</v>
      </c>
      <c r="AL24" s="20">
        <v>21558.016119784941</v>
      </c>
      <c r="AM24" s="20">
        <v>21890.092011128603</v>
      </c>
      <c r="AN24" s="20">
        <v>1667.0751852589592</v>
      </c>
      <c r="AO24" s="20">
        <v>12.291998867838629</v>
      </c>
      <c r="AP24" s="20">
        <v>121.43330147444762</v>
      </c>
      <c r="AQ24" s="20">
        <v>40.397465800469028</v>
      </c>
      <c r="AR24" s="20">
        <v>1.8333597218758575</v>
      </c>
      <c r="AS24" s="20">
        <v>36.422530322424016</v>
      </c>
      <c r="AT24" s="20">
        <v>106.83892703426136</v>
      </c>
      <c r="AU24" s="20">
        <v>92.830787751940704</v>
      </c>
      <c r="AV24" s="20">
        <v>2.2542601474117774</v>
      </c>
      <c r="AW24" s="20">
        <v>1.2412211633606771</v>
      </c>
      <c r="AX24" s="20">
        <v>2.5574231190860584E-2</v>
      </c>
      <c r="AY24" s="20">
        <v>76508.940695469268</v>
      </c>
      <c r="AZ24" s="20">
        <v>1328.805597564055</v>
      </c>
      <c r="BA24" s="20">
        <v>17176.017950048048</v>
      </c>
      <c r="BB24" s="20">
        <v>83095.05646180996</v>
      </c>
      <c r="BC24" s="20">
        <v>19419.250066152748</v>
      </c>
      <c r="BD24" s="20">
        <v>28269.07283576738</v>
      </c>
      <c r="BE24" s="29">
        <f t="shared" si="1"/>
        <v>3100107.9080009013</v>
      </c>
      <c r="BF24" s="37">
        <v>297112.54316526576</v>
      </c>
      <c r="BG24" s="21">
        <v>2.042142080541645</v>
      </c>
      <c r="BH24" s="33">
        <v>43529.391012983004</v>
      </c>
      <c r="BI24" s="21">
        <v>-70756.846826715046</v>
      </c>
      <c r="BJ24" s="33">
        <v>4277.5063810137299</v>
      </c>
      <c r="BK24" s="22">
        <f t="shared" si="2"/>
        <v>274164.63587462797</v>
      </c>
      <c r="BL24" s="23">
        <f t="shared" si="3"/>
        <v>3374272.5438755294</v>
      </c>
      <c r="BM24" s="24">
        <v>0</v>
      </c>
      <c r="BN24" s="24">
        <v>0</v>
      </c>
      <c r="BO24" s="24">
        <v>3374272.5422659055</v>
      </c>
      <c r="BP24" s="25">
        <f t="shared" si="4"/>
        <v>3374272.5422659055</v>
      </c>
    </row>
    <row r="25" spans="1:68" x14ac:dyDescent="0.3">
      <c r="A25" s="14">
        <f t="shared" si="5"/>
        <v>24</v>
      </c>
      <c r="B25" s="16" t="s">
        <v>25</v>
      </c>
      <c r="C25" s="20">
        <v>0.89770723072371139</v>
      </c>
      <c r="D25" s="20">
        <v>0.1684375688533381</v>
      </c>
      <c r="E25" s="45">
        <v>2626.6027200000003</v>
      </c>
      <c r="F25" s="45">
        <v>0</v>
      </c>
      <c r="G25" s="45">
        <v>4.7798297999999999</v>
      </c>
      <c r="H25" s="20">
        <v>6.1136538494224251</v>
      </c>
      <c r="I25" s="20">
        <v>6.950216351019476E-3</v>
      </c>
      <c r="J25" s="20">
        <v>5.9560873955652703E-2</v>
      </c>
      <c r="K25" s="20">
        <v>3.3459008322598995E-2</v>
      </c>
      <c r="L25" s="20">
        <v>1.4516072830756486</v>
      </c>
      <c r="M25" s="20">
        <v>23.37605258701997</v>
      </c>
      <c r="N25" s="20">
        <v>0</v>
      </c>
      <c r="O25" s="20">
        <v>11.84822957921163</v>
      </c>
      <c r="P25" s="20">
        <v>4.0205728896271902</v>
      </c>
      <c r="Q25" s="20">
        <v>2780.3579419937942</v>
      </c>
      <c r="R25" s="20">
        <v>5.1737681933004132E-10</v>
      </c>
      <c r="S25" s="20">
        <v>60.32878663359719</v>
      </c>
      <c r="T25" s="20">
        <v>6.5056862017224978E-2</v>
      </c>
      <c r="U25" s="20">
        <v>99.533927465175083</v>
      </c>
      <c r="V25" s="20">
        <v>9573.7695846387796</v>
      </c>
      <c r="W25" s="20">
        <v>724.78242822708921</v>
      </c>
      <c r="X25" s="20">
        <v>894.78395536347739</v>
      </c>
      <c r="Y25" s="20">
        <v>541.02408451955341</v>
      </c>
      <c r="Z25" s="20">
        <v>2333.6272040573208</v>
      </c>
      <c r="AA25" s="20">
        <v>10154.491610411353</v>
      </c>
      <c r="AB25" s="20">
        <v>31.593772575635619</v>
      </c>
      <c r="AC25" s="20">
        <v>2284.1352655613205</v>
      </c>
      <c r="AD25" s="20">
        <v>475.8448927158089</v>
      </c>
      <c r="AE25" s="20">
        <v>3820.3995303583379</v>
      </c>
      <c r="AF25" s="20">
        <v>1.2044013566175531</v>
      </c>
      <c r="AG25" s="20">
        <v>0</v>
      </c>
      <c r="AH25" s="20">
        <v>0.33346263538402299</v>
      </c>
      <c r="AI25" s="20">
        <f>805941.557211709-600000-20000</f>
        <v>185941.55721170898</v>
      </c>
      <c r="AJ25" s="20">
        <v>19.055024602087276</v>
      </c>
      <c r="AK25" s="20">
        <v>23.191923842203998</v>
      </c>
      <c r="AL25" s="20">
        <v>1.2426675423678726</v>
      </c>
      <c r="AM25" s="20">
        <v>3.1550519434592905</v>
      </c>
      <c r="AN25" s="20">
        <v>8.6154572888194128E-2</v>
      </c>
      <c r="AO25" s="20">
        <v>9.1932555510357922E-2</v>
      </c>
      <c r="AP25" s="20">
        <v>2.2397379370487226E-2</v>
      </c>
      <c r="AQ25" s="20">
        <v>0.18755569436315866</v>
      </c>
      <c r="AR25" s="20">
        <v>9.3530431256688987E-2</v>
      </c>
      <c r="AS25" s="20">
        <v>0.22318344470587384</v>
      </c>
      <c r="AT25" s="20">
        <v>24.894688312148986</v>
      </c>
      <c r="AU25" s="20">
        <v>1.1474418557375545</v>
      </c>
      <c r="AV25" s="20">
        <v>0.29958487470575024</v>
      </c>
      <c r="AW25" s="20">
        <v>5.2640596171360694E-2</v>
      </c>
      <c r="AX25" s="20">
        <v>1.2140158633144169E-4</v>
      </c>
      <c r="AY25" s="20">
        <v>1.0025649410770388</v>
      </c>
      <c r="AZ25" s="20">
        <v>0.90998068737100002</v>
      </c>
      <c r="BA25" s="20">
        <v>3.8496902931673609</v>
      </c>
      <c r="BB25" s="20">
        <v>9.4527549475686694</v>
      </c>
      <c r="BC25" s="20">
        <v>7.8143432830245718</v>
      </c>
      <c r="BD25" s="20">
        <v>4.0265072348260658</v>
      </c>
      <c r="BE25" s="29">
        <f t="shared" si="1"/>
        <v>222497.99163840691</v>
      </c>
      <c r="BF25" s="37">
        <v>150.65817706359834</v>
      </c>
      <c r="BG25" s="21">
        <v>0</v>
      </c>
      <c r="BH25" s="21">
        <v>79.07939725250732</v>
      </c>
      <c r="BI25" s="21">
        <v>37.955443936276914</v>
      </c>
      <c r="BJ25" s="21">
        <v>2632.5657076129605</v>
      </c>
      <c r="BK25" s="22">
        <f t="shared" si="2"/>
        <v>2900.258725865343</v>
      </c>
      <c r="BL25" s="23">
        <f t="shared" si="3"/>
        <v>225398.25036427224</v>
      </c>
      <c r="BM25" s="24">
        <v>0</v>
      </c>
      <c r="BN25" s="24">
        <v>0</v>
      </c>
      <c r="BO25" s="24">
        <v>225398.25493637112</v>
      </c>
      <c r="BP25" s="25">
        <f t="shared" si="4"/>
        <v>225398.25493637112</v>
      </c>
    </row>
    <row r="26" spans="1:68" x14ac:dyDescent="0.3">
      <c r="A26" s="14">
        <f t="shared" si="5"/>
        <v>25</v>
      </c>
      <c r="B26" s="16" t="s">
        <v>26</v>
      </c>
      <c r="C26" s="20">
        <v>3705.0934906522189</v>
      </c>
      <c r="D26" s="20">
        <v>695.87819997041254</v>
      </c>
      <c r="E26" s="45">
        <v>2639.1103520000001</v>
      </c>
      <c r="F26" s="45">
        <v>0</v>
      </c>
      <c r="G26" s="45">
        <v>37.176454</v>
      </c>
      <c r="H26" s="20">
        <v>25231.623969186432</v>
      </c>
      <c r="I26" s="20">
        <v>28.717942335999698</v>
      </c>
      <c r="J26" s="20">
        <v>248.02597641699634</v>
      </c>
      <c r="K26" s="20">
        <v>139.40757953143788</v>
      </c>
      <c r="L26" s="20">
        <v>6004.6171800462325</v>
      </c>
      <c r="M26" s="20">
        <v>96574.760374189078</v>
      </c>
      <c r="N26" s="20">
        <v>0</v>
      </c>
      <c r="O26" s="20">
        <v>48886.894914243574</v>
      </c>
      <c r="P26" s="20">
        <v>1609.151451046559</v>
      </c>
      <c r="Q26" s="20">
        <v>7024.4420595901665</v>
      </c>
      <c r="R26" s="20">
        <v>2.1424610509562034E-6</v>
      </c>
      <c r="S26" s="20">
        <v>536.67667357021639</v>
      </c>
      <c r="T26" s="20">
        <v>4.562604073181638</v>
      </c>
      <c r="U26" s="20">
        <v>2133.0741079281688</v>
      </c>
      <c r="V26" s="20">
        <v>12207.017315349936</v>
      </c>
      <c r="W26" s="20">
        <v>4583.6223863441101</v>
      </c>
      <c r="X26" s="20">
        <v>19881.788801653252</v>
      </c>
      <c r="Y26" s="20">
        <v>2770.2356599796758</v>
      </c>
      <c r="Z26" s="20">
        <v>202.91908480815482</v>
      </c>
      <c r="AA26" s="20">
        <v>53759.256565360774</v>
      </c>
      <c r="AB26" s="20">
        <v>834.80255422785672</v>
      </c>
      <c r="AC26" s="20">
        <v>9773.6622210114001</v>
      </c>
      <c r="AD26" s="20">
        <v>2704.3968854412346</v>
      </c>
      <c r="AE26" s="20">
        <v>4690.8446027451673</v>
      </c>
      <c r="AF26" s="20">
        <v>4972.2760159661893</v>
      </c>
      <c r="AG26" s="20">
        <v>1.2118939724602434E-2</v>
      </c>
      <c r="AH26" s="20">
        <v>1375.9568358815593</v>
      </c>
      <c r="AI26" s="20">
        <v>409930.82452468754</v>
      </c>
      <c r="AJ26" s="20">
        <v>78619.280817497856</v>
      </c>
      <c r="AK26" s="20">
        <v>95731.1815328144</v>
      </c>
      <c r="AL26" s="20">
        <v>5127.3948906206688</v>
      </c>
      <c r="AM26" s="20">
        <v>13022.922069781956</v>
      </c>
      <c r="AN26" s="20">
        <v>356.99631609447215</v>
      </c>
      <c r="AO26" s="20">
        <v>380.09093342452854</v>
      </c>
      <c r="AP26" s="20">
        <v>101.051824267808</v>
      </c>
      <c r="AQ26" s="20">
        <v>775.19823062456931</v>
      </c>
      <c r="AR26" s="20">
        <v>386.16963768087197</v>
      </c>
      <c r="AS26" s="20">
        <v>921.81001817698427</v>
      </c>
      <c r="AT26" s="20">
        <v>102725.0633664847</v>
      </c>
      <c r="AU26" s="20">
        <v>4744.0853713916595</v>
      </c>
      <c r="AV26" s="20">
        <v>1241.1669836108902</v>
      </c>
      <c r="AW26" s="20">
        <v>218.49219398796834</v>
      </c>
      <c r="AX26" s="20">
        <v>0.50899569870975359</v>
      </c>
      <c r="AY26" s="20">
        <v>4142.3323100294365</v>
      </c>
      <c r="AZ26" s="20">
        <v>3755.1555261536532</v>
      </c>
      <c r="BA26" s="20">
        <v>11859.97968136778</v>
      </c>
      <c r="BB26" s="20">
        <v>39007.288036033504</v>
      </c>
      <c r="BC26" s="20">
        <v>20613.544703333908</v>
      </c>
      <c r="BD26" s="20">
        <v>16612.532666220566</v>
      </c>
      <c r="BE26" s="29">
        <f t="shared" si="1"/>
        <v>1123529.0750086163</v>
      </c>
      <c r="BF26" s="37">
        <v>365847.90331674996</v>
      </c>
      <c r="BG26" s="21">
        <v>0</v>
      </c>
      <c r="BH26" s="21">
        <v>139470.63535140097</v>
      </c>
      <c r="BI26" s="21">
        <v>-327.52146732585084</v>
      </c>
      <c r="BJ26" s="21">
        <v>120443.20598352399</v>
      </c>
      <c r="BK26" s="22">
        <f t="shared" si="2"/>
        <v>625434.22318434902</v>
      </c>
      <c r="BL26" s="23">
        <f t="shared" si="3"/>
        <v>1748963.2981929653</v>
      </c>
      <c r="BM26" s="24">
        <v>0</v>
      </c>
      <c r="BN26" s="24">
        <v>0</v>
      </c>
      <c r="BO26" s="24">
        <v>1748963.302558152</v>
      </c>
      <c r="BP26" s="25">
        <f t="shared" si="4"/>
        <v>1748963.302558152</v>
      </c>
    </row>
    <row r="27" spans="1:68" x14ac:dyDescent="0.3">
      <c r="A27" s="14">
        <f t="shared" si="5"/>
        <v>26</v>
      </c>
      <c r="B27" s="16" t="s">
        <v>27</v>
      </c>
      <c r="C27" s="20">
        <v>0</v>
      </c>
      <c r="D27" s="20">
        <v>0</v>
      </c>
      <c r="E27" s="45">
        <v>3902.3811839999998</v>
      </c>
      <c r="F27" s="45">
        <v>0</v>
      </c>
      <c r="G27" s="45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9">
        <f t="shared" si="1"/>
        <v>3902.3811839999998</v>
      </c>
      <c r="BF27" s="37">
        <v>0</v>
      </c>
      <c r="BG27" s="21">
        <v>0</v>
      </c>
      <c r="BH27" s="21">
        <v>0</v>
      </c>
      <c r="BI27" s="21">
        <v>0</v>
      </c>
      <c r="BJ27" s="21">
        <v>45569.007503281202</v>
      </c>
      <c r="BK27" s="22">
        <f t="shared" si="2"/>
        <v>45569.007503281202</v>
      </c>
      <c r="BL27" s="23">
        <f t="shared" si="3"/>
        <v>49471.3886872812</v>
      </c>
      <c r="BM27" s="24">
        <v>0</v>
      </c>
      <c r="BN27" s="24">
        <v>0</v>
      </c>
      <c r="BO27" s="24">
        <v>49471.392987673244</v>
      </c>
      <c r="BP27" s="25">
        <f t="shared" si="4"/>
        <v>49471.392987673244</v>
      </c>
    </row>
    <row r="28" spans="1:68" x14ac:dyDescent="0.3">
      <c r="A28" s="14">
        <f t="shared" si="5"/>
        <v>27</v>
      </c>
      <c r="B28" s="16" t="s">
        <v>28</v>
      </c>
      <c r="C28" s="20">
        <v>1077.1439597169069</v>
      </c>
      <c r="D28" s="20">
        <v>748.42345895655058</v>
      </c>
      <c r="E28" s="45">
        <v>12345.032784000001</v>
      </c>
      <c r="F28" s="45">
        <v>7705.0804859999998</v>
      </c>
      <c r="G28" s="45">
        <v>10.621843999999999</v>
      </c>
      <c r="H28" s="20">
        <v>4527.6038133624279</v>
      </c>
      <c r="I28" s="20">
        <v>9.3335832484262493</v>
      </c>
      <c r="J28" s="20">
        <v>1268.3349534947763</v>
      </c>
      <c r="K28" s="20">
        <v>3973.5219164446157</v>
      </c>
      <c r="L28" s="20">
        <v>2386.5620909371928</v>
      </c>
      <c r="M28" s="20">
        <v>16805.618478773835</v>
      </c>
      <c r="N28" s="20">
        <v>0</v>
      </c>
      <c r="O28" s="20">
        <v>12179.864257337214</v>
      </c>
      <c r="P28" s="20">
        <v>1259.0752603713083</v>
      </c>
      <c r="Q28" s="20">
        <v>8992.7581838318984</v>
      </c>
      <c r="R28" s="20">
        <v>0</v>
      </c>
      <c r="S28" s="20">
        <v>205.7974448061683</v>
      </c>
      <c r="T28" s="20">
        <v>0.69647894588624293</v>
      </c>
      <c r="U28" s="20">
        <v>301.45065922326154</v>
      </c>
      <c r="V28" s="20">
        <v>4474.5997580994153</v>
      </c>
      <c r="W28" s="20">
        <v>2050.004533873413</v>
      </c>
      <c r="X28" s="20">
        <v>8086.2878381519031</v>
      </c>
      <c r="Y28" s="20">
        <v>398.52838013472126</v>
      </c>
      <c r="Z28" s="20">
        <v>43.513006405838759</v>
      </c>
      <c r="AA28" s="20">
        <v>520.03380508064447</v>
      </c>
      <c r="AB28" s="20">
        <v>4.3011958924315641</v>
      </c>
      <c r="AC28" s="20">
        <v>19423.000527354197</v>
      </c>
      <c r="AD28" s="20">
        <v>90.999077202267372</v>
      </c>
      <c r="AE28" s="20">
        <v>303.84824820730898</v>
      </c>
      <c r="AF28" s="20">
        <v>49.487339851602322</v>
      </c>
      <c r="AG28" s="20">
        <v>11.014323258848453</v>
      </c>
      <c r="AH28" s="20">
        <v>237.07418736095437</v>
      </c>
      <c r="AI28" s="20">
        <v>41888.624249011504</v>
      </c>
      <c r="AJ28" s="20">
        <v>10625.533801846688</v>
      </c>
      <c r="AK28" s="20">
        <v>25478.121702327335</v>
      </c>
      <c r="AL28" s="20">
        <v>154.87921849698159</v>
      </c>
      <c r="AM28" s="20">
        <v>25005.764588012316</v>
      </c>
      <c r="AN28" s="20">
        <v>402.36389086132715</v>
      </c>
      <c r="AO28" s="20">
        <v>1992.8257793287794</v>
      </c>
      <c r="AP28" s="20">
        <v>18789.675695648435</v>
      </c>
      <c r="AQ28" s="20">
        <v>756.079309969934</v>
      </c>
      <c r="AR28" s="20">
        <v>111.11631820643731</v>
      </c>
      <c r="AS28" s="20">
        <v>3098.8007849527876</v>
      </c>
      <c r="AT28" s="20">
        <v>1678.065884252718</v>
      </c>
      <c r="AU28" s="20">
        <v>1394.0900055657537</v>
      </c>
      <c r="AV28" s="20">
        <v>628.36651404560848</v>
      </c>
      <c r="AW28" s="20">
        <v>394.99804102593549</v>
      </c>
      <c r="AX28" s="20">
        <v>1.3046537788340875</v>
      </c>
      <c r="AY28" s="20">
        <v>1998.9269594228099</v>
      </c>
      <c r="AZ28" s="20">
        <v>763.07189231799043</v>
      </c>
      <c r="BA28" s="20">
        <v>2152.8302823826662</v>
      </c>
      <c r="BB28" s="20">
        <v>1610.9409421251266</v>
      </c>
      <c r="BC28" s="20">
        <v>701.0059496078419</v>
      </c>
      <c r="BD28" s="20">
        <v>496.44079107963654</v>
      </c>
      <c r="BE28" s="29">
        <f t="shared" si="1"/>
        <v>249613.43912859156</v>
      </c>
      <c r="BF28" s="37">
        <v>481942.97460987576</v>
      </c>
      <c r="BG28" s="21">
        <v>0</v>
      </c>
      <c r="BH28" s="21">
        <v>384101.00850627903</v>
      </c>
      <c r="BI28" s="21">
        <v>-1316.2067196458743</v>
      </c>
      <c r="BJ28" s="33">
        <v>30191.962166610003</v>
      </c>
      <c r="BK28" s="22">
        <f t="shared" si="2"/>
        <v>894919.73856311897</v>
      </c>
      <c r="BL28" s="23">
        <f t="shared" si="3"/>
        <v>1144533.1776917106</v>
      </c>
      <c r="BM28" s="24">
        <v>0</v>
      </c>
      <c r="BN28" s="24">
        <v>0</v>
      </c>
      <c r="BO28" s="24">
        <v>1144533.1774522197</v>
      </c>
      <c r="BP28" s="25">
        <f t="shared" si="4"/>
        <v>1144533.1774522197</v>
      </c>
    </row>
    <row r="29" spans="1:68" x14ac:dyDescent="0.3">
      <c r="A29" s="14">
        <f t="shared" si="5"/>
        <v>28</v>
      </c>
      <c r="B29" s="16" t="s">
        <v>29</v>
      </c>
      <c r="C29" s="20">
        <v>8.7227015056594137</v>
      </c>
      <c r="D29" s="20">
        <v>8.8089978880538968</v>
      </c>
      <c r="E29" s="45">
        <v>0</v>
      </c>
      <c r="F29" s="45">
        <v>0</v>
      </c>
      <c r="G29" s="45">
        <v>4.7798297999999999</v>
      </c>
      <c r="H29" s="20">
        <v>14.695729243688277</v>
      </c>
      <c r="I29" s="20">
        <v>2.2637318153322674</v>
      </c>
      <c r="J29" s="20">
        <v>3.2170954923422204</v>
      </c>
      <c r="K29" s="20">
        <v>11.84868659448696</v>
      </c>
      <c r="L29" s="20">
        <v>6.1590760648007299</v>
      </c>
      <c r="M29" s="20">
        <v>88.504809694152115</v>
      </c>
      <c r="N29" s="20">
        <v>0</v>
      </c>
      <c r="O29" s="20">
        <v>163.60820393241571</v>
      </c>
      <c r="P29" s="20">
        <v>2.0055353652034706</v>
      </c>
      <c r="Q29" s="20">
        <v>7482.2597622744943</v>
      </c>
      <c r="R29" s="20">
        <v>2.2875755621231991E-3</v>
      </c>
      <c r="S29" s="20">
        <v>36.512841145019266</v>
      </c>
      <c r="T29" s="20">
        <v>0.69265725499380737</v>
      </c>
      <c r="U29" s="20">
        <v>87.591819478870931</v>
      </c>
      <c r="V29" s="20">
        <v>2555.6212056594709</v>
      </c>
      <c r="W29" s="20">
        <v>80.529001359683733</v>
      </c>
      <c r="X29" s="20">
        <v>486.65464302377256</v>
      </c>
      <c r="Y29" s="20">
        <v>4.9005488491761096</v>
      </c>
      <c r="Z29" s="20">
        <v>0.49260215315183131</v>
      </c>
      <c r="AA29" s="20">
        <v>7.8755632239186237</v>
      </c>
      <c r="AB29" s="20">
        <v>0.21486371900377127</v>
      </c>
      <c r="AC29" s="20">
        <v>15.266697611668629</v>
      </c>
      <c r="AD29" s="20">
        <v>645.35723429621373</v>
      </c>
      <c r="AE29" s="20">
        <v>295.51678754964189</v>
      </c>
      <c r="AF29" s="20">
        <v>1.5959911311901316</v>
      </c>
      <c r="AG29" s="20">
        <v>2.4934229803391772E-2</v>
      </c>
      <c r="AH29" s="20">
        <v>1.845334328710291</v>
      </c>
      <c r="AI29" s="20">
        <v>20133.236406435699</v>
      </c>
      <c r="AJ29" s="20">
        <v>24.443684780452035</v>
      </c>
      <c r="AK29" s="20">
        <v>143.82694102126578</v>
      </c>
      <c r="AL29" s="20">
        <v>5.1693992262296451</v>
      </c>
      <c r="AM29" s="20">
        <v>38.58659594154939</v>
      </c>
      <c r="AN29" s="20">
        <v>34.728277900403874</v>
      </c>
      <c r="AO29" s="20">
        <v>11.062392004450096</v>
      </c>
      <c r="AP29" s="20">
        <v>102.46886807820836</v>
      </c>
      <c r="AQ29" s="20">
        <v>15.820389024104617</v>
      </c>
      <c r="AR29" s="20">
        <v>325.8046861138169</v>
      </c>
      <c r="AS29" s="20">
        <v>157.06273490375392</v>
      </c>
      <c r="AT29" s="20">
        <v>24.368902078071233</v>
      </c>
      <c r="AU29" s="20">
        <v>1272.6901157621369</v>
      </c>
      <c r="AV29" s="20">
        <v>363.99973794397539</v>
      </c>
      <c r="AW29" s="20">
        <v>118.7137242808065</v>
      </c>
      <c r="AX29" s="20">
        <v>1.778624030370674</v>
      </c>
      <c r="AY29" s="20">
        <v>120.70332414565482</v>
      </c>
      <c r="AZ29" s="20">
        <v>138.5196513203187</v>
      </c>
      <c r="BA29" s="20">
        <v>13.239537261865337</v>
      </c>
      <c r="BB29" s="20">
        <v>2894.7983918372165</v>
      </c>
      <c r="BC29" s="20">
        <v>865.90159572671723</v>
      </c>
      <c r="BD29" s="20">
        <v>1934.6771734657998</v>
      </c>
      <c r="BE29" s="29">
        <f t="shared" si="1"/>
        <v>40759.17032554336</v>
      </c>
      <c r="BF29" s="37">
        <v>242995.91288284201</v>
      </c>
      <c r="BG29" s="21">
        <v>2.7178933969619203</v>
      </c>
      <c r="BH29" s="21">
        <v>119317.426868366</v>
      </c>
      <c r="BI29" s="21">
        <v>756.83111919383225</v>
      </c>
      <c r="BJ29" s="33">
        <v>2159.3874210336198</v>
      </c>
      <c r="BK29" s="22">
        <f t="shared" si="2"/>
        <v>365232.27618483244</v>
      </c>
      <c r="BL29" s="23">
        <f t="shared" si="3"/>
        <v>405991.44651037583</v>
      </c>
      <c r="BM29" s="24">
        <v>0</v>
      </c>
      <c r="BN29" s="24">
        <v>0</v>
      </c>
      <c r="BO29" s="24">
        <v>405991.44769311266</v>
      </c>
      <c r="BP29" s="25">
        <f t="shared" si="4"/>
        <v>405991.44769311266</v>
      </c>
    </row>
    <row r="30" spans="1:68" x14ac:dyDescent="0.3">
      <c r="A30" s="14">
        <f t="shared" si="5"/>
        <v>29</v>
      </c>
      <c r="B30" s="16" t="s">
        <v>30</v>
      </c>
      <c r="C30" s="20">
        <v>1161.3699513586541</v>
      </c>
      <c r="D30" s="20">
        <v>3735.1674400408565</v>
      </c>
      <c r="E30" s="45">
        <v>11256.8688</v>
      </c>
      <c r="F30" s="45">
        <v>130410.28747800001</v>
      </c>
      <c r="G30" s="45">
        <v>169.94950399999999</v>
      </c>
      <c r="H30" s="20">
        <v>18886.189474375449</v>
      </c>
      <c r="I30" s="20">
        <v>109.78290060655894</v>
      </c>
      <c r="J30" s="20">
        <v>1557.6821736494444</v>
      </c>
      <c r="K30" s="20">
        <v>17245.643980938094</v>
      </c>
      <c r="L30" s="20">
        <v>9159.2839636204098</v>
      </c>
      <c r="M30" s="20">
        <v>17153.096143756728</v>
      </c>
      <c r="N30" s="20">
        <v>0</v>
      </c>
      <c r="O30" s="20">
        <v>4142.3872785217709</v>
      </c>
      <c r="P30" s="20">
        <v>1484.4153283261508</v>
      </c>
      <c r="Q30" s="20">
        <v>9455.8874209990045</v>
      </c>
      <c r="R30" s="20">
        <v>3.4151734626321477E-4</v>
      </c>
      <c r="S30" s="20">
        <v>474.05874364399091</v>
      </c>
      <c r="T30" s="20">
        <v>0.47971724998591891</v>
      </c>
      <c r="U30" s="20">
        <v>271.57618142147493</v>
      </c>
      <c r="V30" s="20">
        <v>1903.1294661018753</v>
      </c>
      <c r="W30" s="20">
        <v>7091.2609219886353</v>
      </c>
      <c r="X30" s="20">
        <v>4289.8799879412009</v>
      </c>
      <c r="Y30" s="20">
        <v>220.65527664647558</v>
      </c>
      <c r="Z30" s="20">
        <v>42.057836512116879</v>
      </c>
      <c r="AA30" s="20">
        <v>690.52155373740811</v>
      </c>
      <c r="AB30" s="20">
        <v>3.0371883296266101E-2</v>
      </c>
      <c r="AC30" s="20">
        <v>61.972019236592992</v>
      </c>
      <c r="AD30" s="20">
        <v>192.98745861133816</v>
      </c>
      <c r="AE30" s="20">
        <v>5084.5738906354109</v>
      </c>
      <c r="AF30" s="20">
        <v>258.78048890046159</v>
      </c>
      <c r="AG30" s="20">
        <v>53.697554281839878</v>
      </c>
      <c r="AH30" s="20">
        <v>135.69412728362428</v>
      </c>
      <c r="AI30" s="20">
        <v>17878.206199779401</v>
      </c>
      <c r="AJ30" s="20">
        <v>5212.8272450053637</v>
      </c>
      <c r="AK30" s="20">
        <v>66174.725018379177</v>
      </c>
      <c r="AL30" s="20">
        <v>11710.00868170208</v>
      </c>
      <c r="AM30" s="20">
        <v>229.30171743231335</v>
      </c>
      <c r="AN30" s="20">
        <v>4676.5085957693318</v>
      </c>
      <c r="AO30" s="20">
        <v>7290.9140450668565</v>
      </c>
      <c r="AP30" s="20">
        <v>9972.3297764945983</v>
      </c>
      <c r="AQ30" s="20">
        <v>213.55468051797573</v>
      </c>
      <c r="AR30" s="20">
        <v>300.20348431723846</v>
      </c>
      <c r="AS30" s="20">
        <v>708.49621023689201</v>
      </c>
      <c r="AT30" s="20">
        <v>25248.399116070457</v>
      </c>
      <c r="AU30" s="20">
        <v>7365.202706555182</v>
      </c>
      <c r="AV30" s="20">
        <v>4651.9066720352985</v>
      </c>
      <c r="AW30" s="20">
        <v>784.6434921592928</v>
      </c>
      <c r="AX30" s="20">
        <v>1.725024536742259</v>
      </c>
      <c r="AY30" s="20">
        <v>5600.5065082856172</v>
      </c>
      <c r="AZ30" s="20">
        <v>2360.7518042199913</v>
      </c>
      <c r="BA30" s="20">
        <v>28699.2973116555</v>
      </c>
      <c r="BB30" s="20">
        <v>34499.172825374553</v>
      </c>
      <c r="BC30" s="20">
        <v>49669.916668911093</v>
      </c>
      <c r="BD30" s="20">
        <v>30994.132836581539</v>
      </c>
      <c r="BE30" s="29">
        <f t="shared" si="1"/>
        <v>560942.09839687275</v>
      </c>
      <c r="BF30" s="37">
        <v>259163.86422317004</v>
      </c>
      <c r="BG30" s="21">
        <v>0.4231108241784739</v>
      </c>
      <c r="BH30" s="21">
        <v>1677.2040065249894</v>
      </c>
      <c r="BI30" s="21">
        <v>-9636.8217473080003</v>
      </c>
      <c r="BJ30" s="33">
        <v>450.88710918778997</v>
      </c>
      <c r="BK30" s="22">
        <f t="shared" si="2"/>
        <v>251655.55670239899</v>
      </c>
      <c r="BL30" s="23">
        <f t="shared" si="3"/>
        <v>812597.6550992718</v>
      </c>
      <c r="BM30" s="24">
        <v>0</v>
      </c>
      <c r="BN30" s="24">
        <v>0</v>
      </c>
      <c r="BO30" s="24">
        <v>812597.65510567941</v>
      </c>
      <c r="BP30" s="25">
        <f t="shared" si="4"/>
        <v>812597.65510567941</v>
      </c>
    </row>
    <row r="31" spans="1:68" x14ac:dyDescent="0.3">
      <c r="A31" s="14">
        <f t="shared" si="5"/>
        <v>30</v>
      </c>
      <c r="B31" s="16" t="s">
        <v>31</v>
      </c>
      <c r="C31" s="20">
        <v>1830.5555378921717</v>
      </c>
      <c r="D31" s="20">
        <v>3559.8042052699348</v>
      </c>
      <c r="E31" s="45">
        <v>67941.457024000003</v>
      </c>
      <c r="F31" s="45">
        <v>144020.196</v>
      </c>
      <c r="G31" s="45">
        <v>11.152936199999999</v>
      </c>
      <c r="H31" s="20">
        <v>8293.3312417962006</v>
      </c>
      <c r="I31" s="20">
        <v>611.15275133527939</v>
      </c>
      <c r="J31" s="20">
        <v>7080.8018540334333</v>
      </c>
      <c r="K31" s="20">
        <v>11556.752749646101</v>
      </c>
      <c r="L31" s="20">
        <v>29209.551564458478</v>
      </c>
      <c r="M31" s="20">
        <v>43532.025801316755</v>
      </c>
      <c r="N31" s="20">
        <v>0</v>
      </c>
      <c r="O31" s="20">
        <v>940.20783917884444</v>
      </c>
      <c r="P31" s="20">
        <v>9787.4728799859913</v>
      </c>
      <c r="Q31" s="20">
        <v>128938.9155645274</v>
      </c>
      <c r="R31" s="20">
        <v>6.1266501811422743E-5</v>
      </c>
      <c r="S31" s="20">
        <v>6637.714704217743</v>
      </c>
      <c r="T31" s="20">
        <v>24.982067547939121</v>
      </c>
      <c r="U31" s="20">
        <v>5236.2255739856746</v>
      </c>
      <c r="V31" s="20">
        <v>148949.10826503584</v>
      </c>
      <c r="W31" s="20">
        <v>32918.234828184461</v>
      </c>
      <c r="X31" s="20">
        <v>143451.63937233793</v>
      </c>
      <c r="Y31" s="20">
        <v>15360.962380956908</v>
      </c>
      <c r="Z31" s="20">
        <v>988.05964681157923</v>
      </c>
      <c r="AA31" s="20">
        <v>10416.675974702346</v>
      </c>
      <c r="AB31" s="20">
        <v>64.378016927542546</v>
      </c>
      <c r="AC31" s="20">
        <v>3386.0100678756394</v>
      </c>
      <c r="AD31" s="20">
        <v>1837.0900878807761</v>
      </c>
      <c r="AE31" s="20">
        <v>7781.5862497309308</v>
      </c>
      <c r="AF31" s="20">
        <v>803538.07837623497</v>
      </c>
      <c r="AG31" s="20">
        <v>20.901934744717916</v>
      </c>
      <c r="AH31" s="20">
        <v>31226.234678712939</v>
      </c>
      <c r="AI31" s="20">
        <v>115729.98187271476</v>
      </c>
      <c r="AJ31" s="20">
        <v>79041.127020281609</v>
      </c>
      <c r="AK31" s="20">
        <v>289085.30777247052</v>
      </c>
      <c r="AL31" s="20">
        <v>72737.263318537342</v>
      </c>
      <c r="AM31" s="20">
        <v>6708.7266926770808</v>
      </c>
      <c r="AN31" s="20">
        <v>1606.1607774040222</v>
      </c>
      <c r="AO31" s="20">
        <v>7297.5143196420513</v>
      </c>
      <c r="AP31" s="20">
        <v>3226.3504254405398</v>
      </c>
      <c r="AQ31" s="20">
        <v>12921.030634893963</v>
      </c>
      <c r="AR31" s="20">
        <v>6543.5973676549484</v>
      </c>
      <c r="AS31" s="20">
        <v>21090.164160932371</v>
      </c>
      <c r="AT31" s="20">
        <v>103685.7333591317</v>
      </c>
      <c r="AU31" s="20">
        <v>12121.368985660225</v>
      </c>
      <c r="AV31" s="20">
        <v>11539.038713016109</v>
      </c>
      <c r="AW31" s="20">
        <v>4515.2506771893977</v>
      </c>
      <c r="AX31" s="20">
        <v>29.001978795151782</v>
      </c>
      <c r="AY31" s="20">
        <v>19722.046095357015</v>
      </c>
      <c r="AZ31" s="20">
        <v>4087.8004834991302</v>
      </c>
      <c r="BA31" s="20">
        <v>205316.37598693554</v>
      </c>
      <c r="BB31" s="20">
        <v>79552.589376535456</v>
      </c>
      <c r="BC31" s="20">
        <v>43175.419140009282</v>
      </c>
      <c r="BD31" s="20">
        <v>51781.448107334501</v>
      </c>
      <c r="BE31" s="29">
        <f t="shared" si="1"/>
        <v>2820664.5575029063</v>
      </c>
      <c r="BF31" s="37">
        <v>1955483.3476368999</v>
      </c>
      <c r="BG31" s="21">
        <v>45622</v>
      </c>
      <c r="BH31" s="21">
        <v>0</v>
      </c>
      <c r="BI31" s="21">
        <v>0</v>
      </c>
      <c r="BJ31" s="21">
        <v>0</v>
      </c>
      <c r="BK31" s="22">
        <f t="shared" si="2"/>
        <v>2001105.3476368999</v>
      </c>
      <c r="BL31" s="23">
        <f t="shared" si="3"/>
        <v>4821769.9051398057</v>
      </c>
      <c r="BM31" s="24">
        <v>0</v>
      </c>
      <c r="BN31" s="24">
        <v>0</v>
      </c>
      <c r="BO31" s="24">
        <v>4821769.9067818252</v>
      </c>
      <c r="BP31" s="25">
        <f t="shared" si="4"/>
        <v>4821769.9067818252</v>
      </c>
    </row>
    <row r="32" spans="1:68" x14ac:dyDescent="0.3">
      <c r="A32" s="14">
        <f t="shared" si="5"/>
        <v>31</v>
      </c>
      <c r="B32" s="16" t="s">
        <v>32</v>
      </c>
      <c r="C32" s="20">
        <v>0</v>
      </c>
      <c r="D32" s="20">
        <v>0</v>
      </c>
      <c r="E32" s="45">
        <v>1113.1792479999999</v>
      </c>
      <c r="F32" s="45">
        <v>0</v>
      </c>
      <c r="G32" s="45">
        <v>0</v>
      </c>
      <c r="H32" s="20">
        <v>0</v>
      </c>
      <c r="I32" s="20">
        <v>0</v>
      </c>
      <c r="J32" s="20">
        <v>0</v>
      </c>
      <c r="K32" s="20">
        <v>11358.893702919258</v>
      </c>
      <c r="L32" s="20">
        <v>1.6720568913447051</v>
      </c>
      <c r="M32" s="20">
        <v>1.001851409232462</v>
      </c>
      <c r="N32" s="20">
        <v>0</v>
      </c>
      <c r="O32" s="20">
        <v>250.53962107586665</v>
      </c>
      <c r="P32" s="20">
        <v>0</v>
      </c>
      <c r="Q32" s="20">
        <v>12964.89159417158</v>
      </c>
      <c r="R32" s="20">
        <v>4.1330324627298183E-6</v>
      </c>
      <c r="S32" s="20">
        <v>603.54451837578461</v>
      </c>
      <c r="T32" s="20">
        <v>1.8104875768505195</v>
      </c>
      <c r="U32" s="20">
        <v>780.77242412969201</v>
      </c>
      <c r="V32" s="20">
        <v>7717.7066204659686</v>
      </c>
      <c r="W32" s="20">
        <v>6082.8882047430607</v>
      </c>
      <c r="X32" s="20">
        <v>20355.730113544352</v>
      </c>
      <c r="Y32" s="20">
        <v>3464.144206676237</v>
      </c>
      <c r="Z32" s="20">
        <v>208.38408620013746</v>
      </c>
      <c r="AA32" s="20">
        <v>1397.4898399896388</v>
      </c>
      <c r="AB32" s="20">
        <v>15.368589829807485</v>
      </c>
      <c r="AC32" s="20">
        <v>404.63387336149475</v>
      </c>
      <c r="AD32" s="20">
        <v>341.74156662645265</v>
      </c>
      <c r="AE32" s="20">
        <v>729.68374682825277</v>
      </c>
      <c r="AF32" s="20">
        <v>162.28772125493222</v>
      </c>
      <c r="AG32" s="20">
        <v>14.359571444158508</v>
      </c>
      <c r="AH32" s="20">
        <v>24.749624298734282</v>
      </c>
      <c r="AI32" s="20">
        <v>11530.771938042681</v>
      </c>
      <c r="AJ32" s="20">
        <v>0</v>
      </c>
      <c r="AK32" s="20">
        <v>643.87855103976676</v>
      </c>
      <c r="AL32" s="20">
        <v>0</v>
      </c>
      <c r="AM32" s="20">
        <v>2636.7015569681762</v>
      </c>
      <c r="AN32" s="20">
        <v>0</v>
      </c>
      <c r="AO32" s="20">
        <v>0</v>
      </c>
      <c r="AP32" s="20">
        <v>32.358235468473438</v>
      </c>
      <c r="AQ32" s="20">
        <v>0</v>
      </c>
      <c r="AR32" s="20">
        <v>355.15569740631742</v>
      </c>
      <c r="AS32" s="20">
        <v>711.68053742992402</v>
      </c>
      <c r="AT32" s="20">
        <v>0</v>
      </c>
      <c r="AU32" s="20">
        <v>1.0499328371697925</v>
      </c>
      <c r="AV32" s="20">
        <v>0</v>
      </c>
      <c r="AW32" s="20">
        <v>0</v>
      </c>
      <c r="AX32" s="20">
        <v>0</v>
      </c>
      <c r="AY32" s="20">
        <v>0</v>
      </c>
      <c r="AZ32" s="20">
        <v>9.2971295680198054</v>
      </c>
      <c r="BA32" s="20">
        <v>295.76964881838239</v>
      </c>
      <c r="BB32" s="20">
        <v>787.01735726746688</v>
      </c>
      <c r="BC32" s="20">
        <v>172.58066665326083</v>
      </c>
      <c r="BD32" s="20">
        <v>31.444722554502661</v>
      </c>
      <c r="BE32" s="29">
        <f t="shared" si="1"/>
        <v>85203.179248000044</v>
      </c>
      <c r="BF32" s="37">
        <v>21420.0556525953</v>
      </c>
      <c r="BG32" s="21">
        <v>0</v>
      </c>
      <c r="BH32" s="21">
        <v>0</v>
      </c>
      <c r="BI32" s="21">
        <v>0</v>
      </c>
      <c r="BJ32" s="21">
        <v>0</v>
      </c>
      <c r="BK32" s="22">
        <f t="shared" si="2"/>
        <v>21420.0556525953</v>
      </c>
      <c r="BL32" s="23">
        <f t="shared" si="3"/>
        <v>106623.23490059534</v>
      </c>
      <c r="BM32" s="24">
        <v>0</v>
      </c>
      <c r="BN32" s="24">
        <v>0</v>
      </c>
      <c r="BO32" s="24">
        <v>106623.23144143281</v>
      </c>
      <c r="BP32" s="25">
        <f t="shared" si="4"/>
        <v>106623.23144143281</v>
      </c>
    </row>
    <row r="33" spans="1:68" x14ac:dyDescent="0.3">
      <c r="A33" s="14">
        <f t="shared" si="5"/>
        <v>32</v>
      </c>
      <c r="B33" s="16" t="s">
        <v>33</v>
      </c>
      <c r="C33" s="20">
        <v>145.35285994406291</v>
      </c>
      <c r="D33" s="20">
        <v>4241.4092181411243</v>
      </c>
      <c r="E33" s="45">
        <v>9574.5922960000007</v>
      </c>
      <c r="F33" s="45">
        <v>0</v>
      </c>
      <c r="G33" s="45">
        <v>16.9949504</v>
      </c>
      <c r="H33" s="20">
        <v>79.740416191968421</v>
      </c>
      <c r="I33" s="20">
        <v>271.06059513855149</v>
      </c>
      <c r="J33" s="20">
        <v>11.852739548148206</v>
      </c>
      <c r="K33" s="20">
        <v>1188.506170153187</v>
      </c>
      <c r="L33" s="20">
        <v>8156.725721467189</v>
      </c>
      <c r="M33" s="20">
        <v>4785.9048591019509</v>
      </c>
      <c r="N33" s="20">
        <v>0</v>
      </c>
      <c r="O33" s="20">
        <v>458.68546573339228</v>
      </c>
      <c r="P33" s="20">
        <v>161.89176401756188</v>
      </c>
      <c r="Q33" s="20">
        <v>23133.221757588228</v>
      </c>
      <c r="R33" s="20">
        <v>2.0159573823367435E-3</v>
      </c>
      <c r="S33" s="20">
        <v>803.67058530233385</v>
      </c>
      <c r="T33" s="20">
        <v>1.4369292956975921</v>
      </c>
      <c r="U33" s="20">
        <v>354.76986719831797</v>
      </c>
      <c r="V33" s="20">
        <v>17325.812732059621</v>
      </c>
      <c r="W33" s="20">
        <v>6052.1363104032871</v>
      </c>
      <c r="X33" s="20">
        <v>14405.485800104721</v>
      </c>
      <c r="Y33" s="20">
        <v>2733.32737259748</v>
      </c>
      <c r="Z33" s="20">
        <v>2472.269624647121</v>
      </c>
      <c r="AA33" s="20">
        <v>426.21852604933571</v>
      </c>
      <c r="AB33" s="20">
        <v>3.0561982851027523</v>
      </c>
      <c r="AC33" s="20">
        <v>627.50465233615478</v>
      </c>
      <c r="AD33" s="20">
        <v>163.16925159815892</v>
      </c>
      <c r="AE33" s="20">
        <v>322.31574116335457</v>
      </c>
      <c r="AF33" s="20">
        <v>92.414200582967496</v>
      </c>
      <c r="AG33" s="20">
        <v>1.0025084998469982</v>
      </c>
      <c r="AH33" s="20">
        <v>32359.164617180813</v>
      </c>
      <c r="AI33" s="20">
        <v>11790.201836455411</v>
      </c>
      <c r="AJ33" s="20">
        <v>11695.232585565462</v>
      </c>
      <c r="AK33" s="20">
        <v>49815.725320526995</v>
      </c>
      <c r="AL33" s="20">
        <v>107.19151552875965</v>
      </c>
      <c r="AM33" s="20">
        <v>176.11724249290864</v>
      </c>
      <c r="AN33" s="20">
        <v>1282.5095659926558</v>
      </c>
      <c r="AO33" s="20">
        <v>518.31718689043976</v>
      </c>
      <c r="AP33" s="20">
        <v>394.4623746211679</v>
      </c>
      <c r="AQ33" s="20">
        <v>1101.6733488380853</v>
      </c>
      <c r="AR33" s="20">
        <v>1233.8067556656154</v>
      </c>
      <c r="AS33" s="20">
        <v>1569.1468914041297</v>
      </c>
      <c r="AT33" s="20">
        <v>2433.4535151867271</v>
      </c>
      <c r="AU33" s="20">
        <v>275.22242033531899</v>
      </c>
      <c r="AV33" s="20">
        <v>71.616944365547567</v>
      </c>
      <c r="AW33" s="20">
        <v>171.79295881140189</v>
      </c>
      <c r="AX33" s="20">
        <v>0.1570689482075967</v>
      </c>
      <c r="AY33" s="20">
        <v>1256.6144856255471</v>
      </c>
      <c r="AZ33" s="20">
        <v>634.65730247909221</v>
      </c>
      <c r="BA33" s="20">
        <v>8405.3408372625599</v>
      </c>
      <c r="BB33" s="20">
        <v>8320.3621022497027</v>
      </c>
      <c r="BC33" s="20">
        <v>19678.158959477179</v>
      </c>
      <c r="BD33" s="20">
        <v>9326.3584735804234</v>
      </c>
      <c r="BE33" s="29">
        <f t="shared" si="1"/>
        <v>260627.81543899039</v>
      </c>
      <c r="BF33" s="38">
        <v>774651.60950861906</v>
      </c>
      <c r="BG33" s="21">
        <v>13738.4068230877</v>
      </c>
      <c r="BH33" s="21">
        <v>259.62223371076777</v>
      </c>
      <c r="BI33" s="21">
        <v>0</v>
      </c>
      <c r="BJ33" s="21">
        <v>0</v>
      </c>
      <c r="BK33" s="22">
        <f t="shared" si="2"/>
        <v>788649.6385654175</v>
      </c>
      <c r="BL33" s="23">
        <f t="shared" si="3"/>
        <v>1049277.4540044079</v>
      </c>
      <c r="BM33" s="24">
        <v>0</v>
      </c>
      <c r="BN33" s="24">
        <v>0</v>
      </c>
      <c r="BO33" s="24">
        <v>1049277.4534328911</v>
      </c>
      <c r="BP33" s="25">
        <f t="shared" si="4"/>
        <v>1049277.4534328911</v>
      </c>
    </row>
    <row r="34" spans="1:68" x14ac:dyDescent="0.3">
      <c r="A34" s="14">
        <f t="shared" si="5"/>
        <v>33</v>
      </c>
      <c r="B34" s="16" t="s">
        <v>34</v>
      </c>
      <c r="C34" s="20">
        <v>488659.64956825919</v>
      </c>
      <c r="D34" s="20">
        <v>145792.04144507452</v>
      </c>
      <c r="E34" s="45">
        <v>12357.540416</v>
      </c>
      <c r="F34" s="45">
        <v>25091.438580779999</v>
      </c>
      <c r="G34" s="45">
        <v>35754.189088400002</v>
      </c>
      <c r="H34" s="20">
        <v>163716.99501445584</v>
      </c>
      <c r="I34" s="20">
        <v>3851.5953886679554</v>
      </c>
      <c r="J34" s="20">
        <v>402618.92697163258</v>
      </c>
      <c r="K34" s="20">
        <v>76181.262336594926</v>
      </c>
      <c r="L34" s="20">
        <v>843381.48677632096</v>
      </c>
      <c r="M34" s="20">
        <v>2339087.0326295174</v>
      </c>
      <c r="N34" s="20">
        <v>0</v>
      </c>
      <c r="O34" s="20">
        <v>2575810.5762983551</v>
      </c>
      <c r="P34" s="20">
        <v>25261.183377336252</v>
      </c>
      <c r="Q34" s="20">
        <v>28570.384737734668</v>
      </c>
      <c r="R34" s="20">
        <v>1.6364424830622483E-2</v>
      </c>
      <c r="S34" s="20">
        <v>994.78405607855962</v>
      </c>
      <c r="T34" s="20">
        <v>4.9751003949413146</v>
      </c>
      <c r="U34" s="20">
        <v>668.98428721875177</v>
      </c>
      <c r="V34" s="20">
        <v>43449.738902171215</v>
      </c>
      <c r="W34" s="20">
        <v>784.60049348337748</v>
      </c>
      <c r="X34" s="20">
        <v>2850.9667917516554</v>
      </c>
      <c r="Y34" s="20">
        <v>66544.207710885035</v>
      </c>
      <c r="Z34" s="20">
        <v>928.33932256718663</v>
      </c>
      <c r="AA34" s="20">
        <v>497.16850481017048</v>
      </c>
      <c r="AB34" s="20">
        <v>1.1722048229562338</v>
      </c>
      <c r="AC34" s="20">
        <v>213.20924504689296</v>
      </c>
      <c r="AD34" s="20">
        <v>416.11457644231672</v>
      </c>
      <c r="AE34" s="20">
        <v>272.34339511925418</v>
      </c>
      <c r="AF34" s="20">
        <v>4807.1749687444953</v>
      </c>
      <c r="AG34" s="20">
        <v>877.9945020755124</v>
      </c>
      <c r="AH34" s="20">
        <v>32177.499159460906</v>
      </c>
      <c r="AI34" s="20">
        <v>467519.04836133111</v>
      </c>
      <c r="AJ34" s="20">
        <v>188099.15267545273</v>
      </c>
      <c r="AK34" s="20">
        <v>2409257.6251602178</v>
      </c>
      <c r="AL34" s="20">
        <v>117163.0261118877</v>
      </c>
      <c r="AM34" s="20">
        <v>2678.2591953786978</v>
      </c>
      <c r="AN34" s="20">
        <v>41468.78718136096</v>
      </c>
      <c r="AO34" s="20">
        <v>23344.51340232453</v>
      </c>
      <c r="AP34" s="20">
        <v>9125.168656322161</v>
      </c>
      <c r="AQ34" s="20">
        <v>176004.14820899969</v>
      </c>
      <c r="AR34" s="20">
        <v>11548.711400600223</v>
      </c>
      <c r="AS34" s="20">
        <v>21022.131425470336</v>
      </c>
      <c r="AT34" s="20">
        <v>460293.44702268398</v>
      </c>
      <c r="AU34" s="20">
        <v>93941.576535495915</v>
      </c>
      <c r="AV34" s="20">
        <v>34177.900362674416</v>
      </c>
      <c r="AW34" s="20">
        <v>6883.3077357186421</v>
      </c>
      <c r="AX34" s="20">
        <v>86.706823390001446</v>
      </c>
      <c r="AY34" s="20">
        <v>1541059.5314707952</v>
      </c>
      <c r="AZ34" s="20">
        <v>7439.8691233978443</v>
      </c>
      <c r="BA34" s="20">
        <v>1321168.938051532</v>
      </c>
      <c r="BB34" s="20">
        <v>133190.85440679133</v>
      </c>
      <c r="BC34" s="20">
        <v>19041.621201124846</v>
      </c>
      <c r="BD34" s="20">
        <v>36891.812291314061</v>
      </c>
      <c r="BE34" s="29">
        <f t="shared" si="1"/>
        <v>14443029.729018889</v>
      </c>
      <c r="BF34" s="37">
        <v>951778.80899568484</v>
      </c>
      <c r="BG34" s="21">
        <v>9.3139091332668436</v>
      </c>
      <c r="BH34" s="21">
        <v>128664924.20469199</v>
      </c>
      <c r="BI34" s="21">
        <v>0</v>
      </c>
      <c r="BJ34" s="21">
        <v>0</v>
      </c>
      <c r="BK34" s="22">
        <f t="shared" si="2"/>
        <v>129616712.32759681</v>
      </c>
      <c r="BL34" s="23">
        <f t="shared" si="3"/>
        <v>144059742.05661571</v>
      </c>
      <c r="BM34" s="24">
        <v>0</v>
      </c>
      <c r="BN34" s="24">
        <v>0</v>
      </c>
      <c r="BO34" s="24">
        <v>144059742.05663589</v>
      </c>
      <c r="BP34" s="25">
        <f t="shared" si="4"/>
        <v>144059742.05663589</v>
      </c>
    </row>
    <row r="35" spans="1:68" x14ac:dyDescent="0.3">
      <c r="A35" s="14">
        <f t="shared" si="5"/>
        <v>34</v>
      </c>
      <c r="B35" s="16" t="s">
        <v>35</v>
      </c>
      <c r="C35" s="20">
        <v>105137.2034207796</v>
      </c>
      <c r="D35" s="20">
        <v>20923.8238616899</v>
      </c>
      <c r="E35" s="45">
        <v>0</v>
      </c>
      <c r="F35" s="45">
        <v>0</v>
      </c>
      <c r="G35" s="45">
        <v>5.3109219999999997</v>
      </c>
      <c r="H35" s="20">
        <v>53386.117008791167</v>
      </c>
      <c r="I35" s="20">
        <v>6535.8883916619479</v>
      </c>
      <c r="J35" s="20">
        <v>51037.970615048311</v>
      </c>
      <c r="K35" s="20">
        <v>26570.185027904929</v>
      </c>
      <c r="L35" s="20">
        <v>28208.091082236522</v>
      </c>
      <c r="M35" s="20">
        <v>421240.849700085</v>
      </c>
      <c r="N35" s="20">
        <v>0</v>
      </c>
      <c r="O35" s="20">
        <v>470820.92280368455</v>
      </c>
      <c r="P35" s="20">
        <v>5642.7186018781931</v>
      </c>
      <c r="Q35" s="20">
        <v>912218.24996473256</v>
      </c>
      <c r="R35" s="20">
        <v>5.9099183716995105</v>
      </c>
      <c r="S35" s="20">
        <v>7197.9266394789001</v>
      </c>
      <c r="T35" s="20">
        <v>25.337142063265965</v>
      </c>
      <c r="U35" s="20">
        <v>24094.781421753614</v>
      </c>
      <c r="V35" s="20">
        <v>214461.50520130061</v>
      </c>
      <c r="W35" s="20">
        <v>81810.391040956747</v>
      </c>
      <c r="X35" s="20">
        <v>328822.58589316392</v>
      </c>
      <c r="Y35" s="20">
        <v>13855.132587895658</v>
      </c>
      <c r="Z35" s="20">
        <v>1373.4695932122047</v>
      </c>
      <c r="AA35" s="20">
        <v>18735.176096395629</v>
      </c>
      <c r="AB35" s="20">
        <v>555.52930855411876</v>
      </c>
      <c r="AC35" s="20">
        <v>28871.834814013484</v>
      </c>
      <c r="AD35" s="20">
        <v>4446.2986977475657</v>
      </c>
      <c r="AE35" s="20">
        <v>8285.3975662374032</v>
      </c>
      <c r="AF35" s="20">
        <v>10514.74904211401</v>
      </c>
      <c r="AG35" s="20">
        <v>109.1224225503526</v>
      </c>
      <c r="AH35" s="20">
        <v>4174.1631111714278</v>
      </c>
      <c r="AI35" s="20">
        <v>1968603.2761930723</v>
      </c>
      <c r="AJ35" s="20">
        <v>124504.43958938525</v>
      </c>
      <c r="AK35" s="20">
        <v>602083.05843084969</v>
      </c>
      <c r="AL35" s="20">
        <v>12925.585007062518</v>
      </c>
      <c r="AM35" s="20">
        <v>338807.37464247807</v>
      </c>
      <c r="AN35" s="20">
        <v>16631.64949761318</v>
      </c>
      <c r="AO35" s="20">
        <v>13009.856485120192</v>
      </c>
      <c r="AP35" s="20">
        <v>61725.811371573895</v>
      </c>
      <c r="AQ35" s="20">
        <v>23641.379447452891</v>
      </c>
      <c r="AR35" s="20">
        <v>7433.1892025555926</v>
      </c>
      <c r="AS35" s="20">
        <v>141836.34885672477</v>
      </c>
      <c r="AT35" s="20">
        <v>79850.295890423047</v>
      </c>
      <c r="AU35" s="20">
        <v>31954.623397239448</v>
      </c>
      <c r="AV35" s="20">
        <v>32730.644455610389</v>
      </c>
      <c r="AW35" s="20">
        <v>2702.9257793066568</v>
      </c>
      <c r="AX35" s="20">
        <v>19.124130475174617</v>
      </c>
      <c r="AY35" s="20">
        <v>18361.171675786085</v>
      </c>
      <c r="AZ35" s="20">
        <v>18420.293799746967</v>
      </c>
      <c r="BA35" s="20">
        <v>135022.43743907646</v>
      </c>
      <c r="BB35" s="20">
        <v>92702.756076980178</v>
      </c>
      <c r="BC35" s="20">
        <v>48876.573443372101</v>
      </c>
      <c r="BD35" s="20">
        <v>34604.565684672554</v>
      </c>
      <c r="BE35" s="29">
        <f t="shared" si="1"/>
        <v>6655514.0223940508</v>
      </c>
      <c r="BF35" s="37">
        <v>4995029.15859803</v>
      </c>
      <c r="BG35" s="21">
        <v>7741.5241915643237</v>
      </c>
      <c r="BH35" s="21">
        <v>799709.51169215119</v>
      </c>
      <c r="BI35" s="21">
        <v>0</v>
      </c>
      <c r="BJ35" s="21">
        <v>718161.82280947897</v>
      </c>
      <c r="BK35" s="22">
        <f t="shared" si="2"/>
        <v>6520642.0172912246</v>
      </c>
      <c r="BL35" s="23">
        <f t="shared" si="3"/>
        <v>13176156.039685275</v>
      </c>
      <c r="BM35" s="24">
        <v>0</v>
      </c>
      <c r="BN35" s="24">
        <v>0</v>
      </c>
      <c r="BO35" s="24">
        <v>13176156.036347024</v>
      </c>
      <c r="BP35" s="25">
        <f t="shared" si="4"/>
        <v>13176156.036347024</v>
      </c>
    </row>
    <row r="36" spans="1:68" x14ac:dyDescent="0.3">
      <c r="A36" s="14">
        <f t="shared" si="5"/>
        <v>35</v>
      </c>
      <c r="B36" s="16" t="s">
        <v>36</v>
      </c>
      <c r="C36" s="20">
        <v>165196.16823953</v>
      </c>
      <c r="D36" s="20">
        <v>119903.66494161593</v>
      </c>
      <c r="E36" s="45">
        <v>193020.27855039999</v>
      </c>
      <c r="F36" s="45">
        <v>162142.73733</v>
      </c>
      <c r="G36" s="45">
        <v>46370.191074200004</v>
      </c>
      <c r="H36" s="20">
        <v>280109.25598240003</v>
      </c>
      <c r="I36" s="20">
        <v>43943.561208805724</v>
      </c>
      <c r="J36" s="20">
        <v>49809.5169301282</v>
      </c>
      <c r="K36" s="20">
        <v>148343.30065433675</v>
      </c>
      <c r="L36" s="20">
        <v>97092.949124401712</v>
      </c>
      <c r="M36" s="20">
        <v>1431825.7909431807</v>
      </c>
      <c r="N36" s="20">
        <v>0</v>
      </c>
      <c r="O36" s="20">
        <v>596583.0712402683</v>
      </c>
      <c r="P36" s="20">
        <v>35280.353420885418</v>
      </c>
      <c r="Q36" s="20">
        <v>6116382.3070518589</v>
      </c>
      <c r="R36" s="20">
        <v>42.980875150878965</v>
      </c>
      <c r="S36" s="20">
        <v>48741.231303452369</v>
      </c>
      <c r="T36" s="20">
        <v>166.18293148033925</v>
      </c>
      <c r="U36" s="20">
        <v>158429.01673545022</v>
      </c>
      <c r="V36" s="20">
        <v>1407082.3132967215</v>
      </c>
      <c r="W36" s="20">
        <v>546781.94942492852</v>
      </c>
      <c r="X36" s="20">
        <v>2236494.7267368338</v>
      </c>
      <c r="Y36" s="20">
        <v>88600.614779449665</v>
      </c>
      <c r="Z36" s="20">
        <v>8735.000568290332</v>
      </c>
      <c r="AA36" s="20">
        <v>129524.53041245465</v>
      </c>
      <c r="AB36" s="20">
        <v>3830.8621308124507</v>
      </c>
      <c r="AC36" s="20">
        <v>194435.45177030799</v>
      </c>
      <c r="AD36" s="20">
        <v>27339.442203551218</v>
      </c>
      <c r="AE36" s="20">
        <v>56202.594166955583</v>
      </c>
      <c r="AF36" s="20">
        <v>31806.196055802164</v>
      </c>
      <c r="AG36" s="20">
        <v>480.56705245718626</v>
      </c>
      <c r="AH36" s="20">
        <v>22307.039083685635</v>
      </c>
      <c r="AI36" s="20">
        <v>12647543.07502399</v>
      </c>
      <c r="AJ36" s="20">
        <v>310165.57205636613</v>
      </c>
      <c r="AK36" s="20">
        <v>1405219.7897954851</v>
      </c>
      <c r="AL36" s="20">
        <v>34889.315316269531</v>
      </c>
      <c r="AM36" s="20">
        <v>482287.13543757104</v>
      </c>
      <c r="AN36" s="20">
        <v>59190.203701834209</v>
      </c>
      <c r="AO36" s="20">
        <v>46778.129124377119</v>
      </c>
      <c r="AP36" s="20">
        <v>351219.25351736549</v>
      </c>
      <c r="AQ36" s="20">
        <v>21598.176082807575</v>
      </c>
      <c r="AR36" s="20">
        <v>45364.055300837885</v>
      </c>
      <c r="AS36" s="20">
        <v>929539.9158240892</v>
      </c>
      <c r="AT36" s="20">
        <v>396448.08892930747</v>
      </c>
      <c r="AU36" s="20">
        <v>46614.625348018133</v>
      </c>
      <c r="AV36" s="20">
        <v>40402.626364784861</v>
      </c>
      <c r="AW36" s="20">
        <v>9799.7455160155132</v>
      </c>
      <c r="AX36" s="20">
        <v>67.320533419774094</v>
      </c>
      <c r="AY36" s="20">
        <v>71203.952502410917</v>
      </c>
      <c r="AZ36" s="20">
        <v>25896.481413215395</v>
      </c>
      <c r="BA36" s="20">
        <v>222955.39171424316</v>
      </c>
      <c r="BB36" s="20">
        <v>320147.96843573469</v>
      </c>
      <c r="BC36" s="20">
        <v>243370.00030393992</v>
      </c>
      <c r="BD36" s="20">
        <v>142697.20456682914</v>
      </c>
      <c r="BE36" s="29">
        <f t="shared" si="1"/>
        <v>32300401.873028714</v>
      </c>
      <c r="BF36" s="37">
        <v>22053980.791903298</v>
      </c>
      <c r="BG36" s="21">
        <v>53353.63510899758</v>
      </c>
      <c r="BH36" s="21">
        <v>8587726.8026717398</v>
      </c>
      <c r="BI36" s="21">
        <v>0</v>
      </c>
      <c r="BJ36" s="33">
        <v>17523125.480827998</v>
      </c>
      <c r="BK36" s="22">
        <f t="shared" si="2"/>
        <v>48218186.710512027</v>
      </c>
      <c r="BL36" s="23">
        <f t="shared" si="3"/>
        <v>80518588.583540738</v>
      </c>
      <c r="BM36" s="24">
        <v>0</v>
      </c>
      <c r="BN36" s="24">
        <v>0</v>
      </c>
      <c r="BO36" s="24">
        <v>80518588.583565861</v>
      </c>
      <c r="BP36" s="25">
        <f t="shared" si="4"/>
        <v>80518588.583565861</v>
      </c>
    </row>
    <row r="37" spans="1:68" x14ac:dyDescent="0.3">
      <c r="A37" s="14">
        <f t="shared" si="5"/>
        <v>36</v>
      </c>
      <c r="B37" s="16" t="s">
        <v>37</v>
      </c>
      <c r="C37" s="20">
        <v>77.306473056176941</v>
      </c>
      <c r="D37" s="20">
        <v>1506.9479064046234</v>
      </c>
      <c r="E37" s="45">
        <v>0</v>
      </c>
      <c r="F37" s="45">
        <v>0</v>
      </c>
      <c r="G37" s="45">
        <v>53.109220000000008</v>
      </c>
      <c r="H37" s="20">
        <v>282.70303478815504</v>
      </c>
      <c r="I37" s="20">
        <v>154.97401797975039</v>
      </c>
      <c r="J37" s="20">
        <v>47.094086935101345</v>
      </c>
      <c r="K37" s="20">
        <v>221.1976515455942</v>
      </c>
      <c r="L37" s="20">
        <v>184.36830057610777</v>
      </c>
      <c r="M37" s="20">
        <v>151651.77220952531</v>
      </c>
      <c r="N37" s="20">
        <v>0</v>
      </c>
      <c r="O37" s="20">
        <v>5364.9478573780953</v>
      </c>
      <c r="P37" s="20">
        <v>81.99141058506423</v>
      </c>
      <c r="Q37" s="20">
        <v>2772.4535068959358</v>
      </c>
      <c r="R37" s="20">
        <v>3.3158826208051738E-2</v>
      </c>
      <c r="S37" s="20">
        <v>45.584067370150173</v>
      </c>
      <c r="T37" s="20">
        <v>0.20788314347195438</v>
      </c>
      <c r="U37" s="20">
        <v>92.770574632448458</v>
      </c>
      <c r="V37" s="20">
        <v>5961.5308947954136</v>
      </c>
      <c r="W37" s="20">
        <v>220.00846374668424</v>
      </c>
      <c r="X37" s="20">
        <v>1023.6940791332401</v>
      </c>
      <c r="Y37" s="20">
        <v>703.88513924145343</v>
      </c>
      <c r="Z37" s="20">
        <v>8.4483398314309586</v>
      </c>
      <c r="AA37" s="20">
        <v>83.619063218547225</v>
      </c>
      <c r="AB37" s="20">
        <v>1.6262864297275772</v>
      </c>
      <c r="AC37" s="20">
        <v>169.66603727880215</v>
      </c>
      <c r="AD37" s="20">
        <v>41.219324480766979</v>
      </c>
      <c r="AE37" s="20">
        <v>69.962949066164455</v>
      </c>
      <c r="AF37" s="20">
        <v>77.492344835221488</v>
      </c>
      <c r="AG37" s="20">
        <v>1.0793580669729128</v>
      </c>
      <c r="AH37" s="20">
        <v>112.99793167717841</v>
      </c>
      <c r="AI37" s="20">
        <v>10032.411094171546</v>
      </c>
      <c r="AJ37" s="20">
        <v>490.85558699644844</v>
      </c>
      <c r="AK37" s="20">
        <v>23577.942979897285</v>
      </c>
      <c r="AL37" s="20">
        <v>161.25815632388048</v>
      </c>
      <c r="AM37" s="20">
        <v>283.82230519259821</v>
      </c>
      <c r="AN37" s="20">
        <v>54.949724618822501</v>
      </c>
      <c r="AO37" s="20">
        <v>30.833295796273553</v>
      </c>
      <c r="AP37" s="20">
        <v>272.85364754671616</v>
      </c>
      <c r="AQ37" s="20">
        <v>221.132468631379</v>
      </c>
      <c r="AR37" s="20">
        <v>36.125847394865716</v>
      </c>
      <c r="AS37" s="20">
        <v>427.72469301812828</v>
      </c>
      <c r="AT37" s="20">
        <v>611.12894498426249</v>
      </c>
      <c r="AU37" s="20">
        <v>137.72549580584942</v>
      </c>
      <c r="AV37" s="20">
        <v>132.35474983881295</v>
      </c>
      <c r="AW37" s="20">
        <v>494.50153378763764</v>
      </c>
      <c r="AX37" s="20">
        <v>0.6999400062767468</v>
      </c>
      <c r="AY37" s="20">
        <v>159.81729493625667</v>
      </c>
      <c r="AZ37" s="20">
        <v>1688.4249617577789</v>
      </c>
      <c r="BA37" s="20">
        <v>1644.9495112166621</v>
      </c>
      <c r="BB37" s="20">
        <v>1013.8914425775957</v>
      </c>
      <c r="BC37" s="20">
        <v>272.2161320493413</v>
      </c>
      <c r="BD37" s="20">
        <v>734.82786313688689</v>
      </c>
      <c r="BE37" s="29">
        <f t="shared" si="1"/>
        <v>213493.13924112916</v>
      </c>
      <c r="BF37" s="38">
        <v>835058.63434815709</v>
      </c>
      <c r="BG37" s="21">
        <v>21.149529233742808</v>
      </c>
      <c r="BH37" s="21">
        <v>2842.2650571822101</v>
      </c>
      <c r="BI37" s="21">
        <v>0</v>
      </c>
      <c r="BJ37" s="33">
        <v>612377.62058639899</v>
      </c>
      <c r="BK37" s="22">
        <f t="shared" si="2"/>
        <v>1450299.6695209718</v>
      </c>
      <c r="BL37" s="23">
        <f t="shared" si="3"/>
        <v>1663792.808762101</v>
      </c>
      <c r="BM37" s="24">
        <v>0</v>
      </c>
      <c r="BN37" s="24">
        <v>0</v>
      </c>
      <c r="BO37" s="24">
        <v>1663792.813672848</v>
      </c>
      <c r="BP37" s="25">
        <f t="shared" si="4"/>
        <v>1663792.813672848</v>
      </c>
    </row>
    <row r="38" spans="1:68" x14ac:dyDescent="0.3">
      <c r="A38" s="14">
        <f t="shared" si="5"/>
        <v>37</v>
      </c>
      <c r="B38" s="16" t="s">
        <v>38</v>
      </c>
      <c r="C38" s="20">
        <v>15864.069481642031</v>
      </c>
      <c r="D38" s="20">
        <v>28355.616719833608</v>
      </c>
      <c r="E38" s="45">
        <v>126202.00688</v>
      </c>
      <c r="F38" s="45">
        <v>264008.2219608</v>
      </c>
      <c r="G38" s="45">
        <v>39471.834488399996</v>
      </c>
      <c r="H38" s="20">
        <v>50190.35742486838</v>
      </c>
      <c r="I38" s="20">
        <v>2392.4898302672082</v>
      </c>
      <c r="J38" s="20">
        <v>6772.0328308442149</v>
      </c>
      <c r="K38" s="20">
        <v>18712.95769007667</v>
      </c>
      <c r="L38" s="20">
        <v>16287.575630477086</v>
      </c>
      <c r="M38" s="20">
        <f>530551.749297383-200000</f>
        <v>330551.74929738301</v>
      </c>
      <c r="N38" s="20">
        <v>0</v>
      </c>
      <c r="O38" s="20">
        <v>597763.69218997471</v>
      </c>
      <c r="P38" s="20">
        <v>4945.1171292568597</v>
      </c>
      <c r="Q38" s="20">
        <f>345226.639129385-100000</f>
        <v>245226.639129385</v>
      </c>
      <c r="R38" s="20">
        <v>3.4355869608207414</v>
      </c>
      <c r="S38" s="20">
        <v>4283.3250418739699</v>
      </c>
      <c r="T38" s="20">
        <v>20.387214166002074</v>
      </c>
      <c r="U38" s="20">
        <v>10856.971551631896</v>
      </c>
      <c r="V38" s="20">
        <v>347536.40767778025</v>
      </c>
      <c r="W38" s="20">
        <v>39074.225099052666</v>
      </c>
      <c r="X38" s="20">
        <v>142186.36011789396</v>
      </c>
      <c r="Y38" s="20">
        <v>14001.637725084152</v>
      </c>
      <c r="Z38" s="20">
        <v>964.24344126876758</v>
      </c>
      <c r="AA38" s="20">
        <v>11358.826228200296</v>
      </c>
      <c r="AB38" s="20">
        <v>238.68188384542972</v>
      </c>
      <c r="AC38" s="20">
        <v>15170.943853393925</v>
      </c>
      <c r="AD38" s="20">
        <v>4935.7062459910585</v>
      </c>
      <c r="AE38" s="20">
        <v>6702.7173413188702</v>
      </c>
      <c r="AF38" s="20">
        <v>3034.3828660427389</v>
      </c>
      <c r="AG38" s="20">
        <v>169.71656452639317</v>
      </c>
      <c r="AH38" s="20">
        <v>3684.8809062067467</v>
      </c>
      <c r="AI38" s="20">
        <v>1382243.5401359417</v>
      </c>
      <c r="AJ38" s="20">
        <v>130235.95673619096</v>
      </c>
      <c r="AK38" s="20">
        <f>1057050.20945547-500000</f>
        <v>557050.20945547009</v>
      </c>
      <c r="AL38" s="20">
        <v>3684.3413486969012</v>
      </c>
      <c r="AM38" s="20">
        <v>58118.910034862995</v>
      </c>
      <c r="AN38" s="20">
        <v>6988.7364962609872</v>
      </c>
      <c r="AO38" s="20">
        <v>3488.7925458146483</v>
      </c>
      <c r="AP38" s="20">
        <v>22138.735327938852</v>
      </c>
      <c r="AQ38" s="20">
        <v>7152.479528620469</v>
      </c>
      <c r="AR38" s="20">
        <v>3559.4649411448863</v>
      </c>
      <c r="AS38" s="20">
        <v>56787.094888833904</v>
      </c>
      <c r="AT38" s="20">
        <v>58762.279318235276</v>
      </c>
      <c r="AU38" s="20">
        <v>8615.3653369980093</v>
      </c>
      <c r="AV38" s="20">
        <v>5506.8409136035734</v>
      </c>
      <c r="AW38" s="20">
        <v>3483.3456948114949</v>
      </c>
      <c r="AX38" s="20">
        <v>36.908200411647897</v>
      </c>
      <c r="AY38" s="20">
        <v>10290.992591703969</v>
      </c>
      <c r="AZ38" s="20">
        <v>8775.4509109462069</v>
      </c>
      <c r="BA38" s="20">
        <v>700359.54836950521</v>
      </c>
      <c r="BB38" s="20">
        <v>173310.567624991</v>
      </c>
      <c r="BC38" s="20">
        <v>85524.022308324245</v>
      </c>
      <c r="BD38" s="20">
        <v>25985.724245899895</v>
      </c>
      <c r="BE38" s="29">
        <f t="shared" si="1"/>
        <v>5663066.5169836562</v>
      </c>
      <c r="BF38" s="37">
        <v>4003893.0173917897</v>
      </c>
      <c r="BG38" s="21">
        <v>502713.77879236941</v>
      </c>
      <c r="BH38" s="21">
        <v>626099.21930964291</v>
      </c>
      <c r="BI38" s="21">
        <v>0</v>
      </c>
      <c r="BJ38" s="33">
        <v>186323.96656321301</v>
      </c>
      <c r="BK38" s="22">
        <f t="shared" si="2"/>
        <v>5319029.9820570145</v>
      </c>
      <c r="BL38" s="23">
        <f t="shared" si="3"/>
        <v>10982096.499040671</v>
      </c>
      <c r="BM38" s="24">
        <v>0</v>
      </c>
      <c r="BN38" s="24">
        <v>0</v>
      </c>
      <c r="BO38" s="24">
        <v>10982096.499443874</v>
      </c>
      <c r="BP38" s="25">
        <f t="shared" si="4"/>
        <v>10982096.499443874</v>
      </c>
    </row>
    <row r="39" spans="1:68" x14ac:dyDescent="0.3">
      <c r="A39" s="14">
        <f t="shared" si="5"/>
        <v>38</v>
      </c>
      <c r="B39" s="16" t="s">
        <v>39</v>
      </c>
      <c r="C39" s="20">
        <v>2090.4540450367213</v>
      </c>
      <c r="D39" s="20">
        <v>4243.3807392385515</v>
      </c>
      <c r="E39" s="45">
        <v>0</v>
      </c>
      <c r="F39" s="45">
        <v>0</v>
      </c>
      <c r="G39" s="45">
        <v>18173.975084000002</v>
      </c>
      <c r="H39" s="20">
        <v>6476.8571623155995</v>
      </c>
      <c r="I39" s="20">
        <v>650.44833229353981</v>
      </c>
      <c r="J39" s="20">
        <v>719.15193810691187</v>
      </c>
      <c r="K39" s="20">
        <v>3469.9615387230983</v>
      </c>
      <c r="L39" s="20">
        <v>25379.230642361883</v>
      </c>
      <c r="M39" s="20">
        <v>186265.41202754161</v>
      </c>
      <c r="N39" s="20">
        <v>0</v>
      </c>
      <c r="O39" s="20">
        <v>8005.0007720626236</v>
      </c>
      <c r="P39" s="20">
        <v>7520.5940041504218</v>
      </c>
      <c r="Q39" s="20">
        <v>77968.296455071584</v>
      </c>
      <c r="R39" s="20">
        <v>0.72388952673465234</v>
      </c>
      <c r="S39" s="20">
        <v>734.58751366841716</v>
      </c>
      <c r="T39" s="20">
        <v>2.2850034486418958</v>
      </c>
      <c r="U39" s="20">
        <v>2077.0172973598073</v>
      </c>
      <c r="V39" s="20">
        <v>18572.539648373084</v>
      </c>
      <c r="W39" s="20">
        <v>6637.2261424971657</v>
      </c>
      <c r="X39" s="20">
        <v>27720.196692208374</v>
      </c>
      <c r="Y39" s="20">
        <v>1090.0252524877994</v>
      </c>
      <c r="Z39" s="20">
        <v>122.09690020875486</v>
      </c>
      <c r="AA39" s="20">
        <v>1902.3438442697068</v>
      </c>
      <c r="AB39" s="20">
        <v>48.773707012349007</v>
      </c>
      <c r="AC39" s="20">
        <v>2798.4062202971336</v>
      </c>
      <c r="AD39" s="20">
        <v>396.88944064133153</v>
      </c>
      <c r="AE39" s="20">
        <v>794.75367446548751</v>
      </c>
      <c r="AF39" s="20">
        <v>393.9814654199335</v>
      </c>
      <c r="AG39" s="20">
        <v>6.0390665329860873</v>
      </c>
      <c r="AH39" s="20">
        <v>311.27960438960446</v>
      </c>
      <c r="AI39" s="20">
        <v>174076.94531116556</v>
      </c>
      <c r="AJ39" s="20">
        <v>4894.6539361671603</v>
      </c>
      <c r="AK39" s="20">
        <v>20389.713485362416</v>
      </c>
      <c r="AL39" s="20">
        <v>432.14514238586548</v>
      </c>
      <c r="AM39" s="20">
        <v>6181.7810360301191</v>
      </c>
      <c r="AN39" s="20">
        <v>555.5849215941289</v>
      </c>
      <c r="AO39" s="20">
        <v>587.90206040699411</v>
      </c>
      <c r="AP39" s="20">
        <v>4091.1754925692626</v>
      </c>
      <c r="AQ39" s="20">
        <v>29086.275894361821</v>
      </c>
      <c r="AR39" s="20">
        <v>623.57516421837181</v>
      </c>
      <c r="AS39" s="20">
        <v>12038.861570418669</v>
      </c>
      <c r="AT39" s="20">
        <v>10712.616894588633</v>
      </c>
      <c r="AU39" s="20">
        <v>734.24682645436963</v>
      </c>
      <c r="AV39" s="20">
        <v>762.45399020204206</v>
      </c>
      <c r="AW39" s="20">
        <v>161.84069637965047</v>
      </c>
      <c r="AX39" s="20">
        <v>2.6364956783156468</v>
      </c>
      <c r="AY39" s="20">
        <v>1113.4251148252151</v>
      </c>
      <c r="AZ39" s="20">
        <v>1580.8017312574284</v>
      </c>
      <c r="BA39" s="20">
        <v>3920.6525169983629</v>
      </c>
      <c r="BB39" s="20">
        <v>4702.5208243078341</v>
      </c>
      <c r="BC39" s="20">
        <v>3596.7050155176694</v>
      </c>
      <c r="BD39" s="20">
        <v>2838.7356178887403</v>
      </c>
      <c r="BE39" s="29">
        <f t="shared" si="1"/>
        <v>687657.17784248851</v>
      </c>
      <c r="BF39" s="37">
        <v>466393.22099234635</v>
      </c>
      <c r="BG39" s="21">
        <v>664.16231344248376</v>
      </c>
      <c r="BH39" s="21">
        <v>76595.4571584605</v>
      </c>
      <c r="BI39" s="21">
        <v>0</v>
      </c>
      <c r="BJ39" s="21">
        <v>123370.39821983101</v>
      </c>
      <c r="BK39" s="22">
        <f t="shared" si="2"/>
        <v>667023.23868408042</v>
      </c>
      <c r="BL39" s="23">
        <f t="shared" si="3"/>
        <v>1354680.4165265691</v>
      </c>
      <c r="BM39" s="24">
        <v>0</v>
      </c>
      <c r="BN39" s="24">
        <v>0</v>
      </c>
      <c r="BO39" s="24">
        <v>1354680.4165220624</v>
      </c>
      <c r="BP39" s="25">
        <f t="shared" si="4"/>
        <v>1354680.4165220624</v>
      </c>
    </row>
    <row r="40" spans="1:68" x14ac:dyDescent="0.3">
      <c r="A40" s="14">
        <f t="shared" si="5"/>
        <v>39</v>
      </c>
      <c r="B40" s="16" t="s">
        <v>40</v>
      </c>
      <c r="C40" s="20">
        <v>1766.9764160527338</v>
      </c>
      <c r="D40" s="20">
        <v>6760.0813936995282</v>
      </c>
      <c r="E40" s="45">
        <v>1250.7632000000001</v>
      </c>
      <c r="F40" s="45">
        <v>13041.028747800001</v>
      </c>
      <c r="G40" s="45">
        <v>2299.629226</v>
      </c>
      <c r="H40" s="20">
        <v>2423.0813190239191</v>
      </c>
      <c r="I40" s="20">
        <v>194.76470198813988</v>
      </c>
      <c r="J40" s="20">
        <v>1093.0793884512964</v>
      </c>
      <c r="K40" s="20">
        <v>2896.4322857135862</v>
      </c>
      <c r="L40" s="20">
        <v>16775.833570639337</v>
      </c>
      <c r="M40" s="20">
        <v>44372.679954397783</v>
      </c>
      <c r="N40" s="20">
        <v>0</v>
      </c>
      <c r="O40" s="20">
        <v>1849.811428651891</v>
      </c>
      <c r="P40" s="20">
        <v>6410.3976781693673</v>
      </c>
      <c r="Q40" s="20">
        <v>19703.236021723835</v>
      </c>
      <c r="R40" s="20">
        <v>0.11706152790585185</v>
      </c>
      <c r="S40" s="20">
        <v>446.69961635495793</v>
      </c>
      <c r="T40" s="20">
        <v>1.2165415686485572</v>
      </c>
      <c r="U40" s="20">
        <v>1215.7431747698718</v>
      </c>
      <c r="V40" s="20">
        <v>4333.7885504700162</v>
      </c>
      <c r="W40" s="20">
        <v>1303.175694656516</v>
      </c>
      <c r="X40" s="20">
        <v>5466.4429583943765</v>
      </c>
      <c r="Y40" s="20">
        <v>765.27035871726105</v>
      </c>
      <c r="Z40" s="20">
        <v>23.93625781725758</v>
      </c>
      <c r="AA40" s="20">
        <v>423.86925814544435</v>
      </c>
      <c r="AB40" s="20">
        <v>8.7390278970965696</v>
      </c>
      <c r="AC40" s="20">
        <v>763.12793297547569</v>
      </c>
      <c r="AD40" s="20">
        <v>336.87611170655032</v>
      </c>
      <c r="AE40" s="20">
        <v>427.23632772502953</v>
      </c>
      <c r="AF40" s="20">
        <v>140.85550328857667</v>
      </c>
      <c r="AG40" s="20">
        <v>4.0164360555021625</v>
      </c>
      <c r="AH40" s="20">
        <v>1022.3326651178609</v>
      </c>
      <c r="AI40" s="20">
        <v>52759.381008777847</v>
      </c>
      <c r="AJ40" s="20">
        <v>2267.0278214300488</v>
      </c>
      <c r="AK40" s="20">
        <v>47702.041310142718</v>
      </c>
      <c r="AL40" s="20">
        <v>364.69524485542883</v>
      </c>
      <c r="AM40" s="20">
        <v>23662.257251938729</v>
      </c>
      <c r="AN40" s="20">
        <v>2772.4883150180212</v>
      </c>
      <c r="AO40" s="20">
        <v>837.10563420251719</v>
      </c>
      <c r="AP40" s="20">
        <v>7859.1458158453961</v>
      </c>
      <c r="AQ40" s="20">
        <v>49995.854157272981</v>
      </c>
      <c r="AR40" s="20">
        <v>263.8477746018936</v>
      </c>
      <c r="AS40" s="20">
        <v>4207.0308720436451</v>
      </c>
      <c r="AT40" s="20">
        <v>2088.7472258684174</v>
      </c>
      <c r="AU40" s="20">
        <v>263.02871361368761</v>
      </c>
      <c r="AV40" s="20">
        <v>192.11665157301039</v>
      </c>
      <c r="AW40" s="20">
        <v>100.34330627121568</v>
      </c>
      <c r="AX40" s="20">
        <v>2.3563381705031001</v>
      </c>
      <c r="AY40" s="20">
        <v>271.03874532683449</v>
      </c>
      <c r="AZ40" s="20">
        <v>2483.3949444788054</v>
      </c>
      <c r="BA40" s="20">
        <v>1046.1556554494778</v>
      </c>
      <c r="BB40" s="20">
        <v>1220.0321775222217</v>
      </c>
      <c r="BC40" s="20">
        <v>837.81149815371907</v>
      </c>
      <c r="BD40" s="20">
        <v>1514.2695838220025</v>
      </c>
      <c r="BE40" s="29">
        <f t="shared" si="1"/>
        <v>340231.40885587892</v>
      </c>
      <c r="BF40" s="37">
        <v>744017.03595374199</v>
      </c>
      <c r="BG40" s="21">
        <v>108.34398947373178</v>
      </c>
      <c r="BH40" s="21">
        <v>12525.081622040083</v>
      </c>
      <c r="BI40" s="21">
        <v>0</v>
      </c>
      <c r="BJ40" s="21">
        <v>47934.402460457604</v>
      </c>
      <c r="BK40" s="22">
        <f t="shared" si="2"/>
        <v>804584.86402571353</v>
      </c>
      <c r="BL40" s="23">
        <f t="shared" si="3"/>
        <v>1144816.2728815924</v>
      </c>
      <c r="BM40" s="24">
        <v>0</v>
      </c>
      <c r="BN40" s="24">
        <v>0</v>
      </c>
      <c r="BO40" s="24">
        <v>1144816.2769655427</v>
      </c>
      <c r="BP40" s="25">
        <f t="shared" si="4"/>
        <v>1144816.2769655427</v>
      </c>
    </row>
    <row r="41" spans="1:68" x14ac:dyDescent="0.3">
      <c r="A41" s="14">
        <f t="shared" si="5"/>
        <v>40</v>
      </c>
      <c r="B41" s="16" t="s">
        <v>41</v>
      </c>
      <c r="C41" s="20">
        <v>2257.0601505696259</v>
      </c>
      <c r="D41" s="20">
        <v>2878.9654618681961</v>
      </c>
      <c r="E41" s="45">
        <v>96158.674815999999</v>
      </c>
      <c r="F41" s="45">
        <v>15698.201363999999</v>
      </c>
      <c r="G41" s="45">
        <v>4478.8067410399999</v>
      </c>
      <c r="H41" s="20">
        <v>2651.6898746883644</v>
      </c>
      <c r="I41" s="20">
        <v>347.13312161383152</v>
      </c>
      <c r="J41" s="20">
        <v>2203.0915034932832</v>
      </c>
      <c r="K41" s="20">
        <v>4448.4381801214286</v>
      </c>
      <c r="L41" s="20">
        <v>74085.346856947275</v>
      </c>
      <c r="M41" s="20">
        <v>377082.16437318549</v>
      </c>
      <c r="N41" s="20">
        <v>0</v>
      </c>
      <c r="O41" s="20">
        <v>56549.228189942405</v>
      </c>
      <c r="P41" s="20">
        <v>4968.3346271858154</v>
      </c>
      <c r="Q41" s="20">
        <v>55196.579918262738</v>
      </c>
      <c r="R41" s="20">
        <v>0.46670895293149817</v>
      </c>
      <c r="S41" s="20">
        <v>1658.3161671049315</v>
      </c>
      <c r="T41" s="20">
        <v>3.0608661439212779</v>
      </c>
      <c r="U41" s="20">
        <v>2962.1277549804354</v>
      </c>
      <c r="V41" s="20">
        <v>17145.86765187548</v>
      </c>
      <c r="W41" s="20">
        <v>8735.090894212346</v>
      </c>
      <c r="X41" s="20">
        <v>36440.146338538456</v>
      </c>
      <c r="Y41" s="20">
        <v>1924.8833889635896</v>
      </c>
      <c r="Z41" s="20">
        <v>223.82494156772128</v>
      </c>
      <c r="AA41" s="20">
        <v>2653.4622027527757</v>
      </c>
      <c r="AB41" s="20">
        <v>42.219903572291734</v>
      </c>
      <c r="AC41" s="20">
        <v>2328.608566986506</v>
      </c>
      <c r="AD41" s="20">
        <v>572.68835506297899</v>
      </c>
      <c r="AE41" s="20">
        <v>1304.7051029359573</v>
      </c>
      <c r="AF41" s="20">
        <v>2270.8575649590325</v>
      </c>
      <c r="AG41" s="20">
        <v>16.628941465655263</v>
      </c>
      <c r="AH41" s="20">
        <v>1319.3271823002106</v>
      </c>
      <c r="AI41" s="20">
        <v>217854.79468492162</v>
      </c>
      <c r="AJ41" s="20">
        <v>16525.073475383575</v>
      </c>
      <c r="AK41" s="20">
        <v>334196.50265059964</v>
      </c>
      <c r="AL41" s="20">
        <v>1051.535574159758</v>
      </c>
      <c r="AM41" s="20">
        <v>12787.599937787978</v>
      </c>
      <c r="AN41" s="20">
        <v>4625.297314882785</v>
      </c>
      <c r="AO41" s="20">
        <v>1501.2842976902848</v>
      </c>
      <c r="AP41" s="20">
        <v>89946.057757367395</v>
      </c>
      <c r="AQ41" s="20">
        <v>47140.82145535812</v>
      </c>
      <c r="AR41" s="20">
        <v>1098.3290696492411</v>
      </c>
      <c r="AS41" s="20">
        <v>6288.1388431539208</v>
      </c>
      <c r="AT41" s="20">
        <v>41901.441772848651</v>
      </c>
      <c r="AU41" s="20">
        <v>20644.44797816455</v>
      </c>
      <c r="AV41" s="20">
        <v>2237.3472546602679</v>
      </c>
      <c r="AW41" s="20">
        <v>3833.4862937609369</v>
      </c>
      <c r="AX41" s="20">
        <v>24.218231367479714</v>
      </c>
      <c r="AY41" s="20">
        <v>21286.766284563793</v>
      </c>
      <c r="AZ41" s="20">
        <v>11883.792357346918</v>
      </c>
      <c r="BA41" s="20">
        <v>1037146.3320243363</v>
      </c>
      <c r="BB41" s="20">
        <v>133970.13379073783</v>
      </c>
      <c r="BC41" s="20">
        <v>32360.399392959651</v>
      </c>
      <c r="BD41" s="20">
        <v>14737.065747116074</v>
      </c>
      <c r="BE41" s="29">
        <f t="shared" si="1"/>
        <v>2831646.8639001106</v>
      </c>
      <c r="BF41" s="37">
        <v>3627263.5998452301</v>
      </c>
      <c r="BG41" s="21">
        <v>33795.623452117514</v>
      </c>
      <c r="BH41" s="21">
        <v>10474.179045360301</v>
      </c>
      <c r="BI41" s="21">
        <v>0</v>
      </c>
      <c r="BJ41" s="21">
        <v>81258.206698450987</v>
      </c>
      <c r="BK41" s="22">
        <f t="shared" si="2"/>
        <v>3752791.609041159</v>
      </c>
      <c r="BL41" s="23">
        <f t="shared" si="3"/>
        <v>6584438.4729412701</v>
      </c>
      <c r="BM41" s="24">
        <v>0</v>
      </c>
      <c r="BN41" s="24">
        <v>0</v>
      </c>
      <c r="BO41" s="24">
        <v>6584438.4727508593</v>
      </c>
      <c r="BP41" s="25">
        <f t="shared" si="4"/>
        <v>6584438.4727508593</v>
      </c>
    </row>
    <row r="42" spans="1:68" x14ac:dyDescent="0.3">
      <c r="A42" s="14">
        <f t="shared" si="5"/>
        <v>41</v>
      </c>
      <c r="B42" s="16" t="s">
        <v>42</v>
      </c>
      <c r="C42" s="20">
        <v>1239.0030189476627</v>
      </c>
      <c r="D42" s="20">
        <v>5287.7680543710158</v>
      </c>
      <c r="E42" s="45">
        <v>12257.479359999999</v>
      </c>
      <c r="F42" s="45">
        <v>21603.029399999999</v>
      </c>
      <c r="G42" s="45">
        <v>24400.5000368</v>
      </c>
      <c r="H42" s="20">
        <v>2462.1626110506395</v>
      </c>
      <c r="I42" s="20">
        <v>214.57534584365834</v>
      </c>
      <c r="J42" s="20">
        <v>1431.3043857503164</v>
      </c>
      <c r="K42" s="20">
        <v>3624.99945208602</v>
      </c>
      <c r="L42" s="20">
        <v>3149.086519647265</v>
      </c>
      <c r="M42" s="20">
        <v>37430.816355667688</v>
      </c>
      <c r="N42" s="20">
        <v>0</v>
      </c>
      <c r="O42" s="20">
        <v>9920.9794417100038</v>
      </c>
      <c r="P42" s="20">
        <v>553.97159348852438</v>
      </c>
      <c r="Q42" s="20">
        <v>29218.477283616234</v>
      </c>
      <c r="R42" s="20">
        <v>0.33317697922292089</v>
      </c>
      <c r="S42" s="20">
        <v>534.14332389553715</v>
      </c>
      <c r="T42" s="20">
        <v>1.968158400847412</v>
      </c>
      <c r="U42" s="20">
        <v>775.35597518787438</v>
      </c>
      <c r="V42" s="20">
        <v>10111.306148050471</v>
      </c>
      <c r="W42" s="20">
        <v>5125.0992920122708</v>
      </c>
      <c r="X42" s="20">
        <v>18010.51889055486</v>
      </c>
      <c r="Y42" s="20">
        <v>1055.5767493975736</v>
      </c>
      <c r="Z42" s="20">
        <v>116.38027910521957</v>
      </c>
      <c r="AA42" s="20">
        <v>1457.4999349390141</v>
      </c>
      <c r="AB42" s="20">
        <v>20.604664557001339</v>
      </c>
      <c r="AC42" s="20">
        <v>2168.2357035965024</v>
      </c>
      <c r="AD42" s="20">
        <v>425.40015256271374</v>
      </c>
      <c r="AE42" s="20">
        <v>873.89743460265231</v>
      </c>
      <c r="AF42" s="20">
        <v>264.71626478079162</v>
      </c>
      <c r="AG42" s="20">
        <v>3.6931571520624593</v>
      </c>
      <c r="AH42" s="20">
        <v>309.24391312504321</v>
      </c>
      <c r="AI42" s="20">
        <v>155294.4586886488</v>
      </c>
      <c r="AJ42" s="20">
        <v>16961.102182312436</v>
      </c>
      <c r="AK42" s="20">
        <v>140262.74304882617</v>
      </c>
      <c r="AL42" s="20">
        <v>6189.9304948687623</v>
      </c>
      <c r="AM42" s="20">
        <v>26853.132690186292</v>
      </c>
      <c r="AN42" s="20">
        <v>56447.28375575196</v>
      </c>
      <c r="AO42" s="20">
        <v>15574.329043627597</v>
      </c>
      <c r="AP42" s="20">
        <v>151215.89563995786</v>
      </c>
      <c r="AQ42" s="20">
        <v>26187.045894619368</v>
      </c>
      <c r="AR42" s="20">
        <v>284.65799572882111</v>
      </c>
      <c r="AS42" s="20">
        <v>4547.7532898149384</v>
      </c>
      <c r="AT42" s="20">
        <v>9817.400105189472</v>
      </c>
      <c r="AU42" s="20">
        <v>578.80283490034753</v>
      </c>
      <c r="AV42" s="20">
        <v>380.26511071843839</v>
      </c>
      <c r="AW42" s="20">
        <v>1504.8661914772385</v>
      </c>
      <c r="AX42" s="20">
        <v>34.02897158179163</v>
      </c>
      <c r="AY42" s="20">
        <v>1593.9557679083703</v>
      </c>
      <c r="AZ42" s="20">
        <v>1332.5989195779739</v>
      </c>
      <c r="BA42" s="20">
        <v>4659.539120228771</v>
      </c>
      <c r="BB42" s="20">
        <v>3215.4575423646156</v>
      </c>
      <c r="BC42" s="20">
        <v>1660.1018921600212</v>
      </c>
      <c r="BD42" s="20">
        <v>1822.3342237865575</v>
      </c>
      <c r="BE42" s="29">
        <f t="shared" si="1"/>
        <v>820465.80948211532</v>
      </c>
      <c r="BF42" s="38">
        <v>1012107.51130972</v>
      </c>
      <c r="BG42" s="21">
        <v>20489.173178191719</v>
      </c>
      <c r="BH42" s="21">
        <v>0</v>
      </c>
      <c r="BI42" s="21">
        <v>0</v>
      </c>
      <c r="BJ42" s="21">
        <v>0</v>
      </c>
      <c r="BK42" s="22">
        <f t="shared" si="2"/>
        <v>1032596.6844879118</v>
      </c>
      <c r="BL42" s="23">
        <f t="shared" si="3"/>
        <v>1853062.4939700272</v>
      </c>
      <c r="BM42" s="24">
        <v>0</v>
      </c>
      <c r="BN42" s="24">
        <v>0</v>
      </c>
      <c r="BO42" s="24">
        <v>1853062.4932290998</v>
      </c>
      <c r="BP42" s="25">
        <f t="shared" si="4"/>
        <v>1853062.4932290998</v>
      </c>
    </row>
    <row r="43" spans="1:68" x14ac:dyDescent="0.3">
      <c r="A43" s="14">
        <f t="shared" si="5"/>
        <v>42</v>
      </c>
      <c r="B43" s="16" t="s">
        <v>43</v>
      </c>
      <c r="C43" s="20">
        <v>49.433466102159628</v>
      </c>
      <c r="D43" s="20">
        <v>889.33676790114475</v>
      </c>
      <c r="E43" s="45">
        <v>95069.260068799995</v>
      </c>
      <c r="F43" s="45">
        <v>183745.76673</v>
      </c>
      <c r="G43" s="45">
        <v>37824.386484000002</v>
      </c>
      <c r="H43" s="20">
        <v>11156.262079361137</v>
      </c>
      <c r="I43" s="20">
        <v>1.8773329813050861</v>
      </c>
      <c r="J43" s="20">
        <v>1359.6182262132752</v>
      </c>
      <c r="K43" s="20">
        <v>6293.4720354815508</v>
      </c>
      <c r="L43" s="20">
        <v>5900.5626218888501</v>
      </c>
      <c r="M43" s="20">
        <v>46794.791342058095</v>
      </c>
      <c r="N43" s="20">
        <v>0</v>
      </c>
      <c r="O43" s="20">
        <v>6.1262908813848318</v>
      </c>
      <c r="P43" s="20">
        <v>292.30467759382191</v>
      </c>
      <c r="Q43" s="20">
        <v>20576.749046725785</v>
      </c>
      <c r="R43" s="20">
        <v>8.8810860208797665E-5</v>
      </c>
      <c r="S43" s="20">
        <v>3792.3883954600728</v>
      </c>
      <c r="T43" s="20">
        <v>1.4451429414842774</v>
      </c>
      <c r="U43" s="20">
        <v>557.18301770706057</v>
      </c>
      <c r="V43" s="20">
        <v>6550.397217950539</v>
      </c>
      <c r="W43" s="20">
        <v>6669.1619644271796</v>
      </c>
      <c r="X43" s="20">
        <v>9165.2257946151203</v>
      </c>
      <c r="Y43" s="20">
        <v>513.21061589782903</v>
      </c>
      <c r="Z43" s="20">
        <v>140.67141508422418</v>
      </c>
      <c r="AA43" s="20">
        <v>853.07508505604358</v>
      </c>
      <c r="AB43" s="20">
        <v>15.314239681405789</v>
      </c>
      <c r="AC43" s="20">
        <v>6993.0937559727308</v>
      </c>
      <c r="AD43" s="20">
        <v>17.147146034767214</v>
      </c>
      <c r="AE43" s="20">
        <v>172.25197170544988</v>
      </c>
      <c r="AF43" s="20">
        <v>78.905076496105053</v>
      </c>
      <c r="AG43" s="20">
        <v>7.1823939557774139</v>
      </c>
      <c r="AH43" s="20">
        <v>291.63895681196414</v>
      </c>
      <c r="AI43" s="20">
        <v>44684.653910756278</v>
      </c>
      <c r="AJ43" s="20">
        <v>62483.033077037937</v>
      </c>
      <c r="AK43" s="20">
        <v>147443.98953070235</v>
      </c>
      <c r="AL43" s="20">
        <v>4475.5129042932576</v>
      </c>
      <c r="AM43" s="20">
        <v>12388.108096139857</v>
      </c>
      <c r="AN43" s="20">
        <v>6038.3058770021935</v>
      </c>
      <c r="AO43" s="20">
        <v>10715.486138734999</v>
      </c>
      <c r="AP43" s="20">
        <v>18838.411760292351</v>
      </c>
      <c r="AQ43" s="20">
        <v>9550.5461699272182</v>
      </c>
      <c r="AR43" s="20">
        <v>1200.7156653895051</v>
      </c>
      <c r="AS43" s="20">
        <v>118.02383344086564</v>
      </c>
      <c r="AT43" s="20">
        <v>92148.796809447507</v>
      </c>
      <c r="AU43" s="20">
        <v>13214.229760049007</v>
      </c>
      <c r="AV43" s="20">
        <v>159952.54201217237</v>
      </c>
      <c r="AW43" s="20">
        <v>29584.218036402253</v>
      </c>
      <c r="AX43" s="20">
        <v>1073.3026740369926</v>
      </c>
      <c r="AY43" s="20">
        <v>12891.840613241242</v>
      </c>
      <c r="AZ43" s="20">
        <v>10285.248315878636</v>
      </c>
      <c r="BA43" s="20">
        <v>3608.0530659234505</v>
      </c>
      <c r="BB43" s="20">
        <v>3969.0891906264615</v>
      </c>
      <c r="BC43" s="20">
        <v>7464.0801816157746</v>
      </c>
      <c r="BD43" s="20">
        <v>2405.9703382198109</v>
      </c>
      <c r="BE43" s="29">
        <f t="shared" si="1"/>
        <v>1100312.3974099276</v>
      </c>
      <c r="BF43" s="38">
        <v>398863.57938289002</v>
      </c>
      <c r="BG43" s="21">
        <v>2372.8195290086287</v>
      </c>
      <c r="BH43" s="21">
        <v>0</v>
      </c>
      <c r="BI43" s="21">
        <v>0</v>
      </c>
      <c r="BJ43" s="21">
        <v>58382.151245750996</v>
      </c>
      <c r="BK43" s="22">
        <f t="shared" si="2"/>
        <v>459618.55015764968</v>
      </c>
      <c r="BL43" s="23">
        <f t="shared" si="3"/>
        <v>1559930.9475675772</v>
      </c>
      <c r="BM43" s="24">
        <v>0</v>
      </c>
      <c r="BN43" s="24">
        <v>0</v>
      </c>
      <c r="BO43" s="24">
        <v>1559930.9475562973</v>
      </c>
      <c r="BP43" s="25">
        <f t="shared" si="4"/>
        <v>1559930.9475562973</v>
      </c>
    </row>
    <row r="44" spans="1:68" x14ac:dyDescent="0.3">
      <c r="A44" s="14">
        <f t="shared" si="5"/>
        <v>43</v>
      </c>
      <c r="B44" s="16" t="s">
        <v>44</v>
      </c>
      <c r="C44" s="20">
        <v>6340.0325796445322</v>
      </c>
      <c r="D44" s="20">
        <v>4707.8072081668051</v>
      </c>
      <c r="E44" s="45">
        <v>90192.534352000002</v>
      </c>
      <c r="F44" s="45">
        <v>76762.764467999994</v>
      </c>
      <c r="G44" s="45">
        <v>45909.734136799998</v>
      </c>
      <c r="H44" s="20">
        <v>3412.3058270499191</v>
      </c>
      <c r="I44" s="20">
        <v>236.35293224269535</v>
      </c>
      <c r="J44" s="20">
        <v>1114.199665481389</v>
      </c>
      <c r="K44" s="20">
        <v>12715.771728088263</v>
      </c>
      <c r="L44" s="20">
        <v>23875.964955237494</v>
      </c>
      <c r="M44" s="20">
        <v>25384.34820085227</v>
      </c>
      <c r="N44" s="20">
        <v>0</v>
      </c>
      <c r="O44" s="20">
        <v>91779.600783190603</v>
      </c>
      <c r="P44" s="20">
        <v>668.17077199454116</v>
      </c>
      <c r="Q44" s="20">
        <v>36506.163458454314</v>
      </c>
      <c r="R44" s="20">
        <v>0.23385379723477179</v>
      </c>
      <c r="S44" s="20">
        <v>505.07133513508592</v>
      </c>
      <c r="T44" s="20">
        <v>3.191428687338477</v>
      </c>
      <c r="U44" s="20">
        <v>5291.2480026203893</v>
      </c>
      <c r="V44" s="20">
        <v>28226.384728898825</v>
      </c>
      <c r="W44" s="20">
        <v>7886.4229147126971</v>
      </c>
      <c r="X44" s="20">
        <v>40211.55059618564</v>
      </c>
      <c r="Y44" s="20">
        <v>4910.4748619143975</v>
      </c>
      <c r="Z44" s="20">
        <v>315.1088021036511</v>
      </c>
      <c r="AA44" s="20">
        <v>1156.4609033659644</v>
      </c>
      <c r="AB44" s="20">
        <v>29.411612164520431</v>
      </c>
      <c r="AC44" s="20">
        <v>2663.1703802093716</v>
      </c>
      <c r="AD44" s="20">
        <v>531.75560590972054</v>
      </c>
      <c r="AE44" s="20">
        <v>4943.2997467544683</v>
      </c>
      <c r="AF44" s="20">
        <v>1712.1702384961029</v>
      </c>
      <c r="AG44" s="20">
        <v>12.367249714191482</v>
      </c>
      <c r="AH44" s="20">
        <v>420.99548070393928</v>
      </c>
      <c r="AI44" s="20">
        <v>888981.50020749588</v>
      </c>
      <c r="AJ44" s="20">
        <v>29700.737001851914</v>
      </c>
      <c r="AK44" s="20">
        <v>573968.37629094906</v>
      </c>
      <c r="AL44" s="20">
        <v>1676.6249894988744</v>
      </c>
      <c r="AM44" s="20">
        <v>6830.9592182003944</v>
      </c>
      <c r="AN44" s="20">
        <v>4248.5755580297264</v>
      </c>
      <c r="AO44" s="20">
        <v>5058.5420506182472</v>
      </c>
      <c r="AP44" s="20">
        <v>138809.19804222303</v>
      </c>
      <c r="AQ44" s="20">
        <v>3138.1220497499567</v>
      </c>
      <c r="AR44" s="20">
        <v>1648.8250909350609</v>
      </c>
      <c r="AS44" s="20">
        <v>7474.5043323976834</v>
      </c>
      <c r="AT44" s="20">
        <v>28012.838913362088</v>
      </c>
      <c r="AU44" s="20">
        <v>6072.5745085419339</v>
      </c>
      <c r="AV44" s="20">
        <v>2109.7107622584331</v>
      </c>
      <c r="AW44" s="20">
        <v>3345.5927604504304</v>
      </c>
      <c r="AX44" s="20">
        <v>28.057600085932624</v>
      </c>
      <c r="AY44" s="20">
        <v>4588.0072567023981</v>
      </c>
      <c r="AZ44" s="20">
        <v>3747.4642722905046</v>
      </c>
      <c r="BA44" s="20">
        <v>195383.52832095715</v>
      </c>
      <c r="BB44" s="20">
        <v>13519.550912985838</v>
      </c>
      <c r="BC44" s="20">
        <v>16362.822146702008</v>
      </c>
      <c r="BD44" s="20">
        <v>15716.500077299706</v>
      </c>
      <c r="BE44" s="29">
        <f t="shared" si="1"/>
        <v>2468847.6811721628</v>
      </c>
      <c r="BF44" s="37">
        <v>15529240.7246494</v>
      </c>
      <c r="BG44" s="21">
        <v>501385.37178673886</v>
      </c>
      <c r="BH44" s="21">
        <v>0</v>
      </c>
      <c r="BI44" s="21">
        <v>0</v>
      </c>
      <c r="BJ44" s="33">
        <v>157467.29364816399</v>
      </c>
      <c r="BK44" s="22">
        <f t="shared" si="2"/>
        <v>16188093.390084304</v>
      </c>
      <c r="BL44" s="23">
        <f t="shared" si="3"/>
        <v>18656941.071256466</v>
      </c>
      <c r="BM44" s="24">
        <v>0</v>
      </c>
      <c r="BN44" s="24">
        <v>0</v>
      </c>
      <c r="BO44" s="24">
        <v>18656941.070476066</v>
      </c>
      <c r="BP44" s="25">
        <f t="shared" si="4"/>
        <v>18656941.070476066</v>
      </c>
    </row>
    <row r="45" spans="1:68" x14ac:dyDescent="0.3">
      <c r="A45" s="14">
        <f t="shared" si="5"/>
        <v>44</v>
      </c>
      <c r="B45" s="16" t="s">
        <v>45</v>
      </c>
      <c r="C45" s="20">
        <v>2263.649947602109</v>
      </c>
      <c r="D45" s="20">
        <v>3258.2049628956834</v>
      </c>
      <c r="E45" s="45">
        <v>115207.79835200001</v>
      </c>
      <c r="F45" s="45">
        <v>157798.128084</v>
      </c>
      <c r="G45" s="45">
        <v>1651.6967420000001</v>
      </c>
      <c r="H45" s="20">
        <v>21004.025837496509</v>
      </c>
      <c r="I45" s="20">
        <v>589.90408334783206</v>
      </c>
      <c r="J45" s="20">
        <v>18380.287496668887</v>
      </c>
      <c r="K45" s="20">
        <v>5758.6848690203979</v>
      </c>
      <c r="L45" s="20">
        <v>47032.953686519446</v>
      </c>
      <c r="M45" s="20">
        <v>161657.44101766145</v>
      </c>
      <c r="N45" s="20">
        <v>0</v>
      </c>
      <c r="O45" s="20">
        <v>143662.69537998567</v>
      </c>
      <c r="P45" s="20">
        <v>36635.282899437756</v>
      </c>
      <c r="Q45" s="20">
        <v>770444.33244658506</v>
      </c>
      <c r="R45" s="20">
        <v>0.57298973889167493</v>
      </c>
      <c r="S45" s="20">
        <v>17251.488492297696</v>
      </c>
      <c r="T45" s="20">
        <v>114.13662337996031</v>
      </c>
      <c r="U45" s="20">
        <v>21046.383198567139</v>
      </c>
      <c r="V45" s="20">
        <v>305240.86594497552</v>
      </c>
      <c r="W45" s="20">
        <v>215598.44368584067</v>
      </c>
      <c r="X45" s="20">
        <v>241691.46235899674</v>
      </c>
      <c r="Y45" s="20">
        <v>17995.015212988248</v>
      </c>
      <c r="Z45" s="20">
        <v>798.4266184476802</v>
      </c>
      <c r="AA45" s="20">
        <v>14915.012648490419</v>
      </c>
      <c r="AB45" s="20">
        <v>202.4809776951451</v>
      </c>
      <c r="AC45" s="20">
        <v>18981.651960915133</v>
      </c>
      <c r="AD45" s="20">
        <v>19647.87975234471</v>
      </c>
      <c r="AE45" s="20">
        <v>20085.415219271596</v>
      </c>
      <c r="AF45" s="20">
        <v>14038.289623886132</v>
      </c>
      <c r="AG45" s="20">
        <v>83.178406927297772</v>
      </c>
      <c r="AH45" s="20">
        <v>4045.7090006408021</v>
      </c>
      <c r="AI45" s="20">
        <v>1236738.1886497138</v>
      </c>
      <c r="AJ45" s="20">
        <v>204658.3607986485</v>
      </c>
      <c r="AK45" s="20">
        <v>1678601.8782868409</v>
      </c>
      <c r="AL45" s="20">
        <v>9252.8509251964551</v>
      </c>
      <c r="AM45" s="20">
        <v>46459.839261578381</v>
      </c>
      <c r="AN45" s="20">
        <v>22516.072230559515</v>
      </c>
      <c r="AO45" s="20">
        <v>47201.697817958709</v>
      </c>
      <c r="AP45" s="20">
        <v>141260.19253671073</v>
      </c>
      <c r="AQ45" s="20">
        <v>65745.536736897222</v>
      </c>
      <c r="AR45" s="20">
        <v>14602.612345604175</v>
      </c>
      <c r="AS45" s="20">
        <v>70828.322000580272</v>
      </c>
      <c r="AT45" s="20">
        <v>3117365.7968784138</v>
      </c>
      <c r="AU45" s="20">
        <v>162995.00321592277</v>
      </c>
      <c r="AV45" s="20">
        <v>235954.98775139547</v>
      </c>
      <c r="AW45" s="20">
        <v>34316.356935477626</v>
      </c>
      <c r="AX45" s="20">
        <v>348.17846564189875</v>
      </c>
      <c r="AY45" s="20">
        <v>206713.21699502284</v>
      </c>
      <c r="AZ45" s="20">
        <v>72057.223397305148</v>
      </c>
      <c r="BA45" s="20">
        <v>682814.04683724942</v>
      </c>
      <c r="BB45" s="20">
        <v>628715.32187873649</v>
      </c>
      <c r="BC45" s="20">
        <v>89623.719799083934</v>
      </c>
      <c r="BD45" s="20">
        <v>78368.339083172963</v>
      </c>
      <c r="BE45" s="29">
        <f t="shared" si="1"/>
        <v>11244219.241348337</v>
      </c>
      <c r="BF45" s="38">
        <v>11667645.665314801</v>
      </c>
      <c r="BG45" s="21">
        <v>1025065.3946795459</v>
      </c>
      <c r="BH45" s="21">
        <v>0</v>
      </c>
      <c r="BI45" s="21">
        <v>0</v>
      </c>
      <c r="BJ45" s="21">
        <v>202797.77284441597</v>
      </c>
      <c r="BK45" s="22">
        <f t="shared" si="2"/>
        <v>12895508.832838763</v>
      </c>
      <c r="BL45" s="23">
        <f t="shared" si="3"/>
        <v>24139728.0741871</v>
      </c>
      <c r="BM45" s="24">
        <v>0</v>
      </c>
      <c r="BN45" s="24">
        <v>0</v>
      </c>
      <c r="BO45" s="24">
        <v>24139728.070645593</v>
      </c>
      <c r="BP45" s="25">
        <f t="shared" si="4"/>
        <v>24139728.070645593</v>
      </c>
    </row>
    <row r="46" spans="1:68" x14ac:dyDescent="0.3">
      <c r="A46" s="14">
        <f t="shared" si="5"/>
        <v>45</v>
      </c>
      <c r="B46" s="16" t="s">
        <v>46</v>
      </c>
      <c r="C46" s="20">
        <v>19218.198696752112</v>
      </c>
      <c r="D46" s="20">
        <v>18785.51291186894</v>
      </c>
      <c r="E46" s="45">
        <v>40162.006351999997</v>
      </c>
      <c r="F46" s="45">
        <v>14618.049893999998</v>
      </c>
      <c r="G46" s="45">
        <v>34165.161226000004</v>
      </c>
      <c r="H46" s="20">
        <v>152357.44595013227</v>
      </c>
      <c r="I46" s="20">
        <v>1909.4787087652371</v>
      </c>
      <c r="J46" s="20">
        <v>15155.646159190457</v>
      </c>
      <c r="K46" s="20">
        <v>50535.149641207587</v>
      </c>
      <c r="L46" s="20">
        <v>103833.75413032668</v>
      </c>
      <c r="M46" s="20">
        <v>554031.97875559982</v>
      </c>
      <c r="N46" s="20">
        <v>0</v>
      </c>
      <c r="O46" s="20">
        <v>374910.30634238565</v>
      </c>
      <c r="P46" s="20">
        <v>5231.9306693503186</v>
      </c>
      <c r="Q46" s="20">
        <v>377204.32379945513</v>
      </c>
      <c r="R46" s="20">
        <v>8.8804792744849193E-3</v>
      </c>
      <c r="S46" s="20">
        <v>8100.6090301499289</v>
      </c>
      <c r="T46" s="20">
        <v>20.469790926371264</v>
      </c>
      <c r="U46" s="20">
        <v>8870.8498899315855</v>
      </c>
      <c r="V46" s="20">
        <v>301484.03502095205</v>
      </c>
      <c r="W46" s="20">
        <v>70855.444580900512</v>
      </c>
      <c r="X46" s="20">
        <v>264444.16965020023</v>
      </c>
      <c r="Y46" s="20">
        <v>9944.6181693929266</v>
      </c>
      <c r="Z46" s="20">
        <v>1009.6888198302197</v>
      </c>
      <c r="AA46" s="20">
        <v>4658.2070929898182</v>
      </c>
      <c r="AB46" s="20">
        <v>191.95126928776898</v>
      </c>
      <c r="AC46" s="20">
        <v>4869.368376213034</v>
      </c>
      <c r="AD46" s="20">
        <v>2483.3967221331982</v>
      </c>
      <c r="AE46" s="20">
        <v>16470.410542304813</v>
      </c>
      <c r="AF46" s="20">
        <v>41647.037119828834</v>
      </c>
      <c r="AG46" s="20">
        <v>274.31883087037141</v>
      </c>
      <c r="AH46" s="20">
        <v>1412.4887978801526</v>
      </c>
      <c r="AI46" s="20">
        <v>549443.37046478444</v>
      </c>
      <c r="AJ46" s="20">
        <v>70490.933773642217</v>
      </c>
      <c r="AK46" s="20">
        <v>1588716.4442011171</v>
      </c>
      <c r="AL46" s="20">
        <v>8128.6020866154768</v>
      </c>
      <c r="AM46" s="20">
        <v>36180.489840795708</v>
      </c>
      <c r="AN46" s="20">
        <v>20832.203672784191</v>
      </c>
      <c r="AO46" s="20">
        <v>5274.2461477851912</v>
      </c>
      <c r="AP46" s="20">
        <v>12709.180699252483</v>
      </c>
      <c r="AQ46" s="20">
        <v>6492.8744410425161</v>
      </c>
      <c r="AR46" s="20">
        <v>9642.1436623335721</v>
      </c>
      <c r="AS46" s="20">
        <v>14524.725552468517</v>
      </c>
      <c r="AT46" s="20">
        <v>135788.74707107866</v>
      </c>
      <c r="AU46" s="20">
        <v>51614.599490822104</v>
      </c>
      <c r="AV46" s="20">
        <v>74864.051697950432</v>
      </c>
      <c r="AW46" s="20">
        <v>153439.62809262943</v>
      </c>
      <c r="AX46" s="20">
        <v>439.83081385872384</v>
      </c>
      <c r="AY46" s="20">
        <v>229586.81250296251</v>
      </c>
      <c r="AZ46" s="20">
        <v>19544.209126374819</v>
      </c>
      <c r="BA46" s="20">
        <v>21130.927672792655</v>
      </c>
      <c r="BB46" s="20">
        <v>33738.985859923792</v>
      </c>
      <c r="BC46" s="20">
        <v>16999.349475977044</v>
      </c>
      <c r="BD46" s="20">
        <v>31527.244449582518</v>
      </c>
      <c r="BE46" s="29">
        <f t="shared" si="1"/>
        <v>5589965.6166178808</v>
      </c>
      <c r="BF46" s="37">
        <v>2179005.7310195202</v>
      </c>
      <c r="BG46" s="21">
        <v>90787.182658809514</v>
      </c>
      <c r="BH46" s="21">
        <v>0</v>
      </c>
      <c r="BI46" s="21">
        <v>0</v>
      </c>
      <c r="BJ46" s="21">
        <v>32705.185027718697</v>
      </c>
      <c r="BK46" s="22">
        <f t="shared" si="2"/>
        <v>2302498.0987060484</v>
      </c>
      <c r="BL46" s="23">
        <f t="shared" si="3"/>
        <v>7892463.7153239287</v>
      </c>
      <c r="BM46" s="24">
        <v>0</v>
      </c>
      <c r="BN46" s="24">
        <v>0</v>
      </c>
      <c r="BO46" s="24">
        <v>7892463.7153682187</v>
      </c>
      <c r="BP46" s="25">
        <f t="shared" si="4"/>
        <v>7892463.7153682187</v>
      </c>
    </row>
    <row r="47" spans="1:68" x14ac:dyDescent="0.3">
      <c r="A47" s="14">
        <f t="shared" si="5"/>
        <v>46</v>
      </c>
      <c r="B47" s="16" t="s">
        <v>47</v>
      </c>
      <c r="C47" s="20">
        <v>3560.5220753064114</v>
      </c>
      <c r="D47" s="20">
        <v>3773.4020281580915</v>
      </c>
      <c r="E47" s="45">
        <v>2626.6027200000003</v>
      </c>
      <c r="F47" s="45">
        <v>2160.30294</v>
      </c>
      <c r="G47" s="45">
        <v>2182.7889420000001</v>
      </c>
      <c r="H47" s="20">
        <v>0</v>
      </c>
      <c r="I47" s="20">
        <v>0.962592201769502</v>
      </c>
      <c r="J47" s="20">
        <v>4302.5324302912959</v>
      </c>
      <c r="K47" s="20">
        <v>10891.999926397188</v>
      </c>
      <c r="L47" s="20">
        <v>130723.14072235128</v>
      </c>
      <c r="M47" s="20">
        <v>80128.452405331263</v>
      </c>
      <c r="N47" s="20">
        <v>0</v>
      </c>
      <c r="O47" s="20">
        <v>52293.918281413717</v>
      </c>
      <c r="P47" s="20">
        <v>5085.6058676894363</v>
      </c>
      <c r="Q47" s="20">
        <v>16514.762899991423</v>
      </c>
      <c r="R47" s="20">
        <v>4.2590486490208597E-10</v>
      </c>
      <c r="S47" s="20">
        <v>3.6652153653186064E-3</v>
      </c>
      <c r="T47" s="20">
        <v>7.3750035876761553</v>
      </c>
      <c r="U47" s="20">
        <v>3713.0713486166751</v>
      </c>
      <c r="V47" s="20">
        <v>11894.186262737912</v>
      </c>
      <c r="W47" s="20">
        <v>13933.527939454621</v>
      </c>
      <c r="X47" s="20">
        <v>13041.336762221092</v>
      </c>
      <c r="Y47" s="20">
        <v>17.371384585582479</v>
      </c>
      <c r="Z47" s="20">
        <v>56.249635319872233</v>
      </c>
      <c r="AA47" s="20">
        <v>19.233426113568807</v>
      </c>
      <c r="AB47" s="20">
        <v>12.370157836925928</v>
      </c>
      <c r="AC47" s="20">
        <v>3128.4651197546445</v>
      </c>
      <c r="AD47" s="20">
        <v>6.5726547614859134</v>
      </c>
      <c r="AE47" s="20">
        <v>792.55633841682902</v>
      </c>
      <c r="AF47" s="20">
        <v>205.95568560162519</v>
      </c>
      <c r="AG47" s="20">
        <v>8.3546042075915086</v>
      </c>
      <c r="AH47" s="20">
        <v>3.3944614549769749</v>
      </c>
      <c r="AI47" s="20">
        <v>168967.58488190165</v>
      </c>
      <c r="AJ47" s="20">
        <v>74096.314022988168</v>
      </c>
      <c r="AK47" s="20">
        <f>385545.437081044-200000</f>
        <v>185545.43708104402</v>
      </c>
      <c r="AL47" s="20">
        <v>332.13350146108746</v>
      </c>
      <c r="AM47" s="20">
        <v>2448.3226980774784</v>
      </c>
      <c r="AN47" s="20">
        <v>11166.141684213824</v>
      </c>
      <c r="AO47" s="20">
        <v>15156.387431228082</v>
      </c>
      <c r="AP47" s="20">
        <v>29198.745855267545</v>
      </c>
      <c r="AQ47" s="20">
        <v>15104.991151084476</v>
      </c>
      <c r="AR47" s="20">
        <v>1387.6926243299806</v>
      </c>
      <c r="AS47" s="20">
        <v>9258.3754952944364</v>
      </c>
      <c r="AT47" s="20">
        <v>44500.298175419732</v>
      </c>
      <c r="AU47" s="20">
        <v>51062.238985111908</v>
      </c>
      <c r="AV47" s="20">
        <v>50410.755610652479</v>
      </c>
      <c r="AW47" s="20">
        <v>22113.207910931851</v>
      </c>
      <c r="AX47" s="20">
        <v>338.40664111980072</v>
      </c>
      <c r="AY47" s="20">
        <v>31387.292392810643</v>
      </c>
      <c r="AZ47" s="20">
        <v>5071.2393698071928</v>
      </c>
      <c r="BA47" s="20">
        <v>41516.703187409854</v>
      </c>
      <c r="BB47" s="20">
        <v>8378.1941858307855</v>
      </c>
      <c r="BC47" s="20">
        <v>15593.015169174745</v>
      </c>
      <c r="BD47" s="20">
        <v>2681.9703301524892</v>
      </c>
      <c r="BE47" s="29">
        <f t="shared" si="1"/>
        <v>1146800.4666663308</v>
      </c>
      <c r="BF47" s="37">
        <v>3465453.7649737098</v>
      </c>
      <c r="BG47" s="21">
        <v>0</v>
      </c>
      <c r="BH47" s="21">
        <v>0</v>
      </c>
      <c r="BI47" s="21">
        <v>0</v>
      </c>
      <c r="BJ47" s="21">
        <v>22555.619003870903</v>
      </c>
      <c r="BK47" s="22">
        <f t="shared" si="2"/>
        <v>3488009.3839775808</v>
      </c>
      <c r="BL47" s="23">
        <f t="shared" si="3"/>
        <v>4634809.8506439114</v>
      </c>
      <c r="BM47" s="24">
        <v>0</v>
      </c>
      <c r="BN47" s="24">
        <v>0</v>
      </c>
      <c r="BO47" s="24">
        <v>4634809.8546717232</v>
      </c>
      <c r="BP47" s="25">
        <f t="shared" si="4"/>
        <v>4634809.8546717232</v>
      </c>
    </row>
    <row r="48" spans="1:68" x14ac:dyDescent="0.3">
      <c r="A48" s="14">
        <f t="shared" si="5"/>
        <v>47</v>
      </c>
      <c r="B48" s="16" t="s">
        <v>48</v>
      </c>
      <c r="C48" s="20">
        <v>19019.714380750989</v>
      </c>
      <c r="D48" s="20">
        <v>32503.102619231424</v>
      </c>
      <c r="E48" s="45">
        <v>5404.5477872000001</v>
      </c>
      <c r="F48" s="45">
        <v>960.1346400000001</v>
      </c>
      <c r="G48" s="45">
        <v>5210.0144820000005</v>
      </c>
      <c r="H48" s="20">
        <v>5556.6380978120796</v>
      </c>
      <c r="I48" s="20">
        <v>213.12802491744645</v>
      </c>
      <c r="J48" s="20">
        <v>5251.2834570385094</v>
      </c>
      <c r="K48" s="20">
        <v>5589.5650281685867</v>
      </c>
      <c r="L48" s="20">
        <v>15605.201884843837</v>
      </c>
      <c r="M48" s="20">
        <v>64326.795551744734</v>
      </c>
      <c r="N48" s="20">
        <v>0</v>
      </c>
      <c r="O48" s="20">
        <v>3430.8219913318426</v>
      </c>
      <c r="P48" s="20">
        <v>175.43270823127204</v>
      </c>
      <c r="Q48" s="20">
        <v>29878.345995672447</v>
      </c>
      <c r="R48" s="20">
        <v>3.5575225922332893E-3</v>
      </c>
      <c r="S48" s="20">
        <v>2538.854724599124</v>
      </c>
      <c r="T48" s="20">
        <v>15.789669276621989</v>
      </c>
      <c r="U48" s="20">
        <v>2316.9027421781966</v>
      </c>
      <c r="V48" s="20">
        <v>72702.434000543348</v>
      </c>
      <c r="W48" s="20">
        <v>19145.579432280803</v>
      </c>
      <c r="X48" s="20">
        <v>33019.17977623261</v>
      </c>
      <c r="Y48" s="20">
        <v>866.75767606554882</v>
      </c>
      <c r="Z48" s="20">
        <v>79.775677723486453</v>
      </c>
      <c r="AA48" s="20">
        <v>2532.0550047555666</v>
      </c>
      <c r="AB48" s="20">
        <v>29.65553245119634</v>
      </c>
      <c r="AC48" s="20">
        <v>2503.9164480800764</v>
      </c>
      <c r="AD48" s="20">
        <v>2.3905707985762965</v>
      </c>
      <c r="AE48" s="20">
        <v>2523.1255991356766</v>
      </c>
      <c r="AF48" s="20">
        <v>18921.51048897313</v>
      </c>
      <c r="AG48" s="20">
        <v>0.20909885180755236</v>
      </c>
      <c r="AH48" s="20">
        <v>434.51876180082519</v>
      </c>
      <c r="AI48" s="20">
        <v>67087.81327179732</v>
      </c>
      <c r="AJ48" s="20">
        <v>98903.336952308426</v>
      </c>
      <c r="AK48" s="20">
        <v>419530.22258034768</v>
      </c>
      <c r="AL48" s="20">
        <v>5.6492023438752996</v>
      </c>
      <c r="AM48" s="20">
        <v>14832.121639105964</v>
      </c>
      <c r="AN48" s="20">
        <v>3126.0084673312554</v>
      </c>
      <c r="AO48" s="20">
        <v>8.6974054601492305</v>
      </c>
      <c r="AP48" s="20">
        <v>4983.3224346016541</v>
      </c>
      <c r="AQ48" s="20">
        <v>4218.8875447672235</v>
      </c>
      <c r="AR48" s="20">
        <v>2215.5249556611279</v>
      </c>
      <c r="AS48" s="20">
        <v>10657.854512780306</v>
      </c>
      <c r="AT48" s="20">
        <v>46038.404394518308</v>
      </c>
      <c r="AU48" s="20">
        <v>4160.574342001767</v>
      </c>
      <c r="AV48" s="20">
        <v>170163.12268023071</v>
      </c>
      <c r="AW48" s="20">
        <v>114612.96096477305</v>
      </c>
      <c r="AX48" s="20">
        <v>303.17211968322766</v>
      </c>
      <c r="AY48" s="20">
        <v>66040.531958396881</v>
      </c>
      <c r="AZ48" s="20">
        <v>11166.983039891824</v>
      </c>
      <c r="BA48" s="20">
        <v>27363.29229742313</v>
      </c>
      <c r="BB48" s="20">
        <v>27360.797716562418</v>
      </c>
      <c r="BC48" s="20">
        <v>18552.127394768602</v>
      </c>
      <c r="BD48" s="20">
        <v>14805.139032486744</v>
      </c>
      <c r="BE48" s="29">
        <f t="shared" si="1"/>
        <v>1476893.930317454</v>
      </c>
      <c r="BF48" s="37">
        <v>365738.60725852899</v>
      </c>
      <c r="BG48" s="21">
        <v>4.1954736238786055</v>
      </c>
      <c r="BH48" s="21">
        <v>0</v>
      </c>
      <c r="BI48" s="21">
        <v>0</v>
      </c>
      <c r="BJ48" s="21">
        <v>503.19799561450805</v>
      </c>
      <c r="BK48" s="22">
        <f t="shared" si="2"/>
        <v>366246.00072776736</v>
      </c>
      <c r="BL48" s="23">
        <f t="shared" si="3"/>
        <v>1843139.9310452214</v>
      </c>
      <c r="BM48" s="24">
        <v>0</v>
      </c>
      <c r="BN48" s="24">
        <v>0</v>
      </c>
      <c r="BO48" s="24">
        <v>1843139.9261773634</v>
      </c>
      <c r="BP48" s="25">
        <f t="shared" si="4"/>
        <v>1843139.9261773634</v>
      </c>
    </row>
    <row r="49" spans="1:75" x14ac:dyDescent="0.3">
      <c r="A49" s="14">
        <f t="shared" si="5"/>
        <v>48</v>
      </c>
      <c r="B49" s="16" t="s">
        <v>49</v>
      </c>
      <c r="C49" s="20">
        <v>61.702180336918538</v>
      </c>
      <c r="D49" s="20">
        <v>3.5659658410227699</v>
      </c>
      <c r="E49" s="45">
        <v>1250.7632000000001</v>
      </c>
      <c r="F49" s="45">
        <f>14666.056626-10000</f>
        <v>4666.0566259999996</v>
      </c>
      <c r="G49" s="45">
        <v>159.32766000000001</v>
      </c>
      <c r="H49" s="20">
        <v>44.733166247458669</v>
      </c>
      <c r="I49" s="20">
        <v>7.5275255956847057E-3</v>
      </c>
      <c r="J49" s="20">
        <v>5.4516492812399191</v>
      </c>
      <c r="K49" s="20">
        <v>25.234879642864215</v>
      </c>
      <c r="L49" s="20">
        <v>23.659434212001738</v>
      </c>
      <c r="M49" s="20">
        <v>187.63266457247801</v>
      </c>
      <c r="N49" s="20">
        <v>0</v>
      </c>
      <c r="O49" s="20">
        <v>2.4564534835037788E-2</v>
      </c>
      <c r="P49" s="20">
        <v>1.1720515029764362</v>
      </c>
      <c r="Q49" s="20">
        <v>82.50641024669541</v>
      </c>
      <c r="R49" s="20">
        <v>3.5610412753296124E-7</v>
      </c>
      <c r="S49" s="20">
        <v>15.206306499637487</v>
      </c>
      <c r="T49" s="20">
        <v>5.7945769822269674E-3</v>
      </c>
      <c r="U49" s="20">
        <v>2.2341318610164769</v>
      </c>
      <c r="V49" s="20">
        <v>26.265070294427144</v>
      </c>
      <c r="W49" s="20">
        <v>26.741280257108578</v>
      </c>
      <c r="X49" s="20">
        <v>36.749725512856784</v>
      </c>
      <c r="Y49" s="20">
        <v>2.0578161070085672</v>
      </c>
      <c r="Z49" s="20">
        <v>0.56404893973127379</v>
      </c>
      <c r="AA49" s="20">
        <v>3.4205676892418628</v>
      </c>
      <c r="AB49" s="20">
        <v>6.1405372583447165E-2</v>
      </c>
      <c r="AC49" s="20">
        <v>28.040146721607595</v>
      </c>
      <c r="AD49" s="20">
        <v>6.8754761118575147E-2</v>
      </c>
      <c r="AE49" s="20">
        <v>0.69067722073392557</v>
      </c>
      <c r="AF49" s="20">
        <v>0.31638499342880599</v>
      </c>
      <c r="AG49" s="20">
        <v>2.8799182073081242E-2</v>
      </c>
      <c r="AH49" s="20">
        <v>1.1693821681941059</v>
      </c>
      <c r="AI49" s="20">
        <v>179.17166501474668</v>
      </c>
      <c r="AJ49" s="20">
        <v>250.53766991109055</v>
      </c>
      <c r="AK49" s="20">
        <v>591.2048721109968</v>
      </c>
      <c r="AL49" s="20">
        <v>17.94542485343456</v>
      </c>
      <c r="AM49" s="20">
        <v>49.672488420767436</v>
      </c>
      <c r="AN49" s="20">
        <v>24.211742134370315</v>
      </c>
      <c r="AO49" s="20">
        <v>42.965790822818406</v>
      </c>
      <c r="AP49" s="20">
        <v>75.536214470097462</v>
      </c>
      <c r="AQ49" s="20">
        <v>38.294741243462163</v>
      </c>
      <c r="AR49" s="20">
        <v>4.81449907627775</v>
      </c>
      <c r="AS49" s="20">
        <v>0.47323913017781583</v>
      </c>
      <c r="AT49" s="20">
        <v>369.48822265533914</v>
      </c>
      <c r="AU49" s="20">
        <v>52.984981213549823</v>
      </c>
      <c r="AV49" s="20">
        <v>641.36030532763039</v>
      </c>
      <c r="AW49" s="20">
        <v>118.62357968191721</v>
      </c>
      <c r="AX49" s="20">
        <v>4.303612321940733</v>
      </c>
      <c r="AY49" s="20">
        <v>51.692300278130816</v>
      </c>
      <c r="AZ49" s="20">
        <v>41.240669996607004</v>
      </c>
      <c r="BA49" s="20">
        <v>14.467178744948344</v>
      </c>
      <c r="BB49" s="20">
        <v>15.914822128797827</v>
      </c>
      <c r="BC49" s="20">
        <v>29.928656863150731</v>
      </c>
      <c r="BD49" s="20">
        <v>9.6471981708952814</v>
      </c>
      <c r="BE49" s="29">
        <f t="shared" si="1"/>
        <v>9279.9381470290864</v>
      </c>
      <c r="BF49" s="37">
        <v>3667.3114425526205</v>
      </c>
      <c r="BG49" s="21">
        <v>0</v>
      </c>
      <c r="BH49" s="21">
        <v>0</v>
      </c>
      <c r="BI49" s="21">
        <v>0</v>
      </c>
      <c r="BJ49" s="21">
        <v>0</v>
      </c>
      <c r="BK49" s="22">
        <f t="shared" si="2"/>
        <v>3667.3114425526205</v>
      </c>
      <c r="BL49" s="23">
        <f t="shared" si="3"/>
        <v>12947.249589581706</v>
      </c>
      <c r="BM49" s="24">
        <v>0</v>
      </c>
      <c r="BN49" s="24">
        <v>0</v>
      </c>
      <c r="BO49" s="24">
        <v>12947.246414932324</v>
      </c>
      <c r="BP49" s="25">
        <f t="shared" si="4"/>
        <v>12947.246414932324</v>
      </c>
    </row>
    <row r="50" spans="1:75" x14ac:dyDescent="0.3">
      <c r="A50" s="14">
        <f t="shared" si="5"/>
        <v>49</v>
      </c>
      <c r="B50" s="16" t="s">
        <v>50</v>
      </c>
      <c r="C50" s="20">
        <v>0</v>
      </c>
      <c r="D50" s="20">
        <v>0</v>
      </c>
      <c r="E50" s="45">
        <v>0</v>
      </c>
      <c r="F50" s="45">
        <v>0</v>
      </c>
      <c r="G50" s="45">
        <v>0</v>
      </c>
      <c r="H50" s="20">
        <v>0</v>
      </c>
      <c r="I50" s="20">
        <v>0</v>
      </c>
      <c r="J50" s="20">
        <v>0</v>
      </c>
      <c r="K50" s="20">
        <v>0</v>
      </c>
      <c r="L50" s="20">
        <v>19894.693070834579</v>
      </c>
      <c r="M50" s="20">
        <v>304750.58527066821</v>
      </c>
      <c r="N50" s="20">
        <v>0</v>
      </c>
      <c r="O50" s="20">
        <v>52644.651065706232</v>
      </c>
      <c r="P50" s="20">
        <v>5791.7003399024306</v>
      </c>
      <c r="Q50" s="20">
        <v>48260.973576637029</v>
      </c>
      <c r="R50" s="20">
        <v>1.6455678654857622E-4</v>
      </c>
      <c r="S50" s="20">
        <v>1416.1286057719824</v>
      </c>
      <c r="T50" s="20">
        <v>11.748141009213034</v>
      </c>
      <c r="U50" s="20">
        <v>2224.2335647722803</v>
      </c>
      <c r="V50" s="20">
        <v>42874.792865893425</v>
      </c>
      <c r="W50" s="20">
        <v>13449.544275899774</v>
      </c>
      <c r="X50" s="20">
        <v>70476.619097684204</v>
      </c>
      <c r="Y50" s="20">
        <v>4070.8885802657837</v>
      </c>
      <c r="Z50" s="20">
        <v>298.50399507722489</v>
      </c>
      <c r="AA50" s="20">
        <v>4388.2407865615141</v>
      </c>
      <c r="AB50" s="20">
        <v>0</v>
      </c>
      <c r="AC50" s="20">
        <v>3238.5960244028925</v>
      </c>
      <c r="AD50" s="20">
        <v>2034.4872385329797</v>
      </c>
      <c r="AE50" s="20">
        <v>1578.6234394014975</v>
      </c>
      <c r="AF50" s="20">
        <v>0</v>
      </c>
      <c r="AG50" s="20">
        <v>0</v>
      </c>
      <c r="AH50" s="20">
        <v>4019.0934590660845</v>
      </c>
      <c r="AI50" s="20">
        <v>185013.91295898426</v>
      </c>
      <c r="AJ50" s="20">
        <v>224481.89223169058</v>
      </c>
      <c r="AK50" s="20">
        <v>1525347.8930469423</v>
      </c>
      <c r="AL50" s="20">
        <v>18962.68949333729</v>
      </c>
      <c r="AM50" s="20">
        <v>19485.203454678067</v>
      </c>
      <c r="AN50" s="20">
        <v>3275.640429198344</v>
      </c>
      <c r="AO50" s="20">
        <v>7334.6070087579556</v>
      </c>
      <c r="AP50" s="20">
        <v>17473.26505985398</v>
      </c>
      <c r="AQ50" s="20">
        <v>8803.9924911151538</v>
      </c>
      <c r="AR50" s="20">
        <v>2456.7044774526926</v>
      </c>
      <c r="AS50" s="20">
        <v>15674.260562264924</v>
      </c>
      <c r="AT50" s="20">
        <v>161434.29200035028</v>
      </c>
      <c r="AU50" s="20">
        <v>41475.458452861349</v>
      </c>
      <c r="AV50" s="20">
        <v>34799.031086450464</v>
      </c>
      <c r="AW50" s="20">
        <v>7394.7470161396095</v>
      </c>
      <c r="AX50" s="20">
        <v>91.904149603798601</v>
      </c>
      <c r="AY50" s="20">
        <v>33723.50721359178</v>
      </c>
      <c r="AZ50" s="20">
        <v>11035.486734130123</v>
      </c>
      <c r="BA50" s="20">
        <v>42887.848074510381</v>
      </c>
      <c r="BB50" s="20">
        <v>154090.54969115823</v>
      </c>
      <c r="BC50" s="20">
        <v>31053.776023142458</v>
      </c>
      <c r="BD50" s="20">
        <v>67166.789976130895</v>
      </c>
      <c r="BE50" s="29">
        <f t="shared" si="1"/>
        <v>3194887.5551949884</v>
      </c>
      <c r="BF50" s="37">
        <v>15282273.503411299</v>
      </c>
      <c r="BG50" s="21">
        <v>0</v>
      </c>
      <c r="BH50" s="21">
        <v>0</v>
      </c>
      <c r="BI50" s="21">
        <v>0</v>
      </c>
      <c r="BJ50" s="33">
        <v>80678.407737859598</v>
      </c>
      <c r="BK50" s="22">
        <f t="shared" si="2"/>
        <v>15362951.911149159</v>
      </c>
      <c r="BL50" s="23">
        <f t="shared" si="3"/>
        <v>18557839.466344148</v>
      </c>
      <c r="BM50" s="24">
        <v>0</v>
      </c>
      <c r="BN50" s="24">
        <v>0</v>
      </c>
      <c r="BO50" s="24">
        <v>18557839.466321204</v>
      </c>
      <c r="BP50" s="25">
        <f t="shared" si="4"/>
        <v>18557839.466321204</v>
      </c>
    </row>
    <row r="51" spans="1:75" x14ac:dyDescent="0.3">
      <c r="A51" s="14">
        <f t="shared" si="5"/>
        <v>50</v>
      </c>
      <c r="B51" s="16" t="s">
        <v>51</v>
      </c>
      <c r="C51" s="20">
        <v>4502.8372355910742</v>
      </c>
      <c r="D51" s="20">
        <v>2770.5986826290773</v>
      </c>
      <c r="E51" s="45">
        <v>70593.075008</v>
      </c>
      <c r="F51" s="45">
        <v>21026.948616000001</v>
      </c>
      <c r="G51" s="45">
        <v>164.63858200000001</v>
      </c>
      <c r="H51" s="20">
        <v>27033.07509887061</v>
      </c>
      <c r="I51" s="20">
        <v>132.64264274164844</v>
      </c>
      <c r="J51" s="20">
        <v>6444.8111383747673</v>
      </c>
      <c r="K51" s="20">
        <v>3845.77523910943</v>
      </c>
      <c r="L51" s="20">
        <v>44526.177314934299</v>
      </c>
      <c r="M51" s="20">
        <v>42870.913961472725</v>
      </c>
      <c r="N51" s="20">
        <v>0</v>
      </c>
      <c r="O51" s="20">
        <v>19561.421740278507</v>
      </c>
      <c r="P51" s="20">
        <v>4853.7344641430236</v>
      </c>
      <c r="Q51" s="20">
        <v>14359.408544697133</v>
      </c>
      <c r="R51" s="20">
        <v>7.7496639532121268E-3</v>
      </c>
      <c r="S51" s="20">
        <v>427.99887094829063</v>
      </c>
      <c r="T51" s="20">
        <v>2.5767908283288552</v>
      </c>
      <c r="U51" s="20">
        <v>977.85442744020224</v>
      </c>
      <c r="V51" s="20">
        <v>12807.161770621147</v>
      </c>
      <c r="W51" s="20">
        <v>3656.4373876385366</v>
      </c>
      <c r="X51" s="20">
        <v>10822.197686314865</v>
      </c>
      <c r="Y51" s="20">
        <v>1770.7238299309518</v>
      </c>
      <c r="Z51" s="20">
        <v>53.220685153208095</v>
      </c>
      <c r="AA51" s="20">
        <v>841.26163799811775</v>
      </c>
      <c r="AB51" s="20">
        <v>8.951955265155771</v>
      </c>
      <c r="AC51" s="20">
        <v>1433.6050439331357</v>
      </c>
      <c r="AD51" s="20">
        <v>368.12574942239655</v>
      </c>
      <c r="AE51" s="20">
        <v>385.6900370449099</v>
      </c>
      <c r="AF51" s="20">
        <v>9768.5173883360094</v>
      </c>
      <c r="AG51" s="20">
        <v>33.811680243949425</v>
      </c>
      <c r="AH51" s="20">
        <v>711.55274597848461</v>
      </c>
      <c r="AI51" s="20">
        <v>98283.76500138003</v>
      </c>
      <c r="AJ51" s="20">
        <v>21320.996531288336</v>
      </c>
      <c r="AK51" s="20">
        <v>79537.590602913828</v>
      </c>
      <c r="AL51" s="20">
        <v>2125.014833543109</v>
      </c>
      <c r="AM51" s="20">
        <v>18925.613459536158</v>
      </c>
      <c r="AN51" s="20">
        <v>4365.631466377703</v>
      </c>
      <c r="AO51" s="20">
        <v>2298.4271999489397</v>
      </c>
      <c r="AP51" s="20">
        <v>24127.256945116002</v>
      </c>
      <c r="AQ51" s="20">
        <v>4005.5178668308063</v>
      </c>
      <c r="AR51" s="20">
        <v>868.48115914112964</v>
      </c>
      <c r="AS51" s="20">
        <v>3135.3465422791305</v>
      </c>
      <c r="AT51" s="20">
        <v>27061.239392135954</v>
      </c>
      <c r="AU51" s="20">
        <v>28681.78831162518</v>
      </c>
      <c r="AV51" s="20">
        <v>14557.687732812068</v>
      </c>
      <c r="AW51" s="20">
        <v>3682.0365351105625</v>
      </c>
      <c r="AX51" s="20">
        <v>22.690010065069092</v>
      </c>
      <c r="AY51" s="20">
        <v>17380.464072111383</v>
      </c>
      <c r="AZ51" s="20">
        <v>2857.2539591319337</v>
      </c>
      <c r="BA51" s="20">
        <v>61036.211257855241</v>
      </c>
      <c r="BB51" s="20">
        <v>27547.350146583416</v>
      </c>
      <c r="BC51" s="20">
        <v>2132.9550165460018</v>
      </c>
      <c r="BD51" s="20">
        <v>3221.377547880275</v>
      </c>
      <c r="BE51" s="29">
        <f t="shared" si="1"/>
        <v>753930.44929581613</v>
      </c>
      <c r="BF51" s="37">
        <v>236690.69026609347</v>
      </c>
      <c r="BG51" s="33">
        <v>51626.570587917551</v>
      </c>
      <c r="BH51" s="21">
        <v>0</v>
      </c>
      <c r="BI51" s="21">
        <v>0</v>
      </c>
      <c r="BJ51" s="21">
        <v>49710.505645948011</v>
      </c>
      <c r="BK51" s="22">
        <f t="shared" si="2"/>
        <v>338027.76649995905</v>
      </c>
      <c r="BL51" s="23">
        <f t="shared" si="3"/>
        <v>1091958.2157957752</v>
      </c>
      <c r="BM51" s="24">
        <v>0</v>
      </c>
      <c r="BN51" s="24">
        <v>0</v>
      </c>
      <c r="BO51" s="24">
        <v>1091958.2154220438</v>
      </c>
      <c r="BP51" s="25">
        <f t="shared" si="4"/>
        <v>1091958.2154220438</v>
      </c>
    </row>
    <row r="52" spans="1:75" x14ac:dyDescent="0.3">
      <c r="A52" s="14">
        <f t="shared" si="5"/>
        <v>51</v>
      </c>
      <c r="B52" s="16" t="s">
        <v>52</v>
      </c>
      <c r="C52" s="20">
        <v>0</v>
      </c>
      <c r="D52" s="20">
        <v>0</v>
      </c>
      <c r="E52" s="45">
        <v>0</v>
      </c>
      <c r="F52" s="45">
        <v>0</v>
      </c>
      <c r="G52" s="45">
        <v>2177.47802</v>
      </c>
      <c r="H52" s="20">
        <v>0</v>
      </c>
      <c r="I52" s="20">
        <v>0</v>
      </c>
      <c r="J52" s="20">
        <v>0</v>
      </c>
      <c r="K52" s="20">
        <v>0</v>
      </c>
      <c r="L52" s="20">
        <v>120910.76204997332</v>
      </c>
      <c r="M52" s="20">
        <v>278366.44832918007</v>
      </c>
      <c r="N52" s="20">
        <v>0</v>
      </c>
      <c r="O52" s="20">
        <v>0</v>
      </c>
      <c r="P52" s="20">
        <v>12452.147565099724</v>
      </c>
      <c r="Q52" s="20">
        <v>37576.505688225247</v>
      </c>
      <c r="R52" s="20">
        <v>2.9830382317831645E-4</v>
      </c>
      <c r="S52" s="20">
        <v>2002.7943948627917</v>
      </c>
      <c r="T52" s="20">
        <v>0</v>
      </c>
      <c r="U52" s="20">
        <v>0</v>
      </c>
      <c r="V52" s="20">
        <v>69000.015318252947</v>
      </c>
      <c r="W52" s="20">
        <v>26091.43950049362</v>
      </c>
      <c r="X52" s="20">
        <v>104640.30488694117</v>
      </c>
      <c r="Y52" s="20">
        <v>0</v>
      </c>
      <c r="Z52" s="20">
        <v>0</v>
      </c>
      <c r="AA52" s="20">
        <v>0</v>
      </c>
      <c r="AB52" s="20">
        <v>0</v>
      </c>
      <c r="AC52" s="20">
        <v>7487.6692580522658</v>
      </c>
      <c r="AD52" s="20">
        <v>0</v>
      </c>
      <c r="AE52" s="20">
        <v>0</v>
      </c>
      <c r="AF52" s="20">
        <v>5244.2434363451712</v>
      </c>
      <c r="AG52" s="20">
        <v>0.36647187334849335</v>
      </c>
      <c r="AH52" s="20">
        <v>22752.270170525539</v>
      </c>
      <c r="AI52" s="20">
        <v>634951.31730452762</v>
      </c>
      <c r="AJ52" s="20">
        <v>1546.6096782687687</v>
      </c>
      <c r="AK52" s="20">
        <v>8298.1614045277565</v>
      </c>
      <c r="AL52" s="20">
        <v>315057.59027613228</v>
      </c>
      <c r="AM52" s="20">
        <v>16631.408467486897</v>
      </c>
      <c r="AN52" s="20">
        <v>6869.9424549372916</v>
      </c>
      <c r="AO52" s="20">
        <v>2230.4732866168297</v>
      </c>
      <c r="AP52" s="20">
        <v>13391.74094674677</v>
      </c>
      <c r="AQ52" s="20">
        <v>222.37223467387963</v>
      </c>
      <c r="AR52" s="20">
        <v>2859.4573146609405</v>
      </c>
      <c r="AS52" s="20">
        <v>46186.406298335329</v>
      </c>
      <c r="AT52" s="20">
        <v>603124.64758314029</v>
      </c>
      <c r="AU52" s="20">
        <v>20117.98283564538</v>
      </c>
      <c r="AV52" s="20">
        <v>25477.133342013145</v>
      </c>
      <c r="AW52" s="20">
        <v>6504.9156930095196</v>
      </c>
      <c r="AX52" s="20">
        <v>11.320291734605895</v>
      </c>
      <c r="AY52" s="20">
        <v>163842.64137563517</v>
      </c>
      <c r="AZ52" s="20">
        <v>7859.7746750283677</v>
      </c>
      <c r="BA52" s="20">
        <v>69577.967904672842</v>
      </c>
      <c r="BB52" s="20">
        <v>28884.97364561155</v>
      </c>
      <c r="BC52" s="20">
        <v>13911.348546095989</v>
      </c>
      <c r="BD52" s="20">
        <v>490.10178617607596</v>
      </c>
      <c r="BE52" s="29">
        <f t="shared" si="1"/>
        <v>2676750.7327338075</v>
      </c>
      <c r="BF52" s="37">
        <v>26024.626977062486</v>
      </c>
      <c r="BG52" s="21">
        <v>18671869.629210398</v>
      </c>
      <c r="BH52" s="21">
        <v>0</v>
      </c>
      <c r="BI52" s="21">
        <v>0</v>
      </c>
      <c r="BJ52" s="33">
        <v>6983.4472937096598</v>
      </c>
      <c r="BK52" s="22">
        <f t="shared" si="2"/>
        <v>18704877.703481171</v>
      </c>
      <c r="BL52" s="23">
        <f t="shared" si="3"/>
        <v>21381628.43621498</v>
      </c>
      <c r="BM52" s="24">
        <v>0</v>
      </c>
      <c r="BN52" s="24">
        <v>0</v>
      </c>
      <c r="BO52" s="24">
        <v>21381628.436215639</v>
      </c>
      <c r="BP52" s="25">
        <f t="shared" si="4"/>
        <v>21381628.436215639</v>
      </c>
    </row>
    <row r="53" spans="1:75" x14ac:dyDescent="0.3">
      <c r="A53" s="14">
        <f t="shared" si="5"/>
        <v>52</v>
      </c>
      <c r="B53" s="16" t="s">
        <v>53</v>
      </c>
      <c r="C53" s="20">
        <v>89.536087686637202</v>
      </c>
      <c r="D53" s="20">
        <v>63.600242343310349</v>
      </c>
      <c r="E53" s="45">
        <v>0</v>
      </c>
      <c r="F53" s="45">
        <v>0</v>
      </c>
      <c r="G53" s="45">
        <v>5.3109219999999997</v>
      </c>
      <c r="H53" s="20">
        <v>185.29528957796182</v>
      </c>
      <c r="I53" s="20">
        <v>22.014273494245064</v>
      </c>
      <c r="J53" s="20">
        <v>35.602149151610234</v>
      </c>
      <c r="K53" s="20">
        <v>79.798589390519112</v>
      </c>
      <c r="L53" s="20">
        <v>481.34715642095153</v>
      </c>
      <c r="M53" s="20">
        <v>6862.3556996078596</v>
      </c>
      <c r="N53" s="20">
        <v>0</v>
      </c>
      <c r="O53" s="20">
        <v>355.22077133088095</v>
      </c>
      <c r="P53" s="20">
        <v>172.25653338497182</v>
      </c>
      <c r="Q53" s="20">
        <v>3824.5734397396432</v>
      </c>
      <c r="R53" s="20">
        <v>2.1305642446850983E-2</v>
      </c>
      <c r="S53" s="20">
        <v>91.63945528391659</v>
      </c>
      <c r="T53" s="20">
        <v>0.23310262587045968</v>
      </c>
      <c r="U53" s="20">
        <v>89.600011265629803</v>
      </c>
      <c r="V53" s="20">
        <v>3498.8945592693944</v>
      </c>
      <c r="W53" s="20">
        <v>1348.9622676813369</v>
      </c>
      <c r="X53" s="20">
        <v>1995.7570529192219</v>
      </c>
      <c r="Y53" s="20">
        <v>345.06034008048624</v>
      </c>
      <c r="Z53" s="20">
        <v>18.314553272741406</v>
      </c>
      <c r="AA53" s="20">
        <v>99.312450940160886</v>
      </c>
      <c r="AB53" s="20">
        <v>3.2533560267981585</v>
      </c>
      <c r="AC53" s="20">
        <v>132.4171850383423</v>
      </c>
      <c r="AD53" s="20">
        <v>14.797010329547184</v>
      </c>
      <c r="AE53" s="20">
        <v>36.489922306562761</v>
      </c>
      <c r="AF53" s="20">
        <v>262.11235774643836</v>
      </c>
      <c r="AG53" s="20">
        <v>0.98253798938265269</v>
      </c>
      <c r="AH53" s="20">
        <v>86.109084384606376</v>
      </c>
      <c r="AI53" s="20">
        <v>26569.942118948049</v>
      </c>
      <c r="AJ53" s="20">
        <v>607.91239443024767</v>
      </c>
      <c r="AK53" s="20">
        <v>21702.736534087911</v>
      </c>
      <c r="AL53" s="20">
        <v>1360.7223096269304</v>
      </c>
      <c r="AM53" s="20">
        <v>1078.055770732464</v>
      </c>
      <c r="AN53" s="20">
        <v>34.924016137160194</v>
      </c>
      <c r="AO53" s="20">
        <v>114.64348479233119</v>
      </c>
      <c r="AP53" s="20">
        <v>1129.5606978385727</v>
      </c>
      <c r="AQ53" s="20">
        <v>480.56397954100385</v>
      </c>
      <c r="AR53" s="20">
        <v>379.16915791257776</v>
      </c>
      <c r="AS53" s="20">
        <v>490.63036825389929</v>
      </c>
      <c r="AT53" s="20">
        <v>6712.8791246366591</v>
      </c>
      <c r="AU53" s="20">
        <v>49092.630438778346</v>
      </c>
      <c r="AV53" s="20">
        <v>4875.1604133392102</v>
      </c>
      <c r="AW53" s="20">
        <v>886.70914591762619</v>
      </c>
      <c r="AX53" s="20">
        <v>6.1245818466840305</v>
      </c>
      <c r="AY53" s="20">
        <v>75.859032794736507</v>
      </c>
      <c r="AZ53" s="20">
        <v>213.24669005760643</v>
      </c>
      <c r="BA53" s="20">
        <v>8468.3272528903199</v>
      </c>
      <c r="BB53" s="20">
        <v>36410.875209972641</v>
      </c>
      <c r="BC53" s="20">
        <v>3812.590760352376</v>
      </c>
      <c r="BD53" s="20">
        <v>5505.4800455113618</v>
      </c>
      <c r="BE53" s="29">
        <f t="shared" si="1"/>
        <v>190209.6112353302</v>
      </c>
      <c r="BF53" s="37">
        <v>9390703.8152786009</v>
      </c>
      <c r="BG53" s="21">
        <v>6435885.73878757</v>
      </c>
      <c r="BH53" s="21">
        <v>0</v>
      </c>
      <c r="BI53" s="21">
        <v>0</v>
      </c>
      <c r="BJ53" s="33">
        <v>8359.0729531183006</v>
      </c>
      <c r="BK53" s="22">
        <f t="shared" si="2"/>
        <v>15834948.627019288</v>
      </c>
      <c r="BL53" s="23">
        <f t="shared" si="3"/>
        <v>16025158.238254618</v>
      </c>
      <c r="BM53" s="24">
        <v>0</v>
      </c>
      <c r="BN53" s="24">
        <v>0</v>
      </c>
      <c r="BO53" s="24">
        <v>16025158.235303147</v>
      </c>
      <c r="BP53" s="25">
        <f t="shared" si="4"/>
        <v>16025158.235303147</v>
      </c>
    </row>
    <row r="54" spans="1:75" x14ac:dyDescent="0.3">
      <c r="A54" s="14">
        <f t="shared" si="5"/>
        <v>53</v>
      </c>
      <c r="B54" s="16" t="s">
        <v>54</v>
      </c>
      <c r="C54" s="20">
        <v>11123.368436268196</v>
      </c>
      <c r="D54" s="20">
        <v>5509.9123488349514</v>
      </c>
      <c r="E54" s="45">
        <v>12219.956464000001</v>
      </c>
      <c r="F54" s="45">
        <v>23523.29868</v>
      </c>
      <c r="G54" s="45">
        <v>212.43688000000003</v>
      </c>
      <c r="H54" s="20">
        <v>3160.5120434329529</v>
      </c>
      <c r="I54" s="20">
        <v>115.96967727251808</v>
      </c>
      <c r="J54" s="20">
        <v>37.680904998829426</v>
      </c>
      <c r="K54" s="20">
        <v>370.15732889829411</v>
      </c>
      <c r="L54" s="20">
        <v>5380.2664148079084</v>
      </c>
      <c r="M54" s="20">
        <v>7018.6202616368291</v>
      </c>
      <c r="N54" s="20">
        <v>0</v>
      </c>
      <c r="O54" s="20">
        <v>36689.955294071915</v>
      </c>
      <c r="P54" s="20">
        <v>261.43590922850416</v>
      </c>
      <c r="Q54" s="20">
        <v>7663.2270318734909</v>
      </c>
      <c r="R54" s="20">
        <v>1.4647727935413839E-3</v>
      </c>
      <c r="S54" s="20">
        <v>1219.9397307286563</v>
      </c>
      <c r="T54" s="20">
        <v>3.5188852043947438</v>
      </c>
      <c r="U54" s="20">
        <v>1326.7212170151483</v>
      </c>
      <c r="V54" s="20">
        <v>35517.17991446775</v>
      </c>
      <c r="W54" s="20">
        <v>47591.61968056066</v>
      </c>
      <c r="X54" s="20">
        <v>120605.69359860872</v>
      </c>
      <c r="Y54" s="20">
        <v>1928.1567830213301</v>
      </c>
      <c r="Z54" s="20">
        <v>302.46045275993447</v>
      </c>
      <c r="AA54" s="20">
        <v>1233.1431249839188</v>
      </c>
      <c r="AB54" s="20">
        <v>2.9616610239472321</v>
      </c>
      <c r="AC54" s="20">
        <v>481.84373229905538</v>
      </c>
      <c r="AD54" s="20">
        <v>296.12210395343516</v>
      </c>
      <c r="AE54" s="20">
        <v>678.69589719728549</v>
      </c>
      <c r="AF54" s="20">
        <v>129.720930559913</v>
      </c>
      <c r="AG54" s="20">
        <v>0.18683181919617156</v>
      </c>
      <c r="AH54" s="20">
        <v>1480.7372105820732</v>
      </c>
      <c r="AI54" s="20">
        <v>40021.729377373689</v>
      </c>
      <c r="AJ54" s="20">
        <v>5883.8106219148021</v>
      </c>
      <c r="AK54" s="20">
        <v>25223.015049725247</v>
      </c>
      <c r="AL54" s="20">
        <v>328.41035829508957</v>
      </c>
      <c r="AM54" s="20">
        <v>386.74291697819166</v>
      </c>
      <c r="AN54" s="20">
        <v>694.62142765591557</v>
      </c>
      <c r="AO54" s="20">
        <v>1171.1469570181785</v>
      </c>
      <c r="AP54" s="20">
        <v>851.92209349369352</v>
      </c>
      <c r="AQ54" s="20">
        <v>1274.6359119221981</v>
      </c>
      <c r="AR54" s="20">
        <v>159.72925293859362</v>
      </c>
      <c r="AS54" s="20">
        <v>234.77665539580326</v>
      </c>
      <c r="AT54" s="20">
        <v>851.46551146036802</v>
      </c>
      <c r="AU54" s="20">
        <v>4989.3687027873248</v>
      </c>
      <c r="AV54" s="20">
        <v>7312.7050050982743</v>
      </c>
      <c r="AW54" s="20">
        <v>192.28878702914059</v>
      </c>
      <c r="AX54" s="20">
        <v>6.1552628098706883</v>
      </c>
      <c r="AY54" s="20">
        <v>1058.2771864833458</v>
      </c>
      <c r="AZ54" s="20">
        <v>467.99554538700846</v>
      </c>
      <c r="BA54" s="20">
        <v>1977.771516333748</v>
      </c>
      <c r="BB54" s="20">
        <v>11673.906286106649</v>
      </c>
      <c r="BC54" s="20">
        <v>32922.95935325067</v>
      </c>
      <c r="BD54" s="20">
        <v>14106.725055480472</v>
      </c>
      <c r="BE54" s="29">
        <f t="shared" si="1"/>
        <v>477875.65972982091</v>
      </c>
      <c r="BF54" s="37">
        <v>3863041.9786141198</v>
      </c>
      <c r="BG54" s="21">
        <v>2099451.8663067501</v>
      </c>
      <c r="BH54" s="21">
        <v>0</v>
      </c>
      <c r="BI54" s="21">
        <v>0</v>
      </c>
      <c r="BJ54" s="21">
        <v>35483.967137399799</v>
      </c>
      <c r="BK54" s="22">
        <f t="shared" si="2"/>
        <v>5997977.81205827</v>
      </c>
      <c r="BL54" s="23">
        <f t="shared" si="3"/>
        <v>6475853.4717880907</v>
      </c>
      <c r="BM54" s="24">
        <v>0</v>
      </c>
      <c r="BN54" s="24">
        <v>0</v>
      </c>
      <c r="BO54" s="24">
        <v>6475853.4679792346</v>
      </c>
      <c r="BP54" s="25">
        <f t="shared" si="4"/>
        <v>6475853.4679792346</v>
      </c>
    </row>
    <row r="55" spans="1:75" x14ac:dyDescent="0.3">
      <c r="A55" s="14">
        <f t="shared" si="5"/>
        <v>54</v>
      </c>
      <c r="B55" s="17" t="s">
        <v>55</v>
      </c>
      <c r="C55" s="20">
        <v>32702.231869083978</v>
      </c>
      <c r="D55" s="20">
        <v>33344.981438719238</v>
      </c>
      <c r="E55" s="45">
        <v>2639.1103520000001</v>
      </c>
      <c r="F55" s="45">
        <v>5040.7068600000002</v>
      </c>
      <c r="G55" s="45">
        <v>1646.38582</v>
      </c>
      <c r="H55" s="20">
        <v>602819.66862349992</v>
      </c>
      <c r="I55" s="20">
        <v>701.59068304530945</v>
      </c>
      <c r="J55" s="20">
        <v>5239.763776282849</v>
      </c>
      <c r="K55" s="20">
        <v>3656.1230642676342</v>
      </c>
      <c r="L55" s="20">
        <v>14357.324373220801</v>
      </c>
      <c r="M55" s="20">
        <v>27149.300489858935</v>
      </c>
      <c r="N55" s="20">
        <v>0</v>
      </c>
      <c r="O55" s="20">
        <v>5272.9362599906199</v>
      </c>
      <c r="P55" s="20">
        <v>4154.0602047068114</v>
      </c>
      <c r="Q55" s="20">
        <v>396472.9645814824</v>
      </c>
      <c r="R55" s="20">
        <v>8.6163740256992666E-2</v>
      </c>
      <c r="S55" s="20">
        <v>1390.0287802706011</v>
      </c>
      <c r="T55" s="20">
        <v>3.038893329951565</v>
      </c>
      <c r="U55" s="20">
        <v>846.53764671716385</v>
      </c>
      <c r="V55" s="20">
        <v>32398.542839803267</v>
      </c>
      <c r="W55" s="20">
        <v>53974.506465139086</v>
      </c>
      <c r="X55" s="20">
        <v>99314.395826081527</v>
      </c>
      <c r="Y55" s="20">
        <v>4264.8423130358569</v>
      </c>
      <c r="Z55" s="20">
        <v>3569.7932427943852</v>
      </c>
      <c r="AA55" s="20">
        <v>946.15066261726361</v>
      </c>
      <c r="AB55" s="20">
        <v>11.303359560710442</v>
      </c>
      <c r="AC55" s="20">
        <v>1407.4683588413498</v>
      </c>
      <c r="AD55" s="20">
        <v>332.54567687814199</v>
      </c>
      <c r="AE55" s="20">
        <v>661.03467835075423</v>
      </c>
      <c r="AF55" s="20">
        <v>527.77231464840054</v>
      </c>
      <c r="AG55" s="20">
        <v>5.0513285211675329</v>
      </c>
      <c r="AH55" s="20">
        <v>46537.797362772973</v>
      </c>
      <c r="AI55" s="20">
        <v>161450.40447197811</v>
      </c>
      <c r="AJ55" s="20">
        <v>52090.640660911733</v>
      </c>
      <c r="AK55" s="20">
        <v>163909.22343089044</v>
      </c>
      <c r="AL55" s="20">
        <v>1274.5906173745195</v>
      </c>
      <c r="AM55" s="20">
        <v>14185.351338169177</v>
      </c>
      <c r="AN55" s="20">
        <v>7125.5016924820702</v>
      </c>
      <c r="AO55" s="20">
        <v>2220.3362078115688</v>
      </c>
      <c r="AP55" s="20">
        <v>18060.289929667179</v>
      </c>
      <c r="AQ55" s="20">
        <v>4416.5551676604146</v>
      </c>
      <c r="AR55" s="20">
        <v>7464.1529445722927</v>
      </c>
      <c r="AS55" s="20">
        <v>102142.14570443869</v>
      </c>
      <c r="AT55" s="20">
        <v>22951.439535445345</v>
      </c>
      <c r="AU55" s="20">
        <v>3325.2297018219142</v>
      </c>
      <c r="AV55" s="20">
        <v>1712.2980244272967</v>
      </c>
      <c r="AW55" s="20">
        <v>675.80835495195356</v>
      </c>
      <c r="AX55" s="20">
        <v>10.650525956266261</v>
      </c>
      <c r="AY55" s="20">
        <v>6579.2145625464964</v>
      </c>
      <c r="AZ55" s="20">
        <v>3966.1208253641717</v>
      </c>
      <c r="BA55" s="20">
        <v>96607.135168883193</v>
      </c>
      <c r="BB55" s="20">
        <v>74319.463256363277</v>
      </c>
      <c r="BC55" s="20">
        <v>50740.824038305705</v>
      </c>
      <c r="BD55" s="20">
        <v>165362.34016241512</v>
      </c>
      <c r="BE55" s="29">
        <f t="shared" si="1"/>
        <v>2341977.7606316982</v>
      </c>
      <c r="BF55" s="39">
        <v>2630512.1401317003</v>
      </c>
      <c r="BG55" s="26">
        <v>926205.43622415047</v>
      </c>
      <c r="BH55" s="26">
        <v>0</v>
      </c>
      <c r="BI55" s="26">
        <v>0</v>
      </c>
      <c r="BJ55" s="34">
        <v>82975.981785905999</v>
      </c>
      <c r="BK55" s="22">
        <f t="shared" si="2"/>
        <v>3639693.5581417568</v>
      </c>
      <c r="BL55" s="23">
        <f t="shared" si="3"/>
        <v>5981671.318773455</v>
      </c>
      <c r="BM55" s="24">
        <v>0</v>
      </c>
      <c r="BN55" s="24">
        <v>0</v>
      </c>
      <c r="BO55" s="24">
        <v>5981671.3187315688</v>
      </c>
      <c r="BP55" s="25">
        <f t="shared" si="4"/>
        <v>5981671.3187315688</v>
      </c>
    </row>
    <row r="56" spans="1:75" ht="21" customHeight="1" x14ac:dyDescent="0.3">
      <c r="A56" s="18">
        <v>190</v>
      </c>
      <c r="B56" s="5" t="s">
        <v>56</v>
      </c>
      <c r="C56" s="28">
        <f>SUM(C2:C55)</f>
        <v>2792943.7254473483</v>
      </c>
      <c r="D56" s="28">
        <f t="shared" ref="D56:BD56" si="6">SUM(D2:D55)</f>
        <v>1167875.1757079381</v>
      </c>
      <c r="E56" s="28">
        <f t="shared" si="6"/>
        <v>2984755.7541615996</v>
      </c>
      <c r="F56" s="28">
        <f t="shared" si="6"/>
        <v>4935121.6608893815</v>
      </c>
      <c r="G56" s="28">
        <f t="shared" si="6"/>
        <v>1348183.2746534799</v>
      </c>
      <c r="H56" s="28">
        <f t="shared" si="6"/>
        <v>3243898.9246222731</v>
      </c>
      <c r="I56" s="28">
        <f t="shared" si="6"/>
        <v>544718.09626086522</v>
      </c>
      <c r="J56" s="28">
        <f t="shared" si="6"/>
        <v>852558.37605575938</v>
      </c>
      <c r="K56" s="28">
        <f t="shared" si="6"/>
        <v>1571779.4308392538</v>
      </c>
      <c r="L56" s="28">
        <f t="shared" si="6"/>
        <v>7074332.6152465232</v>
      </c>
      <c r="M56" s="28">
        <f t="shared" si="6"/>
        <v>23557580.415352795</v>
      </c>
      <c r="N56" s="28">
        <f t="shared" si="6"/>
        <v>0</v>
      </c>
      <c r="O56" s="28">
        <f t="shared" si="6"/>
        <v>8639295.5057048574</v>
      </c>
      <c r="P56" s="28">
        <f t="shared" si="6"/>
        <v>6345096.0735083278</v>
      </c>
      <c r="Q56" s="28">
        <f t="shared" si="6"/>
        <v>74614248.913589492</v>
      </c>
      <c r="R56" s="28">
        <f t="shared" si="6"/>
        <v>57.83854909030353</v>
      </c>
      <c r="S56" s="28">
        <f t="shared" si="6"/>
        <v>281613.60942722741</v>
      </c>
      <c r="T56" s="28">
        <f t="shared" si="6"/>
        <v>1231.3598454811402</v>
      </c>
      <c r="U56" s="28">
        <f t="shared" si="6"/>
        <v>970818.27180303854</v>
      </c>
      <c r="V56" s="28">
        <f t="shared" si="6"/>
        <v>8635710.2976820003</v>
      </c>
      <c r="W56" s="28">
        <f t="shared" si="6"/>
        <v>8114830.9822801072</v>
      </c>
      <c r="X56" s="28">
        <f t="shared" si="6"/>
        <v>20848190.415769644</v>
      </c>
      <c r="Y56" s="28">
        <f t="shared" si="6"/>
        <v>1705358.719188822</v>
      </c>
      <c r="Z56" s="28">
        <f t="shared" si="6"/>
        <v>70830.961123235771</v>
      </c>
      <c r="AA56" s="28">
        <f t="shared" si="6"/>
        <v>464180.9380222201</v>
      </c>
      <c r="AB56" s="28">
        <f t="shared" si="6"/>
        <v>6653.1618191373764</v>
      </c>
      <c r="AC56" s="28">
        <f t="shared" si="6"/>
        <v>399393.97998675285</v>
      </c>
      <c r="AD56" s="28">
        <f t="shared" si="6"/>
        <v>127410.38252809501</v>
      </c>
      <c r="AE56" s="28">
        <f t="shared" si="6"/>
        <v>260130.36008587541</v>
      </c>
      <c r="AF56" s="28">
        <f t="shared" si="6"/>
        <v>4046773.7120525842</v>
      </c>
      <c r="AG56" s="28">
        <f t="shared" si="6"/>
        <v>30364.00665095821</v>
      </c>
      <c r="AH56" s="28">
        <f t="shared" si="6"/>
        <v>357559.03554147668</v>
      </c>
      <c r="AI56" s="28">
        <f t="shared" si="6"/>
        <v>46496403.294714592</v>
      </c>
      <c r="AJ56" s="28">
        <f t="shared" si="6"/>
        <v>2513562.3045664583</v>
      </c>
      <c r="AK56" s="28">
        <f t="shared" si="6"/>
        <v>19638585.131485723</v>
      </c>
      <c r="AL56" s="28">
        <f t="shared" si="6"/>
        <v>836880.92484430282</v>
      </c>
      <c r="AM56" s="28">
        <f t="shared" si="6"/>
        <v>4152992.6532078939</v>
      </c>
      <c r="AN56" s="28">
        <f t="shared" si="6"/>
        <v>759794.66961968283</v>
      </c>
      <c r="AO56" s="28">
        <f t="shared" si="6"/>
        <v>486748.79453374865</v>
      </c>
      <c r="AP56" s="28">
        <f t="shared" si="6"/>
        <v>2916601.4883949212</v>
      </c>
      <c r="AQ56" s="28">
        <f t="shared" si="6"/>
        <v>572601.25256657542</v>
      </c>
      <c r="AR56" s="28">
        <f t="shared" si="6"/>
        <v>484146.43200826662</v>
      </c>
      <c r="AS56" s="28">
        <f t="shared" si="6"/>
        <v>9115148.7892680746</v>
      </c>
      <c r="AT56" s="28">
        <f t="shared" si="6"/>
        <v>6224271.089035321</v>
      </c>
      <c r="AU56" s="28">
        <f t="shared" si="6"/>
        <v>783379.94804002054</v>
      </c>
      <c r="AV56" s="28">
        <f t="shared" si="6"/>
        <v>1058942.3861273106</v>
      </c>
      <c r="AW56" s="28">
        <f t="shared" si="6"/>
        <v>435164.55243601504</v>
      </c>
      <c r="AX56" s="28">
        <f t="shared" si="6"/>
        <v>3193.6202305965899</v>
      </c>
      <c r="AY56" s="28">
        <f t="shared" si="6"/>
        <v>2727204.4225343438</v>
      </c>
      <c r="AZ56" s="28">
        <f t="shared" si="6"/>
        <v>306930.4238518292</v>
      </c>
      <c r="BA56" s="28">
        <f t="shared" si="6"/>
        <v>6084391.3871465828</v>
      </c>
      <c r="BB56" s="28">
        <f t="shared" si="6"/>
        <v>3548146.795002914</v>
      </c>
      <c r="BC56" s="28">
        <f t="shared" si="6"/>
        <v>2526682.8246541051</v>
      </c>
      <c r="BD56" s="28">
        <f t="shared" si="6"/>
        <v>1546516.1631825624</v>
      </c>
      <c r="BE56" s="29">
        <f t="shared" ref="BE56" si="7">SUM(BE2:BE55)</f>
        <v>299211785.3218475</v>
      </c>
      <c r="BF56" s="28">
        <f t="shared" ref="BF56" si="8">SUM(BF2:BF55)</f>
        <v>203398976.20437616</v>
      </c>
      <c r="BG56" s="28">
        <f t="shared" ref="BG56" si="9">SUM(BG2:BG55)</f>
        <v>31311778.559832465</v>
      </c>
      <c r="BH56" s="28">
        <f t="shared" ref="BH56" si="10">SUM(BH2:BH55)</f>
        <v>144675878.18989134</v>
      </c>
      <c r="BI56" s="28">
        <f t="shared" ref="BI56" si="11">SUM(BI2:BI55)</f>
        <v>-1972329.8889801444</v>
      </c>
      <c r="BJ56" s="28">
        <f t="shared" ref="BJ56" si="12">SUM(BJ2:BJ55)</f>
        <v>200629373.40788329</v>
      </c>
      <c r="BK56" s="28">
        <f t="shared" ref="BK56" si="13">SUM(BK2:BK55)</f>
        <v>578043676.47300339</v>
      </c>
      <c r="BL56" s="28">
        <f t="shared" ref="BL56" si="14">SUM(BL2:BL55)</f>
        <v>877255461.79485059</v>
      </c>
      <c r="BM56" s="28">
        <f t="shared" ref="BM56" si="15">SUM(BM2:BM55)</f>
        <v>0</v>
      </c>
      <c r="BN56" s="28">
        <f t="shared" ref="BN56" si="16">SUM(BN2:BN55)</f>
        <v>0</v>
      </c>
      <c r="BO56" s="28">
        <f t="shared" ref="BO56" si="17">SUM(BO2:BO55)</f>
        <v>877255461.78957713</v>
      </c>
      <c r="BP56" s="28">
        <f t="shared" ref="BP56" si="18">SUM(BP2:BP55)</f>
        <v>877255461.78957713</v>
      </c>
    </row>
    <row r="57" spans="1:75" s="19" customFormat="1" ht="15.6" customHeight="1" x14ac:dyDescent="0.3">
      <c r="A57" s="14">
        <v>200</v>
      </c>
      <c r="B57" s="3" t="s">
        <v>57</v>
      </c>
      <c r="C57" s="26">
        <v>646991.23415039782</v>
      </c>
      <c r="D57" s="26">
        <v>340901.77709556662</v>
      </c>
      <c r="E57" s="45">
        <v>8192.498959999999</v>
      </c>
      <c r="F57" s="45">
        <v>818490.77723399992</v>
      </c>
      <c r="G57" s="45">
        <v>24132.829568000001</v>
      </c>
      <c r="H57" s="26">
        <v>1039037.1567571233</v>
      </c>
      <c r="I57" s="26">
        <v>80290.953127165703</v>
      </c>
      <c r="J57" s="26">
        <v>232638.71399996133</v>
      </c>
      <c r="K57" s="26">
        <v>461561.5351119542</v>
      </c>
      <c r="L57" s="26">
        <v>4657217.6226015203</v>
      </c>
      <c r="M57" s="26">
        <v>8649238.5035418458</v>
      </c>
      <c r="N57" s="26">
        <v>0</v>
      </c>
      <c r="O57" s="26">
        <v>3402863.4382921499</v>
      </c>
      <c r="P57" s="26">
        <v>3943278.7127000815</v>
      </c>
      <c r="Q57" s="26">
        <v>15591602.737091497</v>
      </c>
      <c r="R57" s="26">
        <v>722.36963818085997</v>
      </c>
      <c r="S57" s="26">
        <v>216369.09694072162</v>
      </c>
      <c r="T57" s="26">
        <v>576.55212715540938</v>
      </c>
      <c r="U57" s="26">
        <v>434611.49763924081</v>
      </c>
      <c r="V57" s="26">
        <v>3230904.1287402101</v>
      </c>
      <c r="W57" s="26">
        <v>3878277.7528161583</v>
      </c>
      <c r="X57" s="26">
        <v>6723057.8994784821</v>
      </c>
      <c r="Y57" s="26">
        <v>220680.96509464973</v>
      </c>
      <c r="Z57" s="26">
        <v>98338.624813853487</v>
      </c>
      <c r="AA57" s="26">
        <v>632849.4593167915</v>
      </c>
      <c r="AB57" s="26">
        <v>24320.52259421155</v>
      </c>
      <c r="AC57" s="26">
        <v>652194.56120204506</v>
      </c>
      <c r="AD57" s="26">
        <v>105951.99434249838</v>
      </c>
      <c r="AE57" s="26">
        <v>237637.38295746525</v>
      </c>
      <c r="AF57" s="26">
        <v>176902.52397895764</v>
      </c>
      <c r="AG57" s="26">
        <v>1317.0599286510771</v>
      </c>
      <c r="AH57" s="26">
        <v>85719.178014266407</v>
      </c>
      <c r="AI57" s="26">
        <v>40470991.747339278</v>
      </c>
      <c r="AJ57" s="26">
        <v>1524098.9255988479</v>
      </c>
      <c r="AK57" s="26">
        <v>7694033.8520575594</v>
      </c>
      <c r="AL57" s="26">
        <v>131912.25791270332</v>
      </c>
      <c r="AM57" s="26">
        <v>1304393.9867956205</v>
      </c>
      <c r="AN57" s="26">
        <v>198465.94240603992</v>
      </c>
      <c r="AO57" s="26">
        <v>163585.83668212284</v>
      </c>
      <c r="AP57" s="26">
        <v>1182888.379823748</v>
      </c>
      <c r="AQ57" s="26">
        <v>212020.99544607321</v>
      </c>
      <c r="AR57" s="26">
        <v>114241.65314509568</v>
      </c>
      <c r="AS57" s="26">
        <v>1908622.7170082594</v>
      </c>
      <c r="AT57" s="26">
        <v>2978947.2916261824</v>
      </c>
      <c r="AU57" s="26">
        <v>538252.23512749083</v>
      </c>
      <c r="AV57" s="26">
        <v>470245.37461371958</v>
      </c>
      <c r="AW57" s="26">
        <v>214207.21086317734</v>
      </c>
      <c r="AX57" s="26">
        <v>1690.4806585362237</v>
      </c>
      <c r="AY57" s="26">
        <v>628004.05280199437</v>
      </c>
      <c r="AZ57" s="26">
        <v>168506.67741659516</v>
      </c>
      <c r="BA57" s="26">
        <v>2098524.7929684725</v>
      </c>
      <c r="BB57" s="26">
        <v>1535070.133921406</v>
      </c>
      <c r="BC57" s="26">
        <v>694302.26158303698</v>
      </c>
      <c r="BD57" s="27">
        <v>545862.70167564275</v>
      </c>
      <c r="BE57" s="29">
        <f>SUM(C57:BD57)</f>
        <v>121395739.56732635</v>
      </c>
      <c r="BF57" s="39">
        <v>99904953.799299091</v>
      </c>
      <c r="BG57" s="34">
        <v>1153221.4401674904</v>
      </c>
      <c r="BH57" s="26">
        <v>18375241.807354301</v>
      </c>
      <c r="BI57" s="26">
        <v>0</v>
      </c>
      <c r="BJ57" s="26">
        <v>0</v>
      </c>
      <c r="BK57" s="22">
        <f t="shared" ref="BK57" si="19">SUM(BF57:BJ57)</f>
        <v>119433417.04682088</v>
      </c>
      <c r="BL57" s="23">
        <f t="shared" ref="BL57" si="20">+BK57+BE57</f>
        <v>240829156.61414725</v>
      </c>
      <c r="BM57" s="24">
        <f>+BL57</f>
        <v>240829156.61414725</v>
      </c>
      <c r="BN57" s="24">
        <v>0</v>
      </c>
      <c r="BO57" s="24">
        <v>0</v>
      </c>
      <c r="BP57" s="25">
        <f t="shared" si="4"/>
        <v>240829156.61414725</v>
      </c>
    </row>
    <row r="58" spans="1:75" s="19" customFormat="1" ht="15.6" customHeight="1" x14ac:dyDescent="0.3">
      <c r="A58" s="14">
        <f t="shared" ref="A58:A61" si="21">+A57+1</f>
        <v>201</v>
      </c>
      <c r="B58" s="6" t="s">
        <v>58</v>
      </c>
      <c r="C58" s="35">
        <v>4769652.588279034</v>
      </c>
      <c r="D58" s="35">
        <v>1682801.5425464846</v>
      </c>
      <c r="E58" s="45">
        <v>3016200.6351999999</v>
      </c>
      <c r="F58" s="45">
        <v>5435522.6858200002</v>
      </c>
      <c r="G58" s="45">
        <v>1033945.97428</v>
      </c>
      <c r="H58" s="35">
        <v>3347335.9046947416</v>
      </c>
      <c r="I58" s="35">
        <v>721727.62510747206</v>
      </c>
      <c r="J58" s="35">
        <v>3113618.651931026</v>
      </c>
      <c r="K58" s="35">
        <v>5781287.7896900112</v>
      </c>
      <c r="L58" s="35">
        <v>6251058.9397005541</v>
      </c>
      <c r="M58" s="35">
        <v>4558398.9423021637</v>
      </c>
      <c r="N58" s="35">
        <v>0</v>
      </c>
      <c r="O58" s="35">
        <v>10518257.812281393</v>
      </c>
      <c r="P58" s="35">
        <v>2832543.5260920962</v>
      </c>
      <c r="Q58" s="35">
        <v>12520110.8897852</v>
      </c>
      <c r="R58" s="35">
        <v>146.65831980046923</v>
      </c>
      <c r="S58" s="35">
        <v>78997.198236692813</v>
      </c>
      <c r="T58" s="35">
        <v>739.5976163555564</v>
      </c>
      <c r="U58" s="35">
        <v>362989.25090458267</v>
      </c>
      <c r="V58" s="35">
        <v>2934075.8278275081</v>
      </c>
      <c r="W58" s="35">
        <v>1542444.3958661759</v>
      </c>
      <c r="X58" s="35">
        <v>3458748.4582773219</v>
      </c>
      <c r="Y58" s="35">
        <v>703052.9050462686</v>
      </c>
      <c r="Z58" s="35">
        <v>13662.471232834978</v>
      </c>
      <c r="AA58" s="35">
        <v>276933.3381245315</v>
      </c>
      <c r="AB58" s="35">
        <v>6699.3003366093226</v>
      </c>
      <c r="AC58" s="35">
        <v>42886.733292502053</v>
      </c>
      <c r="AD58" s="35">
        <v>78115.863315927985</v>
      </c>
      <c r="AE58" s="35">
        <v>143862.06102081726</v>
      </c>
      <c r="AF58" s="35">
        <v>264058.24745237996</v>
      </c>
      <c r="AG58" s="35">
        <v>11113.21241274272</v>
      </c>
      <c r="AH58" s="35">
        <v>176420.55437334854</v>
      </c>
      <c r="AI58" s="35">
        <v>25329764.395877331</v>
      </c>
      <c r="AJ58" s="35">
        <v>4199960.0142350113</v>
      </c>
      <c r="AK58" s="35">
        <v>23095746.60093005</v>
      </c>
      <c r="AL58" s="35">
        <v>703358.1181110749</v>
      </c>
      <c r="AM58" s="35">
        <v>1310579.7726519415</v>
      </c>
      <c r="AN58" s="35">
        <v>114134.08267903779</v>
      </c>
      <c r="AO58" s="35">
        <v>181966.34894849863</v>
      </c>
      <c r="AP58" s="35">
        <v>994453.34160599962</v>
      </c>
      <c r="AQ58" s="35">
        <v>398549.00106135802</v>
      </c>
      <c r="AR58" s="35">
        <v>306171.71915848373</v>
      </c>
      <c r="AS58" s="35">
        <v>3665496.7718980964</v>
      </c>
      <c r="AT58" s="35">
        <v>4173858.9714669324</v>
      </c>
      <c r="AU58" s="35">
        <v>3083283.4605095517</v>
      </c>
      <c r="AV58" s="35">
        <v>1247669.7395290905</v>
      </c>
      <c r="AW58" s="35">
        <v>602842.13499856635</v>
      </c>
      <c r="AX58" s="35">
        <v>3361.7476783919897</v>
      </c>
      <c r="AY58" s="35">
        <v>1184913.6843960253</v>
      </c>
      <c r="AZ58" s="35">
        <v>298265.87512767833</v>
      </c>
      <c r="BA58" s="35">
        <v>8897401.2602157556</v>
      </c>
      <c r="BB58" s="35">
        <v>8053261.0979987457</v>
      </c>
      <c r="BC58" s="35">
        <v>1700178.2719695754</v>
      </c>
      <c r="BD58" s="35">
        <v>1938558.9078789365</v>
      </c>
      <c r="BE58" s="29">
        <f t="shared" ref="BE58:BE61" si="22">SUM(C58:BD58)</f>
        <v>167161184.90029272</v>
      </c>
      <c r="BF58" s="30"/>
      <c r="BG58" s="30"/>
      <c r="BH58" s="30"/>
      <c r="BI58" s="30"/>
      <c r="BJ58" s="30"/>
      <c r="BK58" s="30"/>
      <c r="BL58" s="30"/>
      <c r="BM58" s="31"/>
      <c r="BN58" s="31"/>
      <c r="BO58" s="31"/>
      <c r="BP58" s="31"/>
      <c r="BQ58" s="9"/>
      <c r="BR58" s="9"/>
      <c r="BS58" s="9"/>
      <c r="BT58" s="9"/>
      <c r="BU58" s="9"/>
      <c r="BV58" s="9"/>
      <c r="BW58" s="9"/>
    </row>
    <row r="59" spans="1:75" s="19" customFormat="1" ht="15.6" customHeight="1" x14ac:dyDescent="0.3">
      <c r="A59" s="14">
        <f t="shared" si="21"/>
        <v>202</v>
      </c>
      <c r="B59" s="6" t="s">
        <v>59</v>
      </c>
      <c r="C59" s="35">
        <v>6788551.1134625524</v>
      </c>
      <c r="D59" s="35">
        <v>3106329.2410638244</v>
      </c>
      <c r="E59" s="46">
        <v>3461099.3884160002</v>
      </c>
      <c r="F59" s="45">
        <v>6749427.3957800008</v>
      </c>
      <c r="G59" s="45">
        <v>1365124.5782884001</v>
      </c>
      <c r="H59" s="35">
        <v>3280499.7470506723</v>
      </c>
      <c r="I59" s="35">
        <v>704244.5621931263</v>
      </c>
      <c r="J59" s="35">
        <v>4767467.0097850459</v>
      </c>
      <c r="K59" s="35">
        <v>9240360.685003072</v>
      </c>
      <c r="L59" s="35">
        <v>25778610.522329126</v>
      </c>
      <c r="M59" s="35">
        <v>20155867.144826144</v>
      </c>
      <c r="N59" s="35">
        <v>0</v>
      </c>
      <c r="O59" s="35">
        <v>15520382.512530712</v>
      </c>
      <c r="P59" s="35">
        <v>14920184.082860718</v>
      </c>
      <c r="Q59" s="35">
        <v>29978997.470529649</v>
      </c>
      <c r="R59" s="35">
        <v>398.37074783567999</v>
      </c>
      <c r="S59" s="35">
        <v>83411.461919028035</v>
      </c>
      <c r="T59" s="35">
        <v>365.13226575327997</v>
      </c>
      <c r="U59" s="35">
        <v>521876.06040149875</v>
      </c>
      <c r="V59" s="35">
        <v>2946450.9488040474</v>
      </c>
      <c r="W59" s="35">
        <v>4463000.2020704513</v>
      </c>
      <c r="X59" s="35">
        <v>6434482.36682392</v>
      </c>
      <c r="Y59" s="35">
        <v>686512.65608820808</v>
      </c>
      <c r="Z59" s="35">
        <v>34432.844642571727</v>
      </c>
      <c r="AA59" s="35">
        <v>268720.86721693474</v>
      </c>
      <c r="AB59" s="35">
        <v>6976.8387281125497</v>
      </c>
      <c r="AC59" s="35">
        <v>38207.016359231449</v>
      </c>
      <c r="AD59" s="35">
        <v>75657.709165940221</v>
      </c>
      <c r="AE59" s="35">
        <v>137362.53198421351</v>
      </c>
      <c r="AF59" s="35">
        <v>898338.90811956953</v>
      </c>
      <c r="AG59" s="35">
        <v>63668.600167929922</v>
      </c>
      <c r="AH59" s="35">
        <v>407799.25871611078</v>
      </c>
      <c r="AI59" s="35">
        <v>28291915.334469512</v>
      </c>
      <c r="AJ59" s="35">
        <v>4795840.1177274883</v>
      </c>
      <c r="AK59" s="35">
        <v>29810744.295408867</v>
      </c>
      <c r="AL59" s="35">
        <v>229061.07214257627</v>
      </c>
      <c r="AM59" s="35">
        <v>4148292.6901188097</v>
      </c>
      <c r="AN59" s="35">
        <v>296254.02906549466</v>
      </c>
      <c r="AO59" s="35">
        <v>305180.0098015996</v>
      </c>
      <c r="AP59" s="35">
        <v>1394466.0346838671</v>
      </c>
      <c r="AQ59" s="35">
        <v>663214.20411010028</v>
      </c>
      <c r="AR59" s="35">
        <v>585114.32667514868</v>
      </c>
      <c r="AS59" s="35">
        <v>3345083.7193795601</v>
      </c>
      <c r="AT59" s="35">
        <v>10314282.329941632</v>
      </c>
      <c r="AU59" s="35">
        <v>3471376.44888495</v>
      </c>
      <c r="AV59" s="35">
        <v>1847946.6888778179</v>
      </c>
      <c r="AW59" s="35">
        <v>584236.76650597714</v>
      </c>
      <c r="AX59" s="35">
        <v>4658.5137439838809</v>
      </c>
      <c r="AY59" s="35">
        <v>13284318.073827529</v>
      </c>
      <c r="AZ59" s="35">
        <v>310053.13085062499</v>
      </c>
      <c r="BA59" s="35">
        <v>4301310.9958848255</v>
      </c>
      <c r="BB59" s="35">
        <v>2869694.3209044198</v>
      </c>
      <c r="BC59" s="35">
        <v>1524569.2932649869</v>
      </c>
      <c r="BD59" s="35">
        <v>1833073.2595695192</v>
      </c>
      <c r="BE59" s="29">
        <f t="shared" si="22"/>
        <v>277095492.88417971</v>
      </c>
      <c r="BF59" s="30"/>
      <c r="BG59" s="30"/>
      <c r="BH59" s="30"/>
      <c r="BI59" s="30"/>
      <c r="BJ59" s="30"/>
      <c r="BK59" s="35"/>
      <c r="BL59" s="30"/>
      <c r="BM59" s="30"/>
      <c r="BN59" s="30"/>
      <c r="BO59" s="30"/>
      <c r="BP59" s="30"/>
      <c r="BQ59" s="8"/>
      <c r="BR59" s="8"/>
      <c r="BS59" s="8"/>
      <c r="BT59" s="8"/>
      <c r="BU59" s="8"/>
      <c r="BV59" s="8"/>
      <c r="BW59" s="9"/>
    </row>
    <row r="60" spans="1:75" s="19" customFormat="1" ht="15.6" customHeight="1" x14ac:dyDescent="0.3">
      <c r="A60" s="14">
        <f t="shared" si="21"/>
        <v>203</v>
      </c>
      <c r="B60" s="6" t="s">
        <v>60</v>
      </c>
      <c r="C60" s="35">
        <v>234839.08428285806</v>
      </c>
      <c r="D60" s="35">
        <v>45427.260109201365</v>
      </c>
      <c r="E60" s="45">
        <v>102700.166352</v>
      </c>
      <c r="F60" s="45">
        <v>554717.78825999994</v>
      </c>
      <c r="G60" s="45">
        <v>16516.967420000001</v>
      </c>
      <c r="H60" s="35">
        <v>30091.987120361588</v>
      </c>
      <c r="I60" s="35">
        <v>8384.7948887920102</v>
      </c>
      <c r="J60" s="35">
        <v>66974.756468232401</v>
      </c>
      <c r="K60" s="35">
        <v>76433.041006830608</v>
      </c>
      <c r="L60" s="35">
        <v>262135.1879191355</v>
      </c>
      <c r="M60" s="35">
        <v>256712.19058377511</v>
      </c>
      <c r="N60" s="35">
        <v>0</v>
      </c>
      <c r="O60" s="35">
        <v>494675.36715632997</v>
      </c>
      <c r="P60" s="35">
        <v>-258807.75481702661</v>
      </c>
      <c r="Q60" s="35">
        <v>2886956.1247894703</v>
      </c>
      <c r="R60" s="35">
        <v>769.15457501021467</v>
      </c>
      <c r="S60" s="35">
        <v>17672.692623968804</v>
      </c>
      <c r="T60" s="35">
        <v>106.64559688007709</v>
      </c>
      <c r="U60" s="35">
        <v>22923.130891830562</v>
      </c>
      <c r="V60" s="35">
        <v>478675.48052219441</v>
      </c>
      <c r="W60" s="35">
        <v>349572.22769085137</v>
      </c>
      <c r="X60" s="35">
        <v>1144110.1141470843</v>
      </c>
      <c r="Y60" s="35">
        <v>58667.296847957376</v>
      </c>
      <c r="Z60" s="35">
        <v>8133.3531238751366</v>
      </c>
      <c r="AA60" s="35">
        <v>106278.69987767425</v>
      </c>
      <c r="AB60" s="35">
        <v>4821.5695096024456</v>
      </c>
      <c r="AC60" s="35">
        <v>11850.886611688182</v>
      </c>
      <c r="AD60" s="35">
        <v>18855.498340651095</v>
      </c>
      <c r="AE60" s="35">
        <v>33605.319057307977</v>
      </c>
      <c r="AF60" s="35">
        <v>-564303.48482166638</v>
      </c>
      <c r="AG60" s="35">
        <v>160.35228115087409</v>
      </c>
      <c r="AH60" s="35">
        <v>21779.426787688659</v>
      </c>
      <c r="AI60" s="35">
        <v>3470667.2842351692</v>
      </c>
      <c r="AJ60" s="35">
        <v>142694.67421921782</v>
      </c>
      <c r="AK60" s="35">
        <v>279478.70368366136</v>
      </c>
      <c r="AL60" s="35">
        <v>-237419.55933780942</v>
      </c>
      <c r="AM60" s="35">
        <v>65837.396669608657</v>
      </c>
      <c r="AN60" s="35">
        <v>-13968.30724819283</v>
      </c>
      <c r="AO60" s="35">
        <v>7335.2869995729425</v>
      </c>
      <c r="AP60" s="35">
        <v>96029.228242323312</v>
      </c>
      <c r="AQ60" s="35">
        <v>6677.0400449927974</v>
      </c>
      <c r="AR60" s="35">
        <v>70256.816569302842</v>
      </c>
      <c r="AS60" s="35">
        <v>622589.07292207517</v>
      </c>
      <c r="AT60" s="35">
        <v>448368.38857552659</v>
      </c>
      <c r="AU60" s="35">
        <v>16171.622806205532</v>
      </c>
      <c r="AV60" s="35">
        <v>10005.665523784337</v>
      </c>
      <c r="AW60" s="35">
        <v>6689.2613736271278</v>
      </c>
      <c r="AX60" s="35">
        <v>42.884103423641456</v>
      </c>
      <c r="AY60" s="35">
        <v>733399.23276131263</v>
      </c>
      <c r="AZ60" s="35">
        <v>8202.108175316218</v>
      </c>
      <c r="BA60" s="35">
        <v>0</v>
      </c>
      <c r="BB60" s="35">
        <v>18985.887475661417</v>
      </c>
      <c r="BC60" s="35">
        <v>30120.816507530013</v>
      </c>
      <c r="BD60" s="35">
        <v>117660.28642490754</v>
      </c>
      <c r="BE60" s="29">
        <f t="shared" si="22"/>
        <v>12391259.115930926</v>
      </c>
      <c r="BF60" s="20"/>
      <c r="BG60" s="20"/>
      <c r="BH60" s="20"/>
      <c r="BI60" s="20"/>
      <c r="BJ60" s="20"/>
      <c r="BK60" s="30"/>
      <c r="BL60" s="30"/>
      <c r="BM60" s="30"/>
      <c r="BN60" s="30"/>
      <c r="BO60" s="30"/>
      <c r="BP60" s="30"/>
      <c r="BQ60" s="8"/>
      <c r="BR60" s="8"/>
      <c r="BS60" s="8"/>
      <c r="BT60" s="8"/>
      <c r="BU60" s="8"/>
      <c r="BV60" s="8"/>
      <c r="BW60" s="9"/>
    </row>
    <row r="61" spans="1:75" s="19" customFormat="1" ht="15.6" customHeight="1" x14ac:dyDescent="0.3">
      <c r="A61" s="14">
        <f t="shared" si="21"/>
        <v>204</v>
      </c>
      <c r="B61" s="7" t="s">
        <v>61</v>
      </c>
      <c r="C61" s="35">
        <v>0</v>
      </c>
      <c r="D61" s="35">
        <v>0</v>
      </c>
      <c r="E61" s="45">
        <v>0</v>
      </c>
      <c r="F61" s="45">
        <v>0</v>
      </c>
      <c r="G61" s="4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  <c r="AJ61" s="35">
        <v>0</v>
      </c>
      <c r="AK61" s="35">
        <v>0</v>
      </c>
      <c r="AL61" s="35">
        <v>0</v>
      </c>
      <c r="AM61" s="35">
        <v>0</v>
      </c>
      <c r="AN61" s="35">
        <v>0</v>
      </c>
      <c r="AO61" s="35">
        <v>0</v>
      </c>
      <c r="AP61" s="35">
        <v>0</v>
      </c>
      <c r="AQ61" s="35">
        <v>0</v>
      </c>
      <c r="AR61" s="35">
        <v>0</v>
      </c>
      <c r="AS61" s="35">
        <v>0</v>
      </c>
      <c r="AT61" s="35">
        <v>0</v>
      </c>
      <c r="AU61" s="35">
        <v>0</v>
      </c>
      <c r="AV61" s="35">
        <v>0</v>
      </c>
      <c r="AW61" s="35">
        <v>0</v>
      </c>
      <c r="AX61" s="35">
        <v>0</v>
      </c>
      <c r="AY61" s="35">
        <v>0</v>
      </c>
      <c r="AZ61" s="35">
        <v>0</v>
      </c>
      <c r="BA61" s="35">
        <v>0</v>
      </c>
      <c r="BB61" s="35">
        <v>0</v>
      </c>
      <c r="BC61" s="35">
        <v>0</v>
      </c>
      <c r="BD61" s="35">
        <v>0</v>
      </c>
      <c r="BE61" s="29">
        <f t="shared" si="22"/>
        <v>0</v>
      </c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8"/>
      <c r="BR61" s="8"/>
      <c r="BS61" s="8"/>
      <c r="BT61" s="8"/>
      <c r="BU61" s="8"/>
      <c r="BV61" s="8"/>
      <c r="BW61" s="9"/>
    </row>
    <row r="62" spans="1:75" ht="27" customHeight="1" x14ac:dyDescent="0.3">
      <c r="A62" s="18">
        <v>209</v>
      </c>
      <c r="B62" s="4" t="s">
        <v>62</v>
      </c>
      <c r="C62" s="36">
        <f>SUM(C58:C61)</f>
        <v>11793042.786024446</v>
      </c>
      <c r="D62" s="32">
        <f t="shared" ref="D62:BE62" si="23">SUM(D58:D61)</f>
        <v>4834558.0437195096</v>
      </c>
      <c r="E62" s="32">
        <f>SUM(E58:E61)</f>
        <v>6580000.1899680002</v>
      </c>
      <c r="F62" s="32">
        <f>SUM(F58:F61)</f>
        <v>12739667.869860001</v>
      </c>
      <c r="G62" s="32">
        <f t="shared" si="23"/>
        <v>2415587.5199884004</v>
      </c>
      <c r="H62" s="32">
        <f t="shared" si="23"/>
        <v>6657927.6388657764</v>
      </c>
      <c r="I62" s="32">
        <f t="shared" si="23"/>
        <v>1434356.9821893903</v>
      </c>
      <c r="J62" s="32">
        <f t="shared" si="23"/>
        <v>7948060.4181843046</v>
      </c>
      <c r="K62" s="32">
        <f t="shared" si="23"/>
        <v>15098081.515699914</v>
      </c>
      <c r="L62" s="32">
        <f t="shared" si="23"/>
        <v>32291804.649948817</v>
      </c>
      <c r="M62" s="32">
        <f t="shared" si="23"/>
        <v>24970978.277712084</v>
      </c>
      <c r="N62" s="32">
        <f t="shared" si="23"/>
        <v>0</v>
      </c>
      <c r="O62" s="32">
        <f t="shared" si="23"/>
        <v>26533315.691968437</v>
      </c>
      <c r="P62" s="32">
        <f t="shared" si="23"/>
        <v>17493919.854135785</v>
      </c>
      <c r="Q62" s="32">
        <f t="shared" si="23"/>
        <v>45386064.485104315</v>
      </c>
      <c r="R62" s="32">
        <f t="shared" si="23"/>
        <v>1314.1836426463638</v>
      </c>
      <c r="S62" s="32">
        <f t="shared" si="23"/>
        <v>180081.35277968965</v>
      </c>
      <c r="T62" s="32">
        <f t="shared" si="23"/>
        <v>1211.3754789889135</v>
      </c>
      <c r="U62" s="32">
        <f t="shared" si="23"/>
        <v>907788.44219791202</v>
      </c>
      <c r="V62" s="32">
        <f t="shared" si="23"/>
        <v>6359202.2571537495</v>
      </c>
      <c r="W62" s="32">
        <f t="shared" si="23"/>
        <v>6355016.8256274788</v>
      </c>
      <c r="X62" s="32">
        <f t="shared" si="23"/>
        <v>11037340.939248325</v>
      </c>
      <c r="Y62" s="32">
        <f t="shared" si="23"/>
        <v>1448232.8579824341</v>
      </c>
      <c r="Z62" s="32">
        <f t="shared" si="23"/>
        <v>56228.668999281843</v>
      </c>
      <c r="AA62" s="32">
        <f t="shared" si="23"/>
        <v>651932.90521914046</v>
      </c>
      <c r="AB62" s="32">
        <f t="shared" si="23"/>
        <v>18497.708574324319</v>
      </c>
      <c r="AC62" s="32">
        <f t="shared" si="23"/>
        <v>92944.636263421678</v>
      </c>
      <c r="AD62" s="32">
        <f t="shared" si="23"/>
        <v>172629.07082251931</v>
      </c>
      <c r="AE62" s="32">
        <f t="shared" si="23"/>
        <v>314829.91206233873</v>
      </c>
      <c r="AF62" s="32">
        <f t="shared" si="23"/>
        <v>598093.67075028305</v>
      </c>
      <c r="AG62" s="32">
        <f t="shared" si="23"/>
        <v>74942.164861823519</v>
      </c>
      <c r="AH62" s="32">
        <f t="shared" si="23"/>
        <v>605999.23987714795</v>
      </c>
      <c r="AI62" s="32">
        <f t="shared" si="23"/>
        <v>57092347.014582016</v>
      </c>
      <c r="AJ62" s="32">
        <f t="shared" si="23"/>
        <v>9138494.8061817177</v>
      </c>
      <c r="AK62" s="32">
        <f t="shared" si="23"/>
        <v>53185969.600022577</v>
      </c>
      <c r="AL62" s="32">
        <f t="shared" si="23"/>
        <v>694999.63091584179</v>
      </c>
      <c r="AM62" s="32">
        <f t="shared" si="23"/>
        <v>5524709.8594403593</v>
      </c>
      <c r="AN62" s="32">
        <f t="shared" si="23"/>
        <v>396419.80449633964</v>
      </c>
      <c r="AO62" s="32">
        <f t="shared" si="23"/>
        <v>494481.64574967121</v>
      </c>
      <c r="AP62" s="32">
        <f t="shared" si="23"/>
        <v>2484948.6045321901</v>
      </c>
      <c r="AQ62" s="32">
        <f t="shared" si="23"/>
        <v>1068440.2452164511</v>
      </c>
      <c r="AR62" s="32">
        <f t="shared" si="23"/>
        <v>961542.86240293516</v>
      </c>
      <c r="AS62" s="32">
        <f t="shared" si="23"/>
        <v>7633169.5641997317</v>
      </c>
      <c r="AT62" s="32">
        <f t="shared" si="23"/>
        <v>14936509.689984091</v>
      </c>
      <c r="AU62" s="32">
        <f t="shared" si="23"/>
        <v>6570831.5322007071</v>
      </c>
      <c r="AV62" s="32">
        <f t="shared" si="23"/>
        <v>3105622.0939306924</v>
      </c>
      <c r="AW62" s="32">
        <f t="shared" si="23"/>
        <v>1193768.1628781708</v>
      </c>
      <c r="AX62" s="32">
        <f t="shared" si="23"/>
        <v>8063.1455257995112</v>
      </c>
      <c r="AY62" s="32">
        <f t="shared" si="23"/>
        <v>15202630.990984866</v>
      </c>
      <c r="AZ62" s="32">
        <f t="shared" si="23"/>
        <v>616521.11415361951</v>
      </c>
      <c r="BA62" s="32">
        <f t="shared" si="23"/>
        <v>13198712.25610058</v>
      </c>
      <c r="BB62" s="32">
        <f t="shared" si="23"/>
        <v>10941941.306378826</v>
      </c>
      <c r="BC62" s="32">
        <f t="shared" si="23"/>
        <v>3254868.3817420923</v>
      </c>
      <c r="BD62" s="32">
        <f t="shared" si="23"/>
        <v>3889292.4538733629</v>
      </c>
      <c r="BE62" s="47">
        <f t="shared" si="23"/>
        <v>456647936.90040338</v>
      </c>
      <c r="BF62" s="35"/>
      <c r="BG62" s="35"/>
      <c r="BH62" s="35"/>
      <c r="BI62" s="35"/>
      <c r="BJ62" s="30">
        <f>55295.3*1000</f>
        <v>55295300</v>
      </c>
      <c r="BK62" s="30" t="s">
        <v>63</v>
      </c>
      <c r="BL62" s="30"/>
      <c r="BM62" s="30"/>
      <c r="BN62" s="30"/>
      <c r="BO62" s="30"/>
      <c r="BP62" s="30"/>
      <c r="BQ62" s="8"/>
      <c r="BR62" s="8"/>
      <c r="BS62" s="8"/>
      <c r="BT62" s="8"/>
      <c r="BU62" s="8"/>
      <c r="BV62" s="8"/>
    </row>
    <row r="63" spans="1:75" ht="24.9" customHeight="1" x14ac:dyDescent="0.3">
      <c r="A63" s="18">
        <v>210</v>
      </c>
      <c r="B63" s="4" t="s">
        <v>64</v>
      </c>
      <c r="C63" s="32">
        <f>+C62+C56+C57</f>
        <v>15232977.745622192</v>
      </c>
      <c r="D63" s="32">
        <f t="shared" ref="D63:BD63" si="24">+D62+D56+D57</f>
        <v>6343334.9965230143</v>
      </c>
      <c r="E63" s="32">
        <f t="shared" si="24"/>
        <v>9572948.4430895988</v>
      </c>
      <c r="F63" s="32">
        <f t="shared" si="24"/>
        <v>18493280.30798338</v>
      </c>
      <c r="G63" s="32">
        <f t="shared" si="24"/>
        <v>3787903.6242098804</v>
      </c>
      <c r="H63" s="32">
        <f t="shared" si="24"/>
        <v>10940863.720245173</v>
      </c>
      <c r="I63" s="32">
        <f t="shared" si="24"/>
        <v>2059366.0315774214</v>
      </c>
      <c r="J63" s="32">
        <f t="shared" si="24"/>
        <v>9033257.5082400255</v>
      </c>
      <c r="K63" s="32">
        <f t="shared" si="24"/>
        <v>17131422.48165112</v>
      </c>
      <c r="L63" s="32">
        <f t="shared" si="24"/>
        <v>44023354.887796864</v>
      </c>
      <c r="M63" s="32">
        <f t="shared" si="24"/>
        <v>57177797.196606725</v>
      </c>
      <c r="N63" s="32">
        <f t="shared" si="24"/>
        <v>0</v>
      </c>
      <c r="O63" s="32">
        <f t="shared" si="24"/>
        <v>38575474.635965444</v>
      </c>
      <c r="P63" s="32">
        <f t="shared" si="24"/>
        <v>27782294.640344191</v>
      </c>
      <c r="Q63" s="32">
        <f t="shared" si="24"/>
        <v>135591916.13578528</v>
      </c>
      <c r="R63" s="32">
        <f t="shared" si="24"/>
        <v>2094.3918299175275</v>
      </c>
      <c r="S63" s="32">
        <f t="shared" si="24"/>
        <v>678064.05914763873</v>
      </c>
      <c r="T63" s="32">
        <f t="shared" si="24"/>
        <v>3019.2874516254628</v>
      </c>
      <c r="U63" s="32">
        <f t="shared" si="24"/>
        <v>2313218.2116401913</v>
      </c>
      <c r="V63" s="32">
        <f t="shared" si="24"/>
        <v>18225816.683575958</v>
      </c>
      <c r="W63" s="32">
        <f t="shared" si="24"/>
        <v>18348125.560723744</v>
      </c>
      <c r="X63" s="32">
        <f t="shared" si="24"/>
        <v>38608589.254496448</v>
      </c>
      <c r="Y63" s="32">
        <f t="shared" si="24"/>
        <v>3374272.5422659055</v>
      </c>
      <c r="Z63" s="32">
        <f t="shared" si="24"/>
        <v>225398.25493637112</v>
      </c>
      <c r="AA63" s="32">
        <f t="shared" si="24"/>
        <v>1748963.302558152</v>
      </c>
      <c r="AB63" s="32">
        <f t="shared" si="24"/>
        <v>49471.392987673244</v>
      </c>
      <c r="AC63" s="32">
        <f t="shared" si="24"/>
        <v>1144533.1774522197</v>
      </c>
      <c r="AD63" s="32">
        <f t="shared" si="24"/>
        <v>405991.44769311266</v>
      </c>
      <c r="AE63" s="32">
        <f t="shared" si="24"/>
        <v>812597.65510567941</v>
      </c>
      <c r="AF63" s="32">
        <f t="shared" si="24"/>
        <v>4821769.9067818252</v>
      </c>
      <c r="AG63" s="32">
        <f t="shared" si="24"/>
        <v>106623.23144143281</v>
      </c>
      <c r="AH63" s="32">
        <f t="shared" si="24"/>
        <v>1049277.4534328911</v>
      </c>
      <c r="AI63" s="32">
        <f t="shared" si="24"/>
        <v>144059742.05663589</v>
      </c>
      <c r="AJ63" s="32">
        <f t="shared" si="24"/>
        <v>13176156.036347024</v>
      </c>
      <c r="AK63" s="32">
        <f t="shared" si="24"/>
        <v>80518588.583565861</v>
      </c>
      <c r="AL63" s="32">
        <f t="shared" si="24"/>
        <v>1663792.813672848</v>
      </c>
      <c r="AM63" s="32">
        <f t="shared" si="24"/>
        <v>10982096.499443874</v>
      </c>
      <c r="AN63" s="32">
        <f t="shared" si="24"/>
        <v>1354680.4165220624</v>
      </c>
      <c r="AO63" s="32">
        <f t="shared" si="24"/>
        <v>1144816.2769655427</v>
      </c>
      <c r="AP63" s="32">
        <f t="shared" si="24"/>
        <v>6584438.4727508593</v>
      </c>
      <c r="AQ63" s="32">
        <f t="shared" si="24"/>
        <v>1853062.4932290998</v>
      </c>
      <c r="AR63" s="32">
        <f t="shared" si="24"/>
        <v>1559930.9475562973</v>
      </c>
      <c r="AS63" s="32">
        <f t="shared" si="24"/>
        <v>18656941.070476066</v>
      </c>
      <c r="AT63" s="32">
        <f t="shared" si="24"/>
        <v>24139728.070645593</v>
      </c>
      <c r="AU63" s="32">
        <f t="shared" si="24"/>
        <v>7892463.7153682187</v>
      </c>
      <c r="AV63" s="32">
        <f t="shared" si="24"/>
        <v>4634809.8546717232</v>
      </c>
      <c r="AW63" s="32">
        <f t="shared" si="24"/>
        <v>1843139.9261773634</v>
      </c>
      <c r="AX63" s="32">
        <f t="shared" si="24"/>
        <v>12947.246414932324</v>
      </c>
      <c r="AY63" s="32">
        <f t="shared" si="24"/>
        <v>18557839.466321204</v>
      </c>
      <c r="AZ63" s="32">
        <f t="shared" si="24"/>
        <v>1091958.2154220438</v>
      </c>
      <c r="BA63" s="32">
        <f t="shared" si="24"/>
        <v>21381628.436215639</v>
      </c>
      <c r="BB63" s="32">
        <f t="shared" si="24"/>
        <v>16025158.235303147</v>
      </c>
      <c r="BC63" s="32">
        <f t="shared" si="24"/>
        <v>6475853.4679792346</v>
      </c>
      <c r="BD63" s="32">
        <f t="shared" si="24"/>
        <v>5981671.3187315688</v>
      </c>
      <c r="BE63" s="47">
        <f t="shared" ref="BE63" si="25">+BE62+BE56+BE57</f>
        <v>877255461.78957725</v>
      </c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36A2-56B3-4BC4-9EEA-F5921EC9CBA5}">
  <dimension ref="A1:C55"/>
  <sheetViews>
    <sheetView tabSelected="1" workbookViewId="0">
      <selection activeCell="F9" sqref="F9"/>
    </sheetView>
  </sheetViews>
  <sheetFormatPr defaultRowHeight="14.4" x14ac:dyDescent="0.3"/>
  <cols>
    <col min="2" max="2" width="39.6640625" customWidth="1"/>
    <col min="3" max="3" width="27.5546875" customWidth="1"/>
  </cols>
  <sheetData>
    <row r="1" spans="1:3" x14ac:dyDescent="0.3">
      <c r="A1" t="s">
        <v>0</v>
      </c>
      <c r="B1" t="s">
        <v>65</v>
      </c>
      <c r="C1" t="s">
        <v>66</v>
      </c>
    </row>
    <row r="2" spans="1:3" x14ac:dyDescent="0.3">
      <c r="A2" s="14">
        <v>1</v>
      </c>
      <c r="B2" s="15" t="s">
        <v>2</v>
      </c>
      <c r="C2" s="51">
        <v>301420</v>
      </c>
    </row>
    <row r="3" spans="1:3" x14ac:dyDescent="0.3">
      <c r="A3" s="14">
        <f>+A2+1</f>
        <v>2</v>
      </c>
      <c r="B3" s="16" t="s">
        <v>3</v>
      </c>
      <c r="C3" s="51">
        <v>106345</v>
      </c>
    </row>
    <row r="4" spans="1:3" x14ac:dyDescent="0.3">
      <c r="A4" s="14">
        <f>+A3+1</f>
        <v>3</v>
      </c>
      <c r="B4" s="44" t="s">
        <v>4</v>
      </c>
      <c r="C4" s="51">
        <v>208167</v>
      </c>
    </row>
    <row r="5" spans="1:3" x14ac:dyDescent="0.3">
      <c r="A5" s="14">
        <f t="shared" ref="A5:A55" si="0">+A4+1</f>
        <v>4</v>
      </c>
      <c r="B5" s="44" t="s">
        <v>5</v>
      </c>
      <c r="C5" s="51">
        <v>375145</v>
      </c>
    </row>
    <row r="6" spans="1:3" x14ac:dyDescent="0.3">
      <c r="A6" s="14">
        <f t="shared" si="0"/>
        <v>5</v>
      </c>
      <c r="B6" s="44" t="s">
        <v>6</v>
      </c>
      <c r="C6" s="51">
        <v>71359</v>
      </c>
    </row>
    <row r="7" spans="1:3" x14ac:dyDescent="0.3">
      <c r="A7" s="14">
        <f t="shared" si="0"/>
        <v>6</v>
      </c>
      <c r="B7" s="16" t="s">
        <v>7</v>
      </c>
      <c r="C7" s="51">
        <v>211536</v>
      </c>
    </row>
    <row r="8" spans="1:3" x14ac:dyDescent="0.3">
      <c r="A8" s="14">
        <f t="shared" si="0"/>
        <v>7</v>
      </c>
      <c r="B8" s="16" t="s">
        <v>8</v>
      </c>
      <c r="C8" s="51">
        <v>45609</v>
      </c>
    </row>
    <row r="9" spans="1:3" x14ac:dyDescent="0.3">
      <c r="A9" s="14">
        <f t="shared" si="0"/>
        <v>8</v>
      </c>
      <c r="B9" s="16" t="s">
        <v>9</v>
      </c>
      <c r="C9" s="51">
        <v>196766</v>
      </c>
    </row>
    <row r="10" spans="1:3" x14ac:dyDescent="0.3">
      <c r="A10" s="14">
        <f t="shared" si="0"/>
        <v>9</v>
      </c>
      <c r="B10" s="16" t="s">
        <v>10</v>
      </c>
      <c r="C10" s="51">
        <v>365350</v>
      </c>
    </row>
    <row r="11" spans="1:3" x14ac:dyDescent="0.3">
      <c r="A11" s="14">
        <f t="shared" si="0"/>
        <v>10</v>
      </c>
      <c r="B11" s="16" t="s">
        <v>11</v>
      </c>
      <c r="C11" s="51">
        <v>50788</v>
      </c>
    </row>
    <row r="12" spans="1:3" x14ac:dyDescent="0.3">
      <c r="A12" s="14">
        <f t="shared" si="0"/>
        <v>11</v>
      </c>
      <c r="B12" s="16" t="s">
        <v>12</v>
      </c>
      <c r="C12" s="51">
        <v>31620</v>
      </c>
    </row>
    <row r="13" spans="1:3" x14ac:dyDescent="0.3">
      <c r="A13" s="14">
        <f t="shared" si="0"/>
        <v>12</v>
      </c>
      <c r="B13" s="16" t="s">
        <v>13</v>
      </c>
      <c r="C13" s="51">
        <v>0</v>
      </c>
    </row>
    <row r="14" spans="1:3" x14ac:dyDescent="0.3">
      <c r="A14" s="14">
        <f t="shared" si="0"/>
        <v>13</v>
      </c>
      <c r="B14" s="16" t="s">
        <v>14</v>
      </c>
      <c r="C14" s="51">
        <v>119111.73673647484</v>
      </c>
    </row>
    <row r="15" spans="1:3" x14ac:dyDescent="0.3">
      <c r="A15" s="14">
        <f t="shared" si="0"/>
        <v>14</v>
      </c>
      <c r="B15" s="16" t="s">
        <v>15</v>
      </c>
      <c r="C15" s="51">
        <v>32076.526816118116</v>
      </c>
    </row>
    <row r="16" spans="1:3" x14ac:dyDescent="0.3">
      <c r="A16" s="14">
        <f t="shared" si="0"/>
        <v>15</v>
      </c>
      <c r="B16" s="16" t="s">
        <v>16</v>
      </c>
      <c r="C16" s="51">
        <v>181781.28914793234</v>
      </c>
    </row>
    <row r="17" spans="1:3" x14ac:dyDescent="0.3">
      <c r="A17" s="14">
        <f t="shared" si="0"/>
        <v>16</v>
      </c>
      <c r="B17" s="16" t="s">
        <v>17</v>
      </c>
      <c r="C17" s="51">
        <v>1.6608004376818266</v>
      </c>
    </row>
    <row r="18" spans="1:3" x14ac:dyDescent="0.3">
      <c r="A18" s="14">
        <f t="shared" si="0"/>
        <v>17</v>
      </c>
      <c r="B18" s="16" t="s">
        <v>18</v>
      </c>
      <c r="C18" s="51">
        <v>894.58669365389574</v>
      </c>
    </row>
    <row r="19" spans="1:3" x14ac:dyDescent="0.3">
      <c r="A19" s="14">
        <f t="shared" si="0"/>
        <v>18</v>
      </c>
      <c r="B19" s="16" t="s">
        <v>19</v>
      </c>
      <c r="C19" s="51">
        <v>8.3754133186777011</v>
      </c>
    </row>
    <row r="20" spans="1:3" x14ac:dyDescent="0.3">
      <c r="A20" s="14">
        <f t="shared" si="0"/>
        <v>19</v>
      </c>
      <c r="B20" s="16" t="s">
        <v>20</v>
      </c>
      <c r="C20" s="51">
        <v>4110.5933001027088</v>
      </c>
    </row>
    <row r="21" spans="1:3" x14ac:dyDescent="0.3">
      <c r="A21" s="14">
        <f t="shared" si="0"/>
        <v>20</v>
      </c>
      <c r="B21" s="16" t="s">
        <v>21</v>
      </c>
      <c r="C21" s="51">
        <v>33226.307417658019</v>
      </c>
    </row>
    <row r="22" spans="1:3" x14ac:dyDescent="0.3">
      <c r="A22" s="14">
        <f t="shared" si="0"/>
        <v>21</v>
      </c>
      <c r="B22" s="16" t="s">
        <v>22</v>
      </c>
      <c r="C22" s="51">
        <v>17467.078112170144</v>
      </c>
    </row>
    <row r="23" spans="1:3" x14ac:dyDescent="0.3">
      <c r="A23" s="14">
        <f t="shared" si="0"/>
        <v>22</v>
      </c>
      <c r="B23" s="16" t="s">
        <v>23</v>
      </c>
      <c r="C23" s="51">
        <v>39167.849196373652</v>
      </c>
    </row>
    <row r="24" spans="1:3" x14ac:dyDescent="0.3">
      <c r="A24" s="14">
        <f t="shared" si="0"/>
        <v>23</v>
      </c>
      <c r="B24" s="16" t="s">
        <v>24</v>
      </c>
      <c r="C24" s="51">
        <v>7961.5706357668678</v>
      </c>
    </row>
    <row r="25" spans="1:3" x14ac:dyDescent="0.3">
      <c r="A25" s="14">
        <f t="shared" si="0"/>
        <v>24</v>
      </c>
      <c r="B25" s="16" t="s">
        <v>25</v>
      </c>
      <c r="C25" s="51">
        <v>154.71770189498037</v>
      </c>
    </row>
    <row r="26" spans="1:3" x14ac:dyDescent="0.3">
      <c r="A26" s="14">
        <f t="shared" si="0"/>
        <v>25</v>
      </c>
      <c r="B26" s="16" t="s">
        <v>26</v>
      </c>
      <c r="C26" s="51">
        <v>3136.0717195700454</v>
      </c>
    </row>
    <row r="27" spans="1:3" x14ac:dyDescent="0.3">
      <c r="A27" s="14">
        <f t="shared" si="0"/>
        <v>26</v>
      </c>
      <c r="B27" s="16" t="s">
        <v>27</v>
      </c>
      <c r="C27" s="51">
        <v>75.864778393343997</v>
      </c>
    </row>
    <row r="28" spans="1:3" x14ac:dyDescent="0.3">
      <c r="A28" s="14">
        <f t="shared" si="0"/>
        <v>27</v>
      </c>
      <c r="B28" s="16" t="s">
        <v>28</v>
      </c>
      <c r="C28" s="51">
        <v>485.66153982832742</v>
      </c>
    </row>
    <row r="29" spans="1:3" x14ac:dyDescent="0.3">
      <c r="A29" s="14">
        <f t="shared" si="0"/>
        <v>28</v>
      </c>
      <c r="B29" s="16" t="s">
        <v>29</v>
      </c>
      <c r="C29" s="51">
        <v>884.60620687249843</v>
      </c>
    </row>
    <row r="30" spans="1:3" x14ac:dyDescent="0.3">
      <c r="A30" s="14">
        <f t="shared" si="0"/>
        <v>29</v>
      </c>
      <c r="B30" s="16" t="s">
        <v>30</v>
      </c>
      <c r="C30" s="51">
        <v>1629.1348096326581</v>
      </c>
    </row>
    <row r="31" spans="1:3" x14ac:dyDescent="0.3">
      <c r="A31" s="14">
        <f t="shared" si="0"/>
        <v>30</v>
      </c>
      <c r="B31" s="16" t="s">
        <v>31</v>
      </c>
      <c r="C31" s="51">
        <v>4839.9800627786444</v>
      </c>
    </row>
    <row r="32" spans="1:3" x14ac:dyDescent="0.3">
      <c r="A32" s="14">
        <f t="shared" si="0"/>
        <v>31</v>
      </c>
      <c r="B32" s="16" t="s">
        <v>32</v>
      </c>
      <c r="C32" s="51">
        <v>203.69644587904398</v>
      </c>
    </row>
    <row r="33" spans="1:3" x14ac:dyDescent="0.3">
      <c r="A33" s="14">
        <f t="shared" si="0"/>
        <v>32</v>
      </c>
      <c r="B33" s="16" t="s">
        <v>33</v>
      </c>
      <c r="C33" s="51">
        <v>3233.6500528556649</v>
      </c>
    </row>
    <row r="34" spans="1:3" x14ac:dyDescent="0.3">
      <c r="A34" s="14">
        <f t="shared" si="0"/>
        <v>33</v>
      </c>
      <c r="B34" s="16" t="s">
        <v>34</v>
      </c>
      <c r="C34" s="51">
        <v>464274.66611523059</v>
      </c>
    </row>
    <row r="35" spans="1:3" x14ac:dyDescent="0.3">
      <c r="A35" s="14">
        <f t="shared" si="0"/>
        <v>34</v>
      </c>
      <c r="B35" s="16" t="s">
        <v>35</v>
      </c>
      <c r="C35" s="51">
        <v>76981.964886481539</v>
      </c>
    </row>
    <row r="36" spans="1:3" x14ac:dyDescent="0.3">
      <c r="A36" s="14">
        <f t="shared" si="0"/>
        <v>35</v>
      </c>
      <c r="B36" s="16" t="s">
        <v>36</v>
      </c>
      <c r="C36" s="51">
        <v>423326.87640687276</v>
      </c>
    </row>
    <row r="37" spans="1:3" x14ac:dyDescent="0.3">
      <c r="A37" s="14">
        <f t="shared" si="0"/>
        <v>36</v>
      </c>
      <c r="B37" s="16" t="s">
        <v>37</v>
      </c>
      <c r="C37" s="51">
        <v>12892.001297043476</v>
      </c>
    </row>
    <row r="38" spans="1:3" x14ac:dyDescent="0.3">
      <c r="A38" s="14">
        <f t="shared" si="0"/>
        <v>37</v>
      </c>
      <c r="B38" s="16" t="s">
        <v>38</v>
      </c>
      <c r="C38" s="51">
        <v>24021.89680312973</v>
      </c>
    </row>
    <row r="39" spans="1:3" x14ac:dyDescent="0.3">
      <c r="A39" s="14">
        <f t="shared" si="0"/>
        <v>38</v>
      </c>
      <c r="B39" s="16" t="s">
        <v>39</v>
      </c>
      <c r="C39" s="51">
        <v>2091.9879987830823</v>
      </c>
    </row>
    <row r="40" spans="1:3" x14ac:dyDescent="0.3">
      <c r="A40" s="14">
        <f t="shared" si="0"/>
        <v>39</v>
      </c>
      <c r="B40" s="16" t="s">
        <v>40</v>
      </c>
      <c r="C40" s="51">
        <v>3335.3001070954328</v>
      </c>
    </row>
    <row r="41" spans="1:3" x14ac:dyDescent="0.3">
      <c r="A41" s="14">
        <f t="shared" si="0"/>
        <v>40</v>
      </c>
      <c r="B41" s="16" t="s">
        <v>41</v>
      </c>
      <c r="C41" s="51">
        <v>18227.54787314354</v>
      </c>
    </row>
    <row r="42" spans="1:3" x14ac:dyDescent="0.3">
      <c r="A42" s="14">
        <f t="shared" si="0"/>
        <v>41</v>
      </c>
      <c r="B42" s="16" t="s">
        <v>42</v>
      </c>
      <c r="C42" s="51">
        <v>7305.0898344888328</v>
      </c>
    </row>
    <row r="43" spans="1:3" x14ac:dyDescent="0.3">
      <c r="A43" s="14">
        <f t="shared" si="0"/>
        <v>42</v>
      </c>
      <c r="B43" s="16" t="s">
        <v>43</v>
      </c>
      <c r="C43" s="51">
        <v>5611.8868878767435</v>
      </c>
    </row>
    <row r="44" spans="1:3" x14ac:dyDescent="0.3">
      <c r="A44" s="14">
        <f t="shared" si="0"/>
        <v>43</v>
      </c>
      <c r="B44" s="16" t="s">
        <v>44</v>
      </c>
      <c r="C44" s="51">
        <v>67185.673870556348</v>
      </c>
    </row>
    <row r="45" spans="1:3" x14ac:dyDescent="0.3">
      <c r="A45" s="14">
        <f t="shared" si="0"/>
        <v>44</v>
      </c>
      <c r="B45" s="16" t="s">
        <v>45</v>
      </c>
      <c r="C45" s="51">
        <v>76503.553294213372</v>
      </c>
    </row>
    <row r="46" spans="1:3" x14ac:dyDescent="0.3">
      <c r="A46" s="14">
        <f t="shared" si="0"/>
        <v>45</v>
      </c>
      <c r="B46" s="16" t="s">
        <v>46</v>
      </c>
      <c r="C46" s="51">
        <v>56514.16163190503</v>
      </c>
    </row>
    <row r="47" spans="1:3" x14ac:dyDescent="0.3">
      <c r="A47" s="14">
        <f t="shared" si="0"/>
        <v>46</v>
      </c>
      <c r="B47" s="16" t="s">
        <v>47</v>
      </c>
      <c r="C47" s="51">
        <v>22868.805358340629</v>
      </c>
    </row>
    <row r="48" spans="1:3" x14ac:dyDescent="0.3">
      <c r="A48" s="14">
        <f t="shared" si="0"/>
        <v>47</v>
      </c>
      <c r="B48" s="16" t="s">
        <v>48</v>
      </c>
      <c r="C48" s="51">
        <v>11049.62235622713</v>
      </c>
    </row>
    <row r="49" spans="1:3" x14ac:dyDescent="0.3">
      <c r="A49" s="14">
        <f t="shared" si="0"/>
        <v>48</v>
      </c>
      <c r="B49" s="16" t="s">
        <v>49</v>
      </c>
      <c r="C49" s="51">
        <v>61.618191806123711</v>
      </c>
    </row>
    <row r="50" spans="1:3" x14ac:dyDescent="0.3">
      <c r="A50" s="14">
        <f t="shared" si="0"/>
        <v>49</v>
      </c>
      <c r="B50" s="16" t="s">
        <v>50</v>
      </c>
      <c r="C50" s="51">
        <v>21718.536209040722</v>
      </c>
    </row>
    <row r="51" spans="1:3" x14ac:dyDescent="0.3">
      <c r="A51" s="14">
        <f t="shared" si="0"/>
        <v>50</v>
      </c>
      <c r="B51" s="16" t="s">
        <v>51</v>
      </c>
      <c r="C51" s="51">
        <v>5466.9789826789092</v>
      </c>
    </row>
    <row r="52" spans="1:3" x14ac:dyDescent="0.3">
      <c r="A52" s="14">
        <f t="shared" si="0"/>
        <v>51</v>
      </c>
      <c r="B52" s="16" t="s">
        <v>52</v>
      </c>
      <c r="C52" s="51">
        <v>163082.36961146927</v>
      </c>
    </row>
    <row r="53" spans="1:3" x14ac:dyDescent="0.3">
      <c r="A53" s="14">
        <f t="shared" si="0"/>
        <v>52</v>
      </c>
      <c r="B53" s="16" t="s">
        <v>53</v>
      </c>
      <c r="C53" s="51">
        <v>147611</v>
      </c>
    </row>
    <row r="54" spans="1:3" x14ac:dyDescent="0.3">
      <c r="A54" s="14">
        <f t="shared" si="0"/>
        <v>53</v>
      </c>
      <c r="B54" s="16" t="s">
        <v>54</v>
      </c>
      <c r="C54" s="51">
        <v>31162.930977894084</v>
      </c>
    </row>
    <row r="55" spans="1:3" x14ac:dyDescent="0.3">
      <c r="A55" s="14">
        <f t="shared" si="0"/>
        <v>54</v>
      </c>
      <c r="B55" s="17" t="s">
        <v>55</v>
      </c>
      <c r="C55" s="51">
        <v>35532.260609841556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24F34A919E874E998CDABCAEF0C332" ma:contentTypeVersion="4" ma:contentTypeDescription="Create a new document." ma:contentTypeScope="" ma:versionID="ab84e7c149afd4a6ce986efacdfbfd41">
  <xsd:schema xmlns:xsd="http://www.w3.org/2001/XMLSchema" xmlns:xs="http://www.w3.org/2001/XMLSchema" xmlns:p="http://schemas.microsoft.com/office/2006/metadata/properties" xmlns:ns2="2bab6046-cf29-4de6-95c2-0ed88767753d" xmlns:ns3="06ee0bfa-d96b-42f0-a0ae-ade441056b35" xmlns:ns4="b747f8fc-e323-40fe-a283-a1b526cc7450" xmlns:ns5="e3c18b1d-b44e-4087-bbe0-2954ffd0cf57" targetNamespace="http://schemas.microsoft.com/office/2006/metadata/properties" ma:root="true" ma:fieldsID="12c2738607711b7395be8797d39ff957" ns2:_="" ns3:_="" ns4:_="" ns5:_="">
    <xsd:import namespace="2bab6046-cf29-4de6-95c2-0ed88767753d"/>
    <xsd:import namespace="06ee0bfa-d96b-42f0-a0ae-ade441056b35"/>
    <xsd:import namespace="b747f8fc-e323-40fe-a283-a1b526cc7450"/>
    <xsd:import namespace="e3c18b1d-b44e-4087-bbe0-2954ffd0cf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5:SharedWithUsers" minOccurs="0"/>
                <xsd:element ref="ns5:SharedWithDetails" minOccurs="0"/>
                <xsd:element ref="ns4:MediaServiceLocation" minOccurs="0"/>
                <xsd:element ref="ns4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b6046-cf29-4de6-95c2-0ed88767753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e0bfa-d96b-42f0-a0ae-ade441056b35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3a441582-034d-449f-88de-e4b6b8e9b601}" ma:internalName="TaxCatchAll" ma:showField="CatchAllData" ma:web="06ee0bfa-d96b-42f0-a0ae-ade441056b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7f8fc-e323-40fe-a283-a1b526cc74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18b1d-b44e-4087-bbe0-2954ffd0cf5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ee0bfa-d96b-42f0-a0ae-ade441056b35" xsi:nil="true"/>
    <lcf76f155ced4ddcb4097134ff3c332f xmlns="2bab6046-cf29-4de6-95c2-0ed8876775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6352D6-FBEC-47D7-8E6E-414782ED7EC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bab6046-cf29-4de6-95c2-0ed88767753d"/>
    <ds:schemaRef ds:uri="06ee0bfa-d96b-42f0-a0ae-ade441056b35"/>
    <ds:schemaRef ds:uri="b747f8fc-e323-40fe-a283-a1b526cc7450"/>
    <ds:schemaRef ds:uri="e3c18b1d-b44e-4087-bbe0-2954ffd0cf5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375C87-9330-42BF-AB2F-70819A741FBE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b747f8fc-e323-40fe-a283-a1b526cc7450"/>
    <ds:schemaRef ds:uri="e3c18b1d-b44e-4087-bbe0-2954ffd0cf57"/>
    <ds:schemaRef ds:uri="06ee0bfa-d96b-42f0-a0ae-ade441056b35"/>
    <ds:schemaRef ds:uri="2bab6046-cf29-4de6-95c2-0ed88767753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8B2B5D-66C1-4FFB-9839-D17C52120B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I-O Sumsel 2020</vt:lpstr>
      <vt:lpstr>Estimasi Tenga Kerja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BPS-Client</dc:creator>
  <cp:keywords/>
  <dc:description/>
  <cp:lastModifiedBy>Bodro, Dewi Kiswani</cp:lastModifiedBy>
  <cp:revision/>
  <dcterms:created xsi:type="dcterms:W3CDTF">2022-11-17T11:01:04Z</dcterms:created>
  <dcterms:modified xsi:type="dcterms:W3CDTF">2026-10-12T08:01:05Z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0x0101006F24F34A919E874E998CDABCAEF0C332</vt:lpwstr>
  </property>
</Properties>
</file>